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agents" sheetId="1" state="visible" r:id="rId3"/>
    <sheet name="Suivi hebdo" sheetId="2" state="visible" r:id="rId4"/>
    <sheet name="Pointage" sheetId="3" state="visible" r:id="rId5"/>
    <sheet name="Notes" sheetId="4" state="visible" r:id="rId6"/>
  </sheets>
  <definedNames>
    <definedName function="false" hidden="true" localSheetId="2" name="_xlnm._FilterDatabase" vbProcedure="false">Pointage!$A$1:$R$967</definedName>
    <definedName function="false" hidden="true" localSheetId="1" name="_xlnm._FilterDatabase" vbProcedure="false">'Suivi hebdo'!$A$3:$P$152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<sst xmlns="http://schemas.openxmlformats.org/spreadsheetml/2006/main" count="4635" uniqueCount="154">
  <si>
    <t xml:space="preserve">Suivi d’assiduité — activité Accessibilité</t>
  </si>
  <si>
    <t xml:space="preserve">Source : « consolider du pointage CMAF 2026 » — lignes du segment Accesibilité uniquement. Tout est calculé depuis l’onglet Pointage.</t>
  </si>
  <si>
    <t xml:space="preserve">Tolérance retard (min)</t>
  </si>
  <si>
    <t xml:space="preserve">← à modifier (hypothèse : 0 = tout retard compté)</t>
  </si>
  <si>
    <t xml:space="preserve">Objectif d’assiduité</t>
  </si>
  <si>
    <t xml:space="preserve">← à modifier (hypothèse de ma part, non issue du fichier)</t>
  </si>
  <si>
    <t xml:space="preserve">Agent</t>
  </si>
  <si>
    <t xml:space="preserve">Matricule</t>
  </si>
  <si>
    <t xml:space="preserve">Premier pointage</t>
  </si>
  <si>
    <t xml:space="preserve">Dernier pointage</t>
  </si>
  <si>
    <t xml:space="preserve">Jours planifiés</t>
  </si>
  <si>
    <t xml:space="preserve">Jours présents</t>
  </si>
  <si>
    <t xml:space="preserve">Jours absents</t>
  </si>
  <si>
    <t xml:space="preserve">Non renseignés</t>
  </si>
  <si>
    <t xml:space="preserve">Congés</t>
  </si>
  <si>
    <t xml:space="preserve">Fériés</t>
  </si>
  <si>
    <t xml:space="preserve">Repos (OFF)</t>
  </si>
  <si>
    <t xml:space="preserve">Taux d’assiduité</t>
  </si>
  <si>
    <t xml:space="preserve">Nb retards</t>
  </si>
  <si>
    <t xml:space="preserve">Total retards (min)</t>
  </si>
  <si>
    <t xml:space="preserve">Heures planifiées</t>
  </si>
  <si>
    <t xml:space="preserve">Heures adhérées</t>
  </si>
  <si>
    <t xml:space="preserve">Adhérence heures</t>
  </si>
  <si>
    <t xml:space="preserve">Heures sup. (min)</t>
  </si>
  <si>
    <t xml:space="preserve">BENCHRIF HAFSSA</t>
  </si>
  <si>
    <t xml:space="preserve">1262</t>
  </si>
  <si>
    <t xml:space="preserve">LISSAOUI HIBA</t>
  </si>
  <si>
    <t xml:space="preserve">1278</t>
  </si>
  <si>
    <t xml:space="preserve">RMAIDI IMAD</t>
  </si>
  <si>
    <t xml:space="preserve">1265</t>
  </si>
  <si>
    <t xml:space="preserve">HAMDANI MOHAMED</t>
  </si>
  <si>
    <t xml:space="preserve">1317</t>
  </si>
  <si>
    <t xml:space="preserve">JEBBALI YOUSSEF</t>
  </si>
  <si>
    <t xml:space="preserve">01631</t>
  </si>
  <si>
    <t xml:space="preserve">Équipe</t>
  </si>
  <si>
    <t xml:space="preserve">Légende des statuts (onglet Pointage)</t>
  </si>
  <si>
    <t xml:space="preserve">P</t>
  </si>
  <si>
    <t xml:space="preserve">Présent (début réalisé renseigné)</t>
  </si>
  <si>
    <t xml:space="preserve">A</t>
  </si>
  <si>
    <t xml:space="preserve">Absent (heures d’absence &gt; 0)</t>
  </si>
  <si>
    <t xml:space="preserve">NR</t>
  </si>
  <si>
    <t xml:space="preserve">Jour planifié sans réalisé ni absence (non renseigné)</t>
  </si>
  <si>
    <t xml:space="preserve">CP</t>
  </si>
  <si>
    <t xml:space="preserve">Congé</t>
  </si>
  <si>
    <t xml:space="preserve">F</t>
  </si>
  <si>
    <t xml:space="preserve">Férié</t>
  </si>
  <si>
    <t xml:space="preserve">R</t>
  </si>
  <si>
    <t xml:space="preserve">Repos / OFF</t>
  </si>
  <si>
    <t xml:space="preserve">Taux d’assiduité = jours présents / (présents + absents). Retard = début réalisé − début planifié, au-delà de la tolérance.</t>
  </si>
  <si>
    <t xml:space="preserve">Suivi hebdomadaire par agent</t>
  </si>
  <si>
    <t xml:space="preserve">Année ISO</t>
  </si>
  <si>
    <t xml:space="preserve">Semaine</t>
  </si>
  <si>
    <t xml:space="preserve">Période (lun.–dim.)</t>
  </si>
  <si>
    <t xml:space="preserve">Présents</t>
  </si>
  <si>
    <t xml:space="preserve">Absents</t>
  </si>
  <si>
    <t xml:space="preserve">Retards (min)</t>
  </si>
  <si>
    <t xml:space="preserve">15/12/2025 – 21/12/2025</t>
  </si>
  <si>
    <t xml:space="preserve">22/12/2025 – 28/12/2025</t>
  </si>
  <si>
    <t xml:space="preserve">29/12/2025 – 04/01/2026</t>
  </si>
  <si>
    <t xml:space="preserve">05/01/2026 – 11/01/2026</t>
  </si>
  <si>
    <t xml:space="preserve">12/01/2026 – 18/01/2026</t>
  </si>
  <si>
    <t xml:space="preserve">19/01/2026 – 25/01/2026</t>
  </si>
  <si>
    <t xml:space="preserve">26/01/2026 – 01/02/2026</t>
  </si>
  <si>
    <t xml:space="preserve">02/02/2026 – 08/02/2026</t>
  </si>
  <si>
    <t xml:space="preserve">09/02/2026 – 15/02/2026</t>
  </si>
  <si>
    <t xml:space="preserve">16/02/2026 – 22/02/2026</t>
  </si>
  <si>
    <t xml:space="preserve">23/02/2026 – 01/03/2026</t>
  </si>
  <si>
    <t xml:space="preserve">02/03/2026 – 08/03/2026</t>
  </si>
  <si>
    <t xml:space="preserve">09/03/2026 – 15/03/2026</t>
  </si>
  <si>
    <t xml:space="preserve">16/03/2026 – 22/03/2026</t>
  </si>
  <si>
    <t xml:space="preserve">23/03/2026 – 29/03/2026</t>
  </si>
  <si>
    <t xml:space="preserve">30/03/2026 – 05/04/2026</t>
  </si>
  <si>
    <t xml:space="preserve">06/04/2026 – 12/04/2026</t>
  </si>
  <si>
    <t xml:space="preserve">13/04/2026 – 19/04/2026</t>
  </si>
  <si>
    <t xml:space="preserve">20/04/2026 – 26/04/2026</t>
  </si>
  <si>
    <t xml:space="preserve">27/04/2026 – 03/05/2026</t>
  </si>
  <si>
    <t xml:space="preserve">04/05/2026 – 10/05/2026</t>
  </si>
  <si>
    <t xml:space="preserve">11/05/2026 – 17/05/2026</t>
  </si>
  <si>
    <t xml:space="preserve">18/05/2026 – 24/05/2026</t>
  </si>
  <si>
    <t xml:space="preserve">25/05/2026 – 31/05/2026</t>
  </si>
  <si>
    <t xml:space="preserve">01/06/2026 – 07/06/2026</t>
  </si>
  <si>
    <t xml:space="preserve">08/06/2026 – 14/06/2026</t>
  </si>
  <si>
    <t xml:space="preserve">15/06/2026 – 21/06/2026</t>
  </si>
  <si>
    <t xml:space="preserve">22/06/2026 – 28/06/2026</t>
  </si>
  <si>
    <t xml:space="preserve">29/06/2026 – 05/07/2026</t>
  </si>
  <si>
    <t xml:space="preserve">06/07/2026 – 12/07/2026</t>
  </si>
  <si>
    <t xml:space="preserve">13/07/2026 – 19/07/2026</t>
  </si>
  <si>
    <t xml:space="preserve">20/07/2026 – 26/07/2026</t>
  </si>
  <si>
    <t xml:space="preserve">27/07/2026 – 02/08/2026</t>
  </si>
  <si>
    <t xml:space="preserve">03/08/2026 – 09/08/2026</t>
  </si>
  <si>
    <t xml:space="preserve">10/08/2026 – 16/08/2026</t>
  </si>
  <si>
    <t xml:space="preserve">17/08/2026 – 23/08/2026</t>
  </si>
  <si>
    <t xml:space="preserve">24/08/2026 – 30/08/2026</t>
  </si>
  <si>
    <t xml:space="preserve">31/08/2026 – 06/09/2026</t>
  </si>
  <si>
    <t xml:space="preserve">07/09/2026 – 13/09/2026</t>
  </si>
  <si>
    <t xml:space="preserve">14/09/2026 – 20/09/2026</t>
  </si>
  <si>
    <t xml:space="preserve">21/09/2026 – 27/09/2026</t>
  </si>
  <si>
    <t xml:space="preserve">28/09/2026 – 04/10/2026</t>
  </si>
  <si>
    <t xml:space="preserve">05/10/2026 – 11/10/2026</t>
  </si>
  <si>
    <t xml:space="preserve">Date</t>
  </si>
  <si>
    <t xml:space="preserve">Mois</t>
  </si>
  <si>
    <t xml:space="preserve">Jour</t>
  </si>
  <si>
    <t xml:space="preserve">Début planifié</t>
  </si>
  <si>
    <t xml:space="preserve">Début réalisé</t>
  </si>
  <si>
    <t xml:space="preserve">Fin planifiée</t>
  </si>
  <si>
    <t xml:space="preserve">Fin réalisée</t>
  </si>
  <si>
    <t xml:space="preserve">Hr planifiées</t>
  </si>
  <si>
    <t xml:space="preserve">Hr adhérées</t>
  </si>
  <si>
    <t xml:space="preserve">Hr absence</t>
  </si>
  <si>
    <t xml:space="preserve">Heures sup.</t>
  </si>
  <si>
    <t xml:space="preserve">Retard (min)</t>
  </si>
  <si>
    <t xml:space="preserve">Statut</t>
  </si>
  <si>
    <t xml:space="preserve">Commentaire</t>
  </si>
  <si>
    <t xml:space="preserve">Décembre</t>
  </si>
  <si>
    <t xml:space="preserve">dim.</t>
  </si>
  <si>
    <t xml:space="preserve">OFF</t>
  </si>
  <si>
    <t xml:space="preserve">lun.</t>
  </si>
  <si>
    <t xml:space="preserve">mar.</t>
  </si>
  <si>
    <t xml:space="preserve">mer.</t>
  </si>
  <si>
    <t xml:space="preserve">jeu.</t>
  </si>
  <si>
    <t xml:space="preserve">ven.</t>
  </si>
  <si>
    <t xml:space="preserve">sam.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</si>
  <si>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</si>
  <si>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</si>
  <si>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</si>
  <si>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</si>
  <si>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</si>
  <si>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</si>
  <si>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</si>
  <si>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Début réalisé 1 h avant le planifié (heures sup. 1 h).</t>
  </si>
  <si>
    <t xml:space="preserve">Août</t>
  </si>
  <si>
    <t xml:space="preserve">Septembre</t>
  </si>
  <si>
    <t xml:space="preserve">Colonnes Semaine/Mois/Année/Heures sup. corrompues dans le fichier source (7–13/09) : recalculées depuis la date, heures sup. mises à 0.</t>
  </si>
  <si>
    <t xml:space="preserve">Octobre</t>
  </si>
  <si>
    <t xml:space="preserve">Sujet</t>
  </si>
  <si>
    <t xml:space="preserve">Précision</t>
  </si>
  <si>
    <t xml:space="preserve">Périmètre</t>
  </si>
  <si>
    <t xml:space="preserve">Lignes dont le segment est « Accesibilité » (orthographe du fichier) : 966 lignes sur 1 006 161. Les 28 lignes « Sortant » de JEBBALI YOUSSEF sont exclues.</t>
  </si>
  <si>
    <t xml:space="preserve">Période</t>
  </si>
  <si>
    <t xml:space="preserve">Du 21/12/2025 au 11/10/2026 (semaines ISO 2025-S51 à 2026-S41). Aucune donnée au-delà du 11/10 dans le fichier.</t>
  </si>
  <si>
    <t xml:space="preserve">Jours sans donnée</t>
  </si>
  <si>
    <t xml:space="preserve">Aucune ligne pour les 4 agents les 19–20/01, 16–20/02 et 16–20/03/2026 : ces jours ne sont ni comptés présents ni absents.</t>
  </si>
  <si>
    <t xml:space="preserve">Dernier pointage le 21/04/2026 (110 jours).</t>
  </si>
  <si>
    <t xml:space="preserve">Seule la semaine 41 existe (5 jours planifiés, tous pointés présents) ; les colonnes d’heures (planifiées / adhérées) ne sont pas renseignées dans le fichier, d’où des heures à 0 et pas d’adhérence calculée.</t>
  </si>
  <si>
    <t xml:space="preserve">Retards</t>
  </si>
  <si>
    <t xml:space="preserve">Les colonnes « Retard » / « Somme des retards » du fichier sont à 0 partout, alors que 14 jours ont un début réalisé postérieur au planifié (de 2 à 83 min). Les retards sont donc recalculés (début réalisé − début planifié), avec la tolérance de « Bilan agents » C4.</t>
  </si>
  <si>
    <t xml:space="preserve">Données corrompues</t>
  </si>
  <si>
    <t xml:space="preserve">21 lignes du 07 au 13/09/2026 (Hiba, Imad, Mohamed) ont des colonnes Semaine/Mois/Année/Heures sup. invalides (ex. « Sem - 1071 », année 3061). Semaine et mois sont recalculés depuis la date, heures sup. mises à 0 ; les horaires restent ceux du fichier.</t>
  </si>
  <si>
    <t xml:space="preserve">Colonnes ignorées</t>
  </si>
  <si>
    <t xml:space="preserve">Statut (Forfaitaire / FT / 0 / -), Team (valeurs mixtes) et Congé/Férié détaillés : non utilisés ; les congés et fériés sont pris dans l’horaire planifié (Congé / Férié).</t>
  </si>
  <si>
    <t xml:space="preserve">Semaines</t>
  </si>
  <si>
    <t xml:space="preserve">Semaine = semaine ISO calculée depuis la date (lundi–dimanche).</t>
  </si>
  <si>
    <t xml:space="preserve">Hypothèses</t>
  </si>
  <si>
    <t xml:space="preserve">Objectif d’assiduité 95 % et tolérance de retard 0 min sont des paramètres modifiables (cellules jaunes de « Bilan agents »), non issus du fichier.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</si>
</sst>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dd/mm/yyyy"/>
    <numFmt numFmtId="167" formatCode="0.0%"/>
    <numFmt numFmtId="168" formatCode="[h]:mm"/>
    <numFmt numFmtId="169" formatCode="General"/>
    <numFmt numFmtId="170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F8CBAD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7FD4A0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C9B3E6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A6A6"/>
          <bgColor rgb="FF000000"/>
        </patternFill>
      </fill>
    </dxf>
    <dxf>
      <fill>
        <patternFill>
          <bgColor rgb="FF7FD4A0"/>
        </patternFill>
      </fill>
    </dxf>
    <dxf>
      <fill>
        <patternFill>
          <bgColor rgb="FFF4A6A6"/>
        </patternFill>
      </fill>
    </dxf>
    <dxf>
      <fill>
        <patternFill>
          <bgColor rgb="FFFFE699"/>
        </patternFill>
      </fill>
    </dxf>
    <dxf>
      <fill>
        <patternFill>
          <bgColor rgb="FF9DC3E6"/>
        </patternFill>
      </fill>
    </dxf>
    <dxf>
      <fill>
        <patternFill>
          <bgColor rgb="FFC9B3E6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DC3E6"/>
      <rgbColor rgb="FFF4A6A6"/>
      <rgbColor rgb="FFC9B3E6"/>
      <rgbColor rgb="FFF8CBAD"/>
      <rgbColor rgb="FF3366FF"/>
      <rgbColor rgb="FF7FD4A0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8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v>0</v>
      </c>
      <c r="D4" s="2" t="s">
        <v>3</v>
      </c>
    </row>
    <row r="5" customFormat="false" ht="15" hidden="false" customHeight="false" outlineLevel="0" collapsed="false">
      <c r="A5" s="3" t="s">
        <v>4</v>
      </c>
      <c r="C5" s="5" t="n">
        <v>0.95</v>
      </c>
      <c r="D5" s="2" t="s">
        <v>5</v>
      </c>
    </row>
    <row r="7" customFormat="false" ht="42" hidden="false" customHeight="tru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22</v>
      </c>
      <c r="R7" s="6" t="s">
        <v>23</v>
      </c>
    </row>
    <row r="8" customFormat="false" ht="15" hidden="false" customHeight="false" outlineLevel="0" collapsed="false">
      <c r="A8" s="7" t="s">
        <v>24</v>
      </c>
      <c r="B8" s="8" t="s">
        <v>25</v>
      </c>
      <c r="C8" s="9" t="n">
        <f aca="false">_xlfn.MINIFS(Pointage!$C$2:$C$967,Pointage!$A$2:$A$967,$A8)</f>
        <v>46012</v>
      </c>
      <c r="D8" s="9" t="n">
        <f aca="false">_xlfn.MAXIFS(Pointage!$C$2:$C$967,Pointage!$A$2:$A$967,$A8)</f>
        <v>46133</v>
      </c>
      <c r="E8" s="8" t="n">
        <f aca="false">F8+G8+H8</f>
        <v>69</v>
      </c>
      <c r="F8" s="8" t="n">
        <f aca="false">COUNTIFS(Pointage!$A$2:$A$967,$A8,Pointage!$Q$2:$Q$967,"P")</f>
        <v>68</v>
      </c>
      <c r="G8" s="8" t="n">
        <f aca="false">COUNTIFS(Pointage!$A$2:$A$967,$A8,Pointage!$Q$2:$Q$967,"A")</f>
        <v>1</v>
      </c>
      <c r="H8" s="8" t="n">
        <f aca="false">COUNTIFS(Pointage!$A$2:$A$967,$A8,Pointage!$Q$2:$Q$967,"NR")</f>
        <v>0</v>
      </c>
      <c r="I8" s="8" t="n">
        <f aca="false">COUNTIFS(Pointage!$A$2:$A$967,$A8,Pointage!$Q$2:$Q$967,"CP")</f>
        <v>3</v>
      </c>
      <c r="J8" s="8" t="n">
        <f aca="false">COUNTIFS(Pointage!$A$2:$A$967,$A8,Pointage!$Q$2:$Q$967,"F")</f>
        <v>1</v>
      </c>
      <c r="K8" s="8" t="n">
        <f aca="false">COUNTIFS(Pointage!$A$2:$A$967,$A8,Pointage!$Q$2:$Q$967,"R")</f>
        <v>37</v>
      </c>
      <c r="L8" s="10" t="n">
        <f aca="false">IFERROR(F8/(F8+G8),"")</f>
        <v>0.985507246376812</v>
      </c>
      <c r="M8" s="8" t="n">
        <f aca="false">COUNTIFS(Pointage!$A$2:$A$967,$A8,Pointage!$P$2:$P$967,"&gt;0")</f>
        <v>2</v>
      </c>
      <c r="N8" s="8" t="n">
        <f aca="false">SUMIFS(Pointage!$P$2:$P$967,Pointage!$A$2:$A$967,$A8)</f>
        <v>28</v>
      </c>
      <c r="O8" s="11" t="n">
        <f aca="false">SUMIFS(Pointage!$L$2:$L$967,Pointage!$A$2:$A$967,$A8)</f>
        <v>25.2916666666667</v>
      </c>
      <c r="P8" s="11" t="n">
        <f aca="false">SUMIFS(Pointage!$M$2:$M$967,Pointage!$A$2:$A$967,$A8)</f>
        <v>24.9166666666667</v>
      </c>
      <c r="Q8" s="10" t="n">
        <f aca="false">IFERROR(P8/O8,"")</f>
        <v>0.985172981878089</v>
      </c>
      <c r="R8" s="8" t="n">
        <f aca="false">ROUND(SUMIFS(Pointage!$O$2:$O$967,Pointage!$A$2:$A$967,$A8)*1440,0)</f>
        <v>11</v>
      </c>
    </row>
    <row r="9" customFormat="false" ht="15" hidden="false" customHeight="false" outlineLevel="0" collapsed="false">
      <c r="A9" s="7" t="s">
        <v>26</v>
      </c>
      <c r="B9" s="8" t="s">
        <v>27</v>
      </c>
      <c r="C9" s="9" t="n">
        <f aca="false">_xlfn.MINIFS(Pointage!$C$2:$C$967,Pointage!$A$2:$A$967,$A9)</f>
        <v>46012</v>
      </c>
      <c r="D9" s="9" t="n">
        <f aca="false">_xlfn.MAXIFS(Pointage!$C$2:$C$967,Pointage!$A$2:$A$967,$A9)</f>
        <v>46306</v>
      </c>
      <c r="E9" s="8" t="n">
        <f aca="false">F9+G9+H9</f>
        <v>181</v>
      </c>
      <c r="F9" s="8" t="n">
        <f aca="false">COUNTIFS(Pointage!$A$2:$A$967,$A9,Pointage!$Q$2:$Q$967,"P")</f>
        <v>181</v>
      </c>
      <c r="G9" s="8" t="n">
        <f aca="false">COUNTIFS(Pointage!$A$2:$A$967,$A9,Pointage!$Q$2:$Q$967,"A")</f>
        <v>0</v>
      </c>
      <c r="H9" s="8" t="n">
        <f aca="false">COUNTIFS(Pointage!$A$2:$A$967,$A9,Pointage!$Q$2:$Q$967,"NR")</f>
        <v>0</v>
      </c>
      <c r="I9" s="8" t="n">
        <f aca="false">COUNTIFS(Pointage!$A$2:$A$967,$A9,Pointage!$Q$2:$Q$967,"CP")</f>
        <v>8</v>
      </c>
      <c r="J9" s="8" t="n">
        <f aca="false">COUNTIFS(Pointage!$A$2:$A$967,$A9,Pointage!$Q$2:$Q$967,"F")</f>
        <v>3</v>
      </c>
      <c r="K9" s="8" t="n">
        <f aca="false">COUNTIFS(Pointage!$A$2:$A$967,$A9,Pointage!$Q$2:$Q$967,"R")</f>
        <v>91</v>
      </c>
      <c r="L9" s="10" t="n">
        <f aca="false">IFERROR(F9/(F9+G9),"")</f>
        <v>1</v>
      </c>
      <c r="M9" s="8" t="n">
        <f aca="false">COUNTIFS(Pointage!$A$2:$A$967,$A9,Pointage!$P$2:$P$967,"&gt;0")</f>
        <v>1</v>
      </c>
      <c r="N9" s="8" t="n">
        <f aca="false">SUMIFS(Pointage!$P$2:$P$967,Pointage!$A$2:$A$967,$A9)</f>
        <v>83</v>
      </c>
      <c r="O9" s="11" t="n">
        <f aca="false">SUMIFS(Pointage!$L$2:$L$967,Pointage!$A$2:$A$967,$A9)</f>
        <v>66.375</v>
      </c>
      <c r="P9" s="11" t="n">
        <f aca="false">SUMIFS(Pointage!$M$2:$M$967,Pointage!$A$2:$A$967,$A9)</f>
        <v>66.375</v>
      </c>
      <c r="Q9" s="10" t="n">
        <f aca="false">IFERROR(P9/O9,"")</f>
        <v>1</v>
      </c>
      <c r="R9" s="8" t="n">
        <f aca="false">ROUND(SUMIFS(Pointage!$O$2:$O$967,Pointage!$A$2:$A$967,$A9)*1440,0)</f>
        <v>221</v>
      </c>
    </row>
    <row r="10" customFormat="false" ht="15" hidden="false" customHeight="false" outlineLevel="0" collapsed="false">
      <c r="A10" s="7" t="s">
        <v>28</v>
      </c>
      <c r="B10" s="8" t="s">
        <v>29</v>
      </c>
      <c r="C10" s="9" t="n">
        <f aca="false">_xlfn.MINIFS(Pointage!$C$2:$C$967,Pointage!$A$2:$A$967,$A10)</f>
        <v>46012</v>
      </c>
      <c r="D10" s="9" t="n">
        <f aca="false">_xlfn.MAXIFS(Pointage!$C$2:$C$967,Pointage!$A$2:$A$967,$A10)</f>
        <v>46306</v>
      </c>
      <c r="E10" s="8" t="n">
        <f aca="false">F10+G10+H10</f>
        <v>180</v>
      </c>
      <c r="F10" s="8" t="n">
        <f aca="false">COUNTIFS(Pointage!$A$2:$A$967,$A10,Pointage!$Q$2:$Q$967,"P")</f>
        <v>175</v>
      </c>
      <c r="G10" s="8" t="n">
        <f aca="false">COUNTIFS(Pointage!$A$2:$A$967,$A10,Pointage!$Q$2:$Q$967,"A")</f>
        <v>5</v>
      </c>
      <c r="H10" s="8" t="n">
        <f aca="false">COUNTIFS(Pointage!$A$2:$A$967,$A10,Pointage!$Q$2:$Q$967,"NR")</f>
        <v>0</v>
      </c>
      <c r="I10" s="8" t="n">
        <f aca="false">COUNTIFS(Pointage!$A$2:$A$967,$A10,Pointage!$Q$2:$Q$967,"CP")</f>
        <v>10</v>
      </c>
      <c r="J10" s="8" t="n">
        <f aca="false">COUNTIFS(Pointage!$A$2:$A$967,$A10,Pointage!$Q$2:$Q$967,"F")</f>
        <v>2</v>
      </c>
      <c r="K10" s="8" t="n">
        <f aca="false">COUNTIFS(Pointage!$A$2:$A$967,$A10,Pointage!$Q$2:$Q$967,"R")</f>
        <v>91</v>
      </c>
      <c r="L10" s="10" t="n">
        <f aca="false">IFERROR(F10/(F10+G10),"")</f>
        <v>0.972222222222222</v>
      </c>
      <c r="M10" s="8" t="n">
        <f aca="false">COUNTIFS(Pointage!$A$2:$A$967,$A10,Pointage!$P$2:$P$967,"&gt;0")</f>
        <v>3</v>
      </c>
      <c r="N10" s="8" t="n">
        <f aca="false">SUMIFS(Pointage!$P$2:$P$967,Pointage!$A$2:$A$967,$A10)</f>
        <v>31</v>
      </c>
      <c r="O10" s="11" t="n">
        <f aca="false">SUMIFS(Pointage!$L$2:$L$967,Pointage!$A$2:$A$967,$A10)</f>
        <v>66.0416666666667</v>
      </c>
      <c r="P10" s="11" t="n">
        <f aca="false">SUMIFS(Pointage!$M$2:$M$967,Pointage!$A$2:$A$967,$A10)</f>
        <v>64.2083333333333</v>
      </c>
      <c r="Q10" s="10" t="n">
        <f aca="false">IFERROR(P10/O10,"")</f>
        <v>0.972239747634069</v>
      </c>
      <c r="R10" s="8" t="n">
        <f aca="false">ROUND(SUMIFS(Pointage!$O$2:$O$967,Pointage!$A$2:$A$967,$A10)*1440,0)</f>
        <v>209</v>
      </c>
    </row>
    <row r="11" customFormat="false" ht="15" hidden="false" customHeight="false" outlineLevel="0" collapsed="false">
      <c r="A11" s="7" t="s">
        <v>30</v>
      </c>
      <c r="B11" s="8" t="s">
        <v>31</v>
      </c>
      <c r="C11" s="9" t="n">
        <f aca="false">_xlfn.MINIFS(Pointage!$C$2:$C$967,Pointage!$A$2:$A$967,$A11)</f>
        <v>46012</v>
      </c>
      <c r="D11" s="9" t="n">
        <f aca="false">_xlfn.MAXIFS(Pointage!$C$2:$C$967,Pointage!$A$2:$A$967,$A11)</f>
        <v>46306</v>
      </c>
      <c r="E11" s="8" t="n">
        <f aca="false">F11+G11+H11</f>
        <v>186</v>
      </c>
      <c r="F11" s="8" t="n">
        <f aca="false">COUNTIFS(Pointage!$A$2:$A$967,$A11,Pointage!$Q$2:$Q$967,"P")</f>
        <v>186</v>
      </c>
      <c r="G11" s="8" t="n">
        <f aca="false">COUNTIFS(Pointage!$A$2:$A$967,$A11,Pointage!$Q$2:$Q$967,"A")</f>
        <v>0</v>
      </c>
      <c r="H11" s="8" t="n">
        <f aca="false">COUNTIFS(Pointage!$A$2:$A$967,$A11,Pointage!$Q$2:$Q$967,"NR")</f>
        <v>0</v>
      </c>
      <c r="I11" s="8" t="n">
        <f aca="false">COUNTIFS(Pointage!$A$2:$A$967,$A11,Pointage!$Q$2:$Q$967,"CP")</f>
        <v>4</v>
      </c>
      <c r="J11" s="8" t="n">
        <f aca="false">COUNTIFS(Pointage!$A$2:$A$967,$A11,Pointage!$Q$2:$Q$967,"F")</f>
        <v>2</v>
      </c>
      <c r="K11" s="8" t="n">
        <f aca="false">COUNTIFS(Pointage!$A$2:$A$967,$A11,Pointage!$Q$2:$Q$967,"R")</f>
        <v>91</v>
      </c>
      <c r="L11" s="10" t="n">
        <f aca="false">IFERROR(F11/(F11+G11),"")</f>
        <v>1</v>
      </c>
      <c r="M11" s="8" t="n">
        <f aca="false">COUNTIFS(Pointage!$A$2:$A$967,$A11,Pointage!$P$2:$P$967,"&gt;0")</f>
        <v>8</v>
      </c>
      <c r="N11" s="8" t="n">
        <f aca="false">SUMIFS(Pointage!$P$2:$P$967,Pointage!$A$2:$A$967,$A11)</f>
        <v>152</v>
      </c>
      <c r="O11" s="11" t="n">
        <f aca="false">SUMIFS(Pointage!$L$2:$L$967,Pointage!$A$2:$A$967,$A11)</f>
        <v>68.25</v>
      </c>
      <c r="P11" s="11" t="n">
        <f aca="false">SUMIFS(Pointage!$M$2:$M$967,Pointage!$A$2:$A$967,$A11)</f>
        <v>68.25</v>
      </c>
      <c r="Q11" s="10" t="n">
        <f aca="false">IFERROR(P11/O11,"")</f>
        <v>1</v>
      </c>
      <c r="R11" s="8" t="n">
        <f aca="false">ROUND(SUMIFS(Pointage!$O$2:$O$967,Pointage!$A$2:$A$967,$A11)*1440,0)</f>
        <v>177</v>
      </c>
    </row>
    <row r="12" customFormat="false" ht="15" hidden="false" customHeight="false" outlineLevel="0" collapsed="false">
      <c r="A12" s="7" t="s">
        <v>32</v>
      </c>
      <c r="B12" s="8" t="s">
        <v>33</v>
      </c>
      <c r="C12" s="9" t="n">
        <f aca="false">_xlfn.MINIFS(Pointage!$C$2:$C$967,Pointage!$A$2:$A$967,$A12)</f>
        <v>46300</v>
      </c>
      <c r="D12" s="9" t="n">
        <f aca="false">_xlfn.MAXIFS(Pointage!$C$2:$C$967,Pointage!$A$2:$A$967,$A12)</f>
        <v>46306</v>
      </c>
      <c r="E12" s="8" t="n">
        <f aca="false">F12+G12+H12</f>
        <v>5</v>
      </c>
      <c r="F12" s="8" t="n">
        <f aca="false">COUNTIFS(Pointage!$A$2:$A$967,$A12,Pointage!$Q$2:$Q$967,"P")</f>
        <v>5</v>
      </c>
      <c r="G12" s="8" t="n">
        <f aca="false">COUNTIFS(Pointage!$A$2:$A$967,$A12,Pointage!$Q$2:$Q$967,"A")</f>
        <v>0</v>
      </c>
      <c r="H12" s="8" t="n">
        <f aca="false">COUNTIFS(Pointage!$A$2:$A$967,$A12,Pointage!$Q$2:$Q$967,"NR")</f>
        <v>0</v>
      </c>
      <c r="I12" s="8" t="n">
        <f aca="false">COUNTIFS(Pointage!$A$2:$A$967,$A12,Pointage!$Q$2:$Q$967,"CP")</f>
        <v>0</v>
      </c>
      <c r="J12" s="8" t="n">
        <f aca="false">COUNTIFS(Pointage!$A$2:$A$967,$A12,Pointage!$Q$2:$Q$967,"F")</f>
        <v>0</v>
      </c>
      <c r="K12" s="8" t="n">
        <f aca="false">COUNTIFS(Pointage!$A$2:$A$967,$A12,Pointage!$Q$2:$Q$967,"R")</f>
        <v>2</v>
      </c>
      <c r="L12" s="10" t="n">
        <f aca="false">IFERROR(F12/(F12+G12),"")</f>
        <v>1</v>
      </c>
      <c r="M12" s="8" t="n">
        <f aca="false">COUNTIFS(Pointage!$A$2:$A$967,$A12,Pointage!$P$2:$P$967,"&gt;0")</f>
        <v>0</v>
      </c>
      <c r="N12" s="8" t="n">
        <f aca="false">SUMIFS(Pointage!$P$2:$P$967,Pointage!$A$2:$A$967,$A12)</f>
        <v>0</v>
      </c>
      <c r="O12" s="11" t="n">
        <f aca="false">SUMIFS(Pointage!$L$2:$L$967,Pointage!$A$2:$A$967,$A12)</f>
        <v>0</v>
      </c>
      <c r="P12" s="11" t="n">
        <f aca="false">SUMIFS(Pointage!$M$2:$M$967,Pointage!$A$2:$A$967,$A12)</f>
        <v>0</v>
      </c>
      <c r="Q12" s="10" t="str">
        <f aca="false">IFERROR(P12/O12,"")</f>
        <v/>
      </c>
      <c r="R12" s="8" t="n">
        <f aca="false">ROUND(SUMIFS(Pointage!$O$2:$O$967,Pointage!$A$2:$A$967,$A12)*1440,0)</f>
        <v>0</v>
      </c>
    </row>
    <row r="13" customFormat="false" ht="15" hidden="false" customHeight="false" outlineLevel="0" collapsed="false">
      <c r="A13" s="12" t="s">
        <v>34</v>
      </c>
      <c r="B13" s="13"/>
      <c r="C13" s="13"/>
      <c r="D13" s="13"/>
      <c r="E13" s="13" t="n">
        <f aca="false">SUM(E8:E12)</f>
        <v>621</v>
      </c>
      <c r="F13" s="13" t="n">
        <f aca="false">SUM(F8:F12)</f>
        <v>615</v>
      </c>
      <c r="G13" s="13" t="n">
        <f aca="false">SUM(G8:G12)</f>
        <v>6</v>
      </c>
      <c r="H13" s="13" t="n">
        <f aca="false">SUM(H8:H12)</f>
        <v>0</v>
      </c>
      <c r="I13" s="13" t="n">
        <f aca="false">SUM(I8:I12)</f>
        <v>25</v>
      </c>
      <c r="J13" s="13" t="n">
        <f aca="false">SUM(J8:J12)</f>
        <v>8</v>
      </c>
      <c r="K13" s="13" t="n">
        <f aca="false">SUM(K8:K12)</f>
        <v>312</v>
      </c>
      <c r="L13" s="14" t="n">
        <f aca="false">IFERROR(F13/(F13+G13),"")</f>
        <v>0.990338164251208</v>
      </c>
      <c r="M13" s="13" t="n">
        <f aca="false">SUM(M8:M12)</f>
        <v>14</v>
      </c>
      <c r="N13" s="13" t="n">
        <f aca="false">SUM(N8:N12)</f>
        <v>294</v>
      </c>
      <c r="O13" s="15" t="n">
        <f aca="false">SUM(O8:O12)</f>
        <v>225.958333333333</v>
      </c>
      <c r="P13" s="15" t="n">
        <f aca="false">SUM(P8:P12)</f>
        <v>223.75</v>
      </c>
      <c r="Q13" s="14" t="n">
        <f aca="false">IFERROR(P13/O13,"")</f>
        <v>0.990226811727826</v>
      </c>
      <c r="R13" s="13" t="n">
        <f aca="false">SUM(R8:R12)</f>
        <v>618</v>
      </c>
    </row>
    <row r="15" customFormat="false" ht="15" hidden="false" customHeight="false" outlineLevel="0" collapsed="false">
      <c r="A15" s="3" t="s">
        <v>35</v>
      </c>
    </row>
    <row r="16" customFormat="false" ht="15" hidden="false" customHeight="false" outlineLevel="0" collapsed="false">
      <c r="A16" s="3" t="s">
        <v>36</v>
      </c>
      <c r="B16" s="16" t="s">
        <v>37</v>
      </c>
    </row>
    <row r="17" customFormat="false" ht="15" hidden="false" customHeight="false" outlineLevel="0" collapsed="false">
      <c r="A17" s="3" t="s">
        <v>38</v>
      </c>
      <c r="B17" s="16" t="s">
        <v>39</v>
      </c>
    </row>
    <row r="18" customFormat="false" ht="15" hidden="false" customHeight="false" outlineLevel="0" collapsed="false">
      <c r="A18" s="3" t="s">
        <v>40</v>
      </c>
      <c r="B18" s="16" t="s">
        <v>41</v>
      </c>
    </row>
    <row r="19" customFormat="false" ht="15" hidden="false" customHeight="false" outlineLevel="0" collapsed="false">
      <c r="A19" s="3" t="s">
        <v>42</v>
      </c>
      <c r="B19" s="16" t="s">
        <v>43</v>
      </c>
    </row>
    <row r="20" customFormat="false" ht="15" hidden="false" customHeight="false" outlineLevel="0" collapsed="false">
      <c r="A20" s="3" t="s">
        <v>44</v>
      </c>
      <c r="B20" s="16" t="s">
        <v>45</v>
      </c>
    </row>
    <row r="21" customFormat="false" ht="15" hidden="false" customHeight="false" outlineLevel="0" collapsed="false">
      <c r="A21" s="3" t="s">
        <v>46</v>
      </c>
      <c r="B21" s="16" t="s">
        <v>47</v>
      </c>
    </row>
    <row r="23" customFormat="false" ht="15" hidden="false" customHeight="false" outlineLevel="0" collapsed="false">
      <c r="A23" s="2" t="s">
        <v>48</v>
      </c>
    </row>
  </sheetData>
  <conditionalFormatting sqref="L8:L13">
    <cfRule type="cellIs" priority="2" operator="lessThan" aboveAverage="0" equalAverage="0" bottom="0" percent="0" rank="0" text="" dxfId="0">
      <formula>$C$5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9"/>
    <col collapsed="false" customWidth="true" hidden="false" outlineLevel="0" max="4" min="4" style="0" width="25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6" min="13" style="0" width="12"/>
  </cols>
  <sheetData>
    <row r="1" customFormat="false" ht="17.35" hidden="false" customHeight="false" outlineLevel="0" collapsed="false">
      <c r="A1" s="1" t="s">
        <v>49</v>
      </c>
    </row>
    <row r="3" customFormat="false" ht="42" hidden="false" customHeight="true" outlineLevel="0" collapsed="false">
      <c r="A3" s="6" t="s">
        <v>6</v>
      </c>
      <c r="B3" s="6" t="s">
        <v>50</v>
      </c>
      <c r="C3" s="6" t="s">
        <v>51</v>
      </c>
      <c r="D3" s="6" t="s">
        <v>52</v>
      </c>
      <c r="E3" s="6" t="s">
        <v>10</v>
      </c>
      <c r="F3" s="6" t="s">
        <v>53</v>
      </c>
      <c r="G3" s="6" t="s">
        <v>54</v>
      </c>
      <c r="H3" s="6" t="s">
        <v>13</v>
      </c>
      <c r="I3" s="6" t="s">
        <v>14</v>
      </c>
      <c r="J3" s="6" t="s">
        <v>15</v>
      </c>
      <c r="K3" s="6" t="s">
        <v>18</v>
      </c>
      <c r="L3" s="6" t="s">
        <v>55</v>
      </c>
      <c r="M3" s="6" t="s">
        <v>20</v>
      </c>
      <c r="N3" s="6" t="s">
        <v>21</v>
      </c>
      <c r="O3" s="6" t="s">
        <v>17</v>
      </c>
      <c r="P3" s="6" t="s">
        <v>22</v>
      </c>
    </row>
    <row r="4" customFormat="false" ht="15" hidden="false" customHeight="false" outlineLevel="0" collapsed="false">
      <c r="A4" s="7" t="s">
        <v>24</v>
      </c>
      <c r="B4" s="8" t="n">
        <v>2025</v>
      </c>
      <c r="C4" s="8" t="n">
        <v>51</v>
      </c>
      <c r="D4" s="8" t="s">
        <v>56</v>
      </c>
      <c r="E4" s="8" t="n">
        <f aca="false">F4+G4+H4</f>
        <v>0</v>
      </c>
      <c r="F4" s="8" t="n">
        <f aca="false">COUNTIFS(Pointage!$A$2:$A$967,$A4,Pointage!$D$2:$D$967,$B4,Pointage!$E$2:$E$967,$C4,Pointage!$Q$2:$Q$967,"P")</f>
        <v>0</v>
      </c>
      <c r="G4" s="17" t="n">
        <f aca="false">COUNTIFS(Pointage!$A$2:$A$967,$A4,Pointage!$D$2:$D$967,$B4,Pointage!$E$2:$E$967,$C4,Pointage!$Q$2:$Q$967,"A")</f>
        <v>0</v>
      </c>
      <c r="H4" s="8" t="n">
        <f aca="false">COUNTIFS(Pointage!$A$2:$A$967,$A4,Pointage!$D$2:$D$967,$B4,Pointage!$E$2:$E$967,$C4,Pointage!$Q$2:$Q$967,"NR")</f>
        <v>0</v>
      </c>
      <c r="I4" s="8" t="n">
        <f aca="false">COUNTIFS(Pointage!$A$2:$A$967,$A4,Pointage!$D$2:$D$967,$B4,Pointage!$E$2:$E$967,$C4,Pointage!$Q$2:$Q$967,"CP")</f>
        <v>0</v>
      </c>
      <c r="J4" s="8" t="n">
        <f aca="false">COUNTIFS(Pointage!$A$2:$A$967,$A4,Pointage!$D$2:$D$967,$B4,Pointage!$E$2:$E$967,$C4,Pointage!$Q$2:$Q$967,"F")</f>
        <v>0</v>
      </c>
      <c r="K4" s="8" t="n">
        <f aca="false">COUNTIFS(Pointage!$A$2:$A$967,$A4,Pointage!$D$2:$D$967,$B4,Pointage!$E$2:$E$967,$C4,Pointage!$P$2:$P$967,"&gt;0")</f>
        <v>0</v>
      </c>
      <c r="L4" s="8" t="n">
        <f aca="false">SUMIFS(Pointage!$P$2:$P$967,Pointage!$A$2:$A$967,$A4,Pointage!$D$2:$D$967,$B4,Pointage!$E$2:$E$967,$C4)</f>
        <v>0</v>
      </c>
      <c r="M4" s="11" t="n">
        <f aca="false">SUMIFS(Pointage!$L$2:$L$967,Pointage!$A$2:$A$967,$A4,Pointage!$D$2:$D$967,$B4,Pointage!$E$2:$E$967,$C4)</f>
        <v>0</v>
      </c>
      <c r="N4" s="11" t="n">
        <f aca="false">SUMIFS(Pointage!$M$2:$M$967,Pointage!$A$2:$A$967,$A4,Pointage!$D$2:$D$967,$B4,Pointage!$E$2:$E$967,$C4)</f>
        <v>0</v>
      </c>
      <c r="O4" s="10" t="str">
        <f aca="false">IFERROR(F4/(F4+G4),"")</f>
        <v/>
      </c>
      <c r="P4" s="10" t="str">
        <f aca="false">IFERROR(N4/M4,"")</f>
        <v/>
      </c>
    </row>
    <row r="5" customFormat="false" ht="15" hidden="false" customHeight="false" outlineLevel="0" collapsed="false">
      <c r="A5" s="7" t="s">
        <v>24</v>
      </c>
      <c r="B5" s="8" t="n">
        <v>2025</v>
      </c>
      <c r="C5" s="8" t="n">
        <v>52</v>
      </c>
      <c r="D5" s="8" t="s">
        <v>57</v>
      </c>
      <c r="E5" s="8" t="n">
        <f aca="false">F5+G5+H5</f>
        <v>4</v>
      </c>
      <c r="F5" s="8" t="n">
        <f aca="false">COUNTIFS(Pointage!$A$2:$A$967,$A5,Pointage!$D$2:$D$967,$B5,Pointage!$E$2:$E$967,$C5,Pointage!$Q$2:$Q$967,"P")</f>
        <v>4</v>
      </c>
      <c r="G5" s="17" t="n">
        <f aca="false">COUNTIFS(Pointage!$A$2:$A$967,$A5,Pointage!$D$2:$D$967,$B5,Pointage!$E$2:$E$967,$C5,Pointage!$Q$2:$Q$967,"A")</f>
        <v>0</v>
      </c>
      <c r="H5" s="8" t="n">
        <f aca="false">COUNTIFS(Pointage!$A$2:$A$967,$A5,Pointage!$D$2:$D$967,$B5,Pointage!$E$2:$E$967,$C5,Pointage!$Q$2:$Q$967,"NR")</f>
        <v>0</v>
      </c>
      <c r="I5" s="8" t="n">
        <f aca="false">COUNTIFS(Pointage!$A$2:$A$967,$A5,Pointage!$D$2:$D$967,$B5,Pointage!$E$2:$E$967,$C5,Pointage!$Q$2:$Q$967,"CP")</f>
        <v>0</v>
      </c>
      <c r="J5" s="8" t="n">
        <f aca="false">COUNTIFS(Pointage!$A$2:$A$967,$A5,Pointage!$D$2:$D$967,$B5,Pointage!$E$2:$E$967,$C5,Pointage!$Q$2:$Q$967,"F")</f>
        <v>0</v>
      </c>
      <c r="K5" s="8" t="n">
        <f aca="false">COUNTIFS(Pointage!$A$2:$A$967,$A5,Pointage!$D$2:$D$967,$B5,Pointage!$E$2:$E$967,$C5,Pointage!$P$2:$P$967,"&gt;0")</f>
        <v>0</v>
      </c>
      <c r="L5" s="8" t="n">
        <f aca="false">SUMIFS(Pointage!$P$2:$P$967,Pointage!$A$2:$A$967,$A5,Pointage!$D$2:$D$967,$B5,Pointage!$E$2:$E$967,$C5)</f>
        <v>0</v>
      </c>
      <c r="M5" s="11" t="n">
        <f aca="false">SUMIFS(Pointage!$L$2:$L$967,Pointage!$A$2:$A$967,$A5,Pointage!$D$2:$D$967,$B5,Pointage!$E$2:$E$967,$C5)</f>
        <v>1.45833333333333</v>
      </c>
      <c r="N5" s="11" t="n">
        <f aca="false">SUMIFS(Pointage!$M$2:$M$967,Pointage!$A$2:$A$967,$A5,Pointage!$D$2:$D$967,$B5,Pointage!$E$2:$E$967,$C5)</f>
        <v>1.45833333333333</v>
      </c>
      <c r="O5" s="10" t="n">
        <f aca="false">IFERROR(F5/(F5+G5),"")</f>
        <v>1</v>
      </c>
      <c r="P5" s="10" t="n">
        <f aca="false">IFERROR(N5/M5,"")</f>
        <v>1</v>
      </c>
    </row>
    <row r="6" customFormat="false" ht="15" hidden="false" customHeight="false" outlineLevel="0" collapsed="false">
      <c r="A6" s="7" t="s">
        <v>24</v>
      </c>
      <c r="B6" s="8" t="n">
        <v>2026</v>
      </c>
      <c r="C6" s="8" t="n">
        <v>1</v>
      </c>
      <c r="D6" s="8" t="s">
        <v>58</v>
      </c>
      <c r="E6" s="8" t="n">
        <f aca="false">F6+G6+H6</f>
        <v>4</v>
      </c>
      <c r="F6" s="8" t="n">
        <f aca="false">COUNTIFS(Pointage!$A$2:$A$967,$A6,Pointage!$D$2:$D$967,$B6,Pointage!$E$2:$E$967,$C6,Pointage!$Q$2:$Q$967,"P")</f>
        <v>4</v>
      </c>
      <c r="G6" s="17" t="n">
        <f aca="false">COUNTIFS(Pointage!$A$2:$A$967,$A6,Pointage!$D$2:$D$967,$B6,Pointage!$E$2:$E$967,$C6,Pointage!$Q$2:$Q$967,"A")</f>
        <v>0</v>
      </c>
      <c r="H6" s="8" t="n">
        <f aca="false">COUNTIFS(Pointage!$A$2:$A$967,$A6,Pointage!$D$2:$D$967,$B6,Pointage!$E$2:$E$967,$C6,Pointage!$Q$2:$Q$967,"NR")</f>
        <v>0</v>
      </c>
      <c r="I6" s="8" t="n">
        <f aca="false">COUNTIFS(Pointage!$A$2:$A$967,$A6,Pointage!$D$2:$D$967,$B6,Pointage!$E$2:$E$967,$C6,Pointage!$Q$2:$Q$967,"CP")</f>
        <v>0</v>
      </c>
      <c r="J6" s="8" t="n">
        <f aca="false">COUNTIFS(Pointage!$A$2:$A$967,$A6,Pointage!$D$2:$D$967,$B6,Pointage!$E$2:$E$967,$C6,Pointage!$Q$2:$Q$967,"F")</f>
        <v>1</v>
      </c>
      <c r="K6" s="8" t="n">
        <f aca="false">COUNTIFS(Pointage!$A$2:$A$967,$A6,Pointage!$D$2:$D$967,$B6,Pointage!$E$2:$E$967,$C6,Pointage!$P$2:$P$967,"&gt;0")</f>
        <v>0</v>
      </c>
      <c r="L6" s="8" t="n">
        <f aca="false">SUMIFS(Pointage!$P$2:$P$967,Pointage!$A$2:$A$967,$A6,Pointage!$D$2:$D$967,$B6,Pointage!$E$2:$E$967,$C6)</f>
        <v>0</v>
      </c>
      <c r="M6" s="11" t="n">
        <f aca="false">SUMIFS(Pointage!$L$2:$L$967,Pointage!$A$2:$A$967,$A6,Pointage!$D$2:$D$967,$B6,Pointage!$E$2:$E$967,$C6)</f>
        <v>1.45833333333333</v>
      </c>
      <c r="N6" s="11" t="n">
        <f aca="false">SUMIFS(Pointage!$M$2:$M$967,Pointage!$A$2:$A$967,$A6,Pointage!$D$2:$D$967,$B6,Pointage!$E$2:$E$967,$C6)</f>
        <v>1.45833333333333</v>
      </c>
      <c r="O6" s="10" t="n">
        <f aca="false">IFERROR(F6/(F6+G6),"")</f>
        <v>1</v>
      </c>
      <c r="P6" s="10" t="n">
        <f aca="false">IFERROR(N6/M6,"")</f>
        <v>1</v>
      </c>
    </row>
    <row r="7" customFormat="false" ht="15" hidden="false" customHeight="false" outlineLevel="0" collapsed="false">
      <c r="A7" s="7" t="s">
        <v>24</v>
      </c>
      <c r="B7" s="8" t="n">
        <v>2026</v>
      </c>
      <c r="C7" s="8" t="n">
        <v>2</v>
      </c>
      <c r="D7" s="8" t="s">
        <v>59</v>
      </c>
      <c r="E7" s="8" t="n">
        <f aca="false">F7+G7+H7</f>
        <v>4</v>
      </c>
      <c r="F7" s="8" t="n">
        <f aca="false">COUNTIFS(Pointage!$A$2:$A$967,$A7,Pointage!$D$2:$D$967,$B7,Pointage!$E$2:$E$967,$C7,Pointage!$Q$2:$Q$967,"P")</f>
        <v>4</v>
      </c>
      <c r="G7" s="17" t="n">
        <f aca="false">COUNTIFS(Pointage!$A$2:$A$967,$A7,Pointage!$D$2:$D$967,$B7,Pointage!$E$2:$E$967,$C7,Pointage!$Q$2:$Q$967,"A")</f>
        <v>0</v>
      </c>
      <c r="H7" s="8" t="n">
        <f aca="false">COUNTIFS(Pointage!$A$2:$A$967,$A7,Pointage!$D$2:$D$967,$B7,Pointage!$E$2:$E$967,$C7,Pointage!$Q$2:$Q$967,"NR")</f>
        <v>0</v>
      </c>
      <c r="I7" s="8" t="n">
        <f aca="false">COUNTIFS(Pointage!$A$2:$A$967,$A7,Pointage!$D$2:$D$967,$B7,Pointage!$E$2:$E$967,$C7,Pointage!$Q$2:$Q$967,"CP")</f>
        <v>1</v>
      </c>
      <c r="J7" s="8" t="n">
        <f aca="false">COUNTIFS(Pointage!$A$2:$A$967,$A7,Pointage!$D$2:$D$967,$B7,Pointage!$E$2:$E$967,$C7,Pointage!$Q$2:$Q$967,"F")</f>
        <v>0</v>
      </c>
      <c r="K7" s="8" t="n">
        <f aca="false">COUNTIFS(Pointage!$A$2:$A$967,$A7,Pointage!$D$2:$D$967,$B7,Pointage!$E$2:$E$967,$C7,Pointage!$P$2:$P$967,"&gt;0")</f>
        <v>1</v>
      </c>
      <c r="L7" s="8" t="n">
        <f aca="false">SUMIFS(Pointage!$P$2:$P$967,Pointage!$A$2:$A$967,$A7,Pointage!$D$2:$D$967,$B7,Pointage!$E$2:$E$967,$C7)</f>
        <v>5</v>
      </c>
      <c r="M7" s="11" t="n">
        <f aca="false">SUMIFS(Pointage!$L$2:$L$967,Pointage!$A$2:$A$967,$A7,Pointage!$D$2:$D$967,$B7,Pointage!$E$2:$E$967,$C7)</f>
        <v>1.5</v>
      </c>
      <c r="N7" s="11" t="n">
        <f aca="false">SUMIFS(Pointage!$M$2:$M$967,Pointage!$A$2:$A$967,$A7,Pointage!$D$2:$D$967,$B7,Pointage!$E$2:$E$967,$C7)</f>
        <v>1.5</v>
      </c>
      <c r="O7" s="10" t="n">
        <f aca="false">IFERROR(F7/(F7+G7),"")</f>
        <v>1</v>
      </c>
      <c r="P7" s="10" t="n">
        <f aca="false">IFERROR(N7/M7,"")</f>
        <v>1</v>
      </c>
    </row>
    <row r="8" customFormat="false" ht="15" hidden="false" customHeight="false" outlineLevel="0" collapsed="false">
      <c r="A8" s="7" t="s">
        <v>24</v>
      </c>
      <c r="B8" s="8" t="n">
        <v>2026</v>
      </c>
      <c r="C8" s="8" t="n">
        <v>3</v>
      </c>
      <c r="D8" s="8" t="s">
        <v>60</v>
      </c>
      <c r="E8" s="8" t="n">
        <f aca="false">F8+G8+H8</f>
        <v>5</v>
      </c>
      <c r="F8" s="8" t="n">
        <f aca="false">COUNTIFS(Pointage!$A$2:$A$967,$A8,Pointage!$D$2:$D$967,$B8,Pointage!$E$2:$E$967,$C8,Pointage!$Q$2:$Q$967,"P")</f>
        <v>5</v>
      </c>
      <c r="G8" s="17" t="n">
        <f aca="false">COUNTIFS(Pointage!$A$2:$A$967,$A8,Pointage!$D$2:$D$967,$B8,Pointage!$E$2:$E$967,$C8,Pointage!$Q$2:$Q$967,"A")</f>
        <v>0</v>
      </c>
      <c r="H8" s="8" t="n">
        <f aca="false">COUNTIFS(Pointage!$A$2:$A$967,$A8,Pointage!$D$2:$D$967,$B8,Pointage!$E$2:$E$967,$C8,Pointage!$Q$2:$Q$967,"NR")</f>
        <v>0</v>
      </c>
      <c r="I8" s="8" t="n">
        <f aca="false">COUNTIFS(Pointage!$A$2:$A$967,$A8,Pointage!$D$2:$D$967,$B8,Pointage!$E$2:$E$967,$C8,Pointage!$Q$2:$Q$967,"CP")</f>
        <v>0</v>
      </c>
      <c r="J8" s="8" t="n">
        <f aca="false">COUNTIFS(Pointage!$A$2:$A$967,$A8,Pointage!$D$2:$D$967,$B8,Pointage!$E$2:$E$967,$C8,Pointage!$Q$2:$Q$967,"F")</f>
        <v>0</v>
      </c>
      <c r="K8" s="8" t="n">
        <f aca="false">COUNTIFS(Pointage!$A$2:$A$967,$A8,Pointage!$D$2:$D$967,$B8,Pointage!$E$2:$E$967,$C8,Pointage!$P$2:$P$967,"&gt;0")</f>
        <v>0</v>
      </c>
      <c r="L8" s="8" t="n">
        <f aca="false">SUMIFS(Pointage!$P$2:$P$967,Pointage!$A$2:$A$967,$A8,Pointage!$D$2:$D$967,$B8,Pointage!$E$2:$E$967,$C8)</f>
        <v>0</v>
      </c>
      <c r="M8" s="11" t="n">
        <f aca="false">SUMIFS(Pointage!$L$2:$L$967,Pointage!$A$2:$A$967,$A8,Pointage!$D$2:$D$967,$B8,Pointage!$E$2:$E$967,$C8)</f>
        <v>1.83333333333333</v>
      </c>
      <c r="N8" s="11" t="n">
        <f aca="false">SUMIFS(Pointage!$M$2:$M$967,Pointage!$A$2:$A$967,$A8,Pointage!$D$2:$D$967,$B8,Pointage!$E$2:$E$967,$C8)</f>
        <v>1.83333333333333</v>
      </c>
      <c r="O8" s="10" t="n">
        <f aca="false">IFERROR(F8/(F8+G8),"")</f>
        <v>1</v>
      </c>
      <c r="P8" s="10" t="n">
        <f aca="false">IFERROR(N8/M8,"")</f>
        <v>1</v>
      </c>
    </row>
    <row r="9" customFormat="false" ht="15" hidden="false" customHeight="false" outlineLevel="0" collapsed="false">
      <c r="A9" s="7" t="s">
        <v>24</v>
      </c>
      <c r="B9" s="8" t="n">
        <v>2026</v>
      </c>
      <c r="C9" s="8" t="n">
        <v>4</v>
      </c>
      <c r="D9" s="8" t="s">
        <v>61</v>
      </c>
      <c r="E9" s="8" t="n">
        <f aca="false">F9+G9+H9</f>
        <v>3</v>
      </c>
      <c r="F9" s="8" t="n">
        <f aca="false">COUNTIFS(Pointage!$A$2:$A$967,$A9,Pointage!$D$2:$D$967,$B9,Pointage!$E$2:$E$967,$C9,Pointage!$Q$2:$Q$967,"P")</f>
        <v>2</v>
      </c>
      <c r="G9" s="17" t="n">
        <f aca="false">COUNTIFS(Pointage!$A$2:$A$967,$A9,Pointage!$D$2:$D$967,$B9,Pointage!$E$2:$E$967,$C9,Pointage!$Q$2:$Q$967,"A")</f>
        <v>1</v>
      </c>
      <c r="H9" s="8" t="n">
        <f aca="false">COUNTIFS(Pointage!$A$2:$A$967,$A9,Pointage!$D$2:$D$967,$B9,Pointage!$E$2:$E$967,$C9,Pointage!$Q$2:$Q$967,"NR")</f>
        <v>0</v>
      </c>
      <c r="I9" s="8" t="n">
        <f aca="false">COUNTIFS(Pointage!$A$2:$A$967,$A9,Pointage!$D$2:$D$967,$B9,Pointage!$E$2:$E$967,$C9,Pointage!$Q$2:$Q$967,"CP")</f>
        <v>0</v>
      </c>
      <c r="J9" s="8" t="n">
        <f aca="false">COUNTIFS(Pointage!$A$2:$A$967,$A9,Pointage!$D$2:$D$967,$B9,Pointage!$E$2:$E$967,$C9,Pointage!$Q$2:$Q$967,"F")</f>
        <v>0</v>
      </c>
      <c r="K9" s="8" t="n">
        <f aca="false">COUNTIFS(Pointage!$A$2:$A$967,$A9,Pointage!$D$2:$D$967,$B9,Pointage!$E$2:$E$967,$C9,Pointage!$P$2:$P$967,"&gt;0")</f>
        <v>0</v>
      </c>
      <c r="L9" s="8" t="n">
        <f aca="false">SUMIFS(Pointage!$P$2:$P$967,Pointage!$A$2:$A$967,$A9,Pointage!$D$2:$D$967,$B9,Pointage!$E$2:$E$967,$C9)</f>
        <v>0</v>
      </c>
      <c r="M9" s="11" t="n">
        <f aca="false">SUMIFS(Pointage!$L$2:$L$967,Pointage!$A$2:$A$967,$A9,Pointage!$D$2:$D$967,$B9,Pointage!$E$2:$E$967,$C9)</f>
        <v>1.08333333333333</v>
      </c>
      <c r="N9" s="11" t="n">
        <f aca="false">SUMIFS(Pointage!$M$2:$M$967,Pointage!$A$2:$A$967,$A9,Pointage!$D$2:$D$967,$B9,Pointage!$E$2:$E$967,$C9)</f>
        <v>0.708333333333333</v>
      </c>
      <c r="O9" s="10" t="n">
        <f aca="false">IFERROR(F9/(F9+G9),"")</f>
        <v>0.666666666666667</v>
      </c>
      <c r="P9" s="10" t="n">
        <f aca="false">IFERROR(N9/M9,"")</f>
        <v>0.653846153846154</v>
      </c>
    </row>
    <row r="10" customFormat="false" ht="15" hidden="false" customHeight="false" outlineLevel="0" collapsed="false">
      <c r="A10" s="7" t="s">
        <v>24</v>
      </c>
      <c r="B10" s="8" t="n">
        <v>2026</v>
      </c>
      <c r="C10" s="8" t="n">
        <v>5</v>
      </c>
      <c r="D10" s="8" t="s">
        <v>62</v>
      </c>
      <c r="E10" s="8" t="n">
        <f aca="false">F10+G10+H10</f>
        <v>5</v>
      </c>
      <c r="F10" s="8" t="n">
        <f aca="false">COUNTIFS(Pointage!$A$2:$A$967,$A10,Pointage!$D$2:$D$967,$B10,Pointage!$E$2:$E$967,$C10,Pointage!$Q$2:$Q$967,"P")</f>
        <v>5</v>
      </c>
      <c r="G10" s="17" t="n">
        <f aca="false">COUNTIFS(Pointage!$A$2:$A$967,$A10,Pointage!$D$2:$D$967,$B10,Pointage!$E$2:$E$967,$C10,Pointage!$Q$2:$Q$967,"A")</f>
        <v>0</v>
      </c>
      <c r="H10" s="8" t="n">
        <f aca="false">COUNTIFS(Pointage!$A$2:$A$967,$A10,Pointage!$D$2:$D$967,$B10,Pointage!$E$2:$E$967,$C10,Pointage!$Q$2:$Q$967,"NR")</f>
        <v>0</v>
      </c>
      <c r="I10" s="8" t="n">
        <f aca="false">COUNTIFS(Pointage!$A$2:$A$967,$A10,Pointage!$D$2:$D$967,$B10,Pointage!$E$2:$E$967,$C10,Pointage!$Q$2:$Q$967,"CP")</f>
        <v>0</v>
      </c>
      <c r="J10" s="8" t="n">
        <f aca="false">COUNTIFS(Pointage!$A$2:$A$967,$A10,Pointage!$D$2:$D$967,$B10,Pointage!$E$2:$E$967,$C10,Pointage!$Q$2:$Q$967,"F")</f>
        <v>0</v>
      </c>
      <c r="K10" s="8" t="n">
        <f aca="false">COUNTIFS(Pointage!$A$2:$A$967,$A10,Pointage!$D$2:$D$967,$B10,Pointage!$E$2:$E$967,$C10,Pointage!$P$2:$P$967,"&gt;0")</f>
        <v>0</v>
      </c>
      <c r="L10" s="8" t="n">
        <f aca="false">SUMIFS(Pointage!$P$2:$P$967,Pointage!$A$2:$A$967,$A10,Pointage!$D$2:$D$967,$B10,Pointage!$E$2:$E$967,$C10)</f>
        <v>0</v>
      </c>
      <c r="M10" s="11" t="n">
        <f aca="false">SUMIFS(Pointage!$L$2:$L$967,Pointage!$A$2:$A$967,$A10,Pointage!$D$2:$D$967,$B10,Pointage!$E$2:$E$967,$C10)</f>
        <v>1.83333333333333</v>
      </c>
      <c r="N10" s="11" t="n">
        <f aca="false">SUMIFS(Pointage!$M$2:$M$967,Pointage!$A$2:$A$967,$A10,Pointage!$D$2:$D$967,$B10,Pointage!$E$2:$E$967,$C10)</f>
        <v>1.83333333333333</v>
      </c>
      <c r="O10" s="10" t="n">
        <f aca="false">IFERROR(F10/(F10+G10),"")</f>
        <v>1</v>
      </c>
      <c r="P10" s="10" t="n">
        <f aca="false">IFERROR(N10/M10,"")</f>
        <v>1</v>
      </c>
    </row>
    <row r="11" customFormat="false" ht="15" hidden="false" customHeight="false" outlineLevel="0" collapsed="false">
      <c r="A11" s="7" t="s">
        <v>24</v>
      </c>
      <c r="B11" s="8" t="n">
        <v>2026</v>
      </c>
      <c r="C11" s="8" t="n">
        <v>6</v>
      </c>
      <c r="D11" s="8" t="s">
        <v>63</v>
      </c>
      <c r="E11" s="8" t="n">
        <f aca="false">F11+G11+H11</f>
        <v>5</v>
      </c>
      <c r="F11" s="8" t="n">
        <f aca="false">COUNTIFS(Pointage!$A$2:$A$967,$A11,Pointage!$D$2:$D$967,$B11,Pointage!$E$2:$E$967,$C11,Pointage!$Q$2:$Q$967,"P")</f>
        <v>5</v>
      </c>
      <c r="G11" s="17" t="n">
        <f aca="false">COUNTIFS(Pointage!$A$2:$A$967,$A11,Pointage!$D$2:$D$967,$B11,Pointage!$E$2:$E$967,$C11,Pointage!$Q$2:$Q$967,"A")</f>
        <v>0</v>
      </c>
      <c r="H11" s="8" t="n">
        <f aca="false">COUNTIFS(Pointage!$A$2:$A$967,$A11,Pointage!$D$2:$D$967,$B11,Pointage!$E$2:$E$967,$C11,Pointage!$Q$2:$Q$967,"NR")</f>
        <v>0</v>
      </c>
      <c r="I11" s="8" t="n">
        <f aca="false">COUNTIFS(Pointage!$A$2:$A$967,$A11,Pointage!$D$2:$D$967,$B11,Pointage!$E$2:$E$967,$C11,Pointage!$Q$2:$Q$967,"CP")</f>
        <v>0</v>
      </c>
      <c r="J11" s="8" t="n">
        <f aca="false">COUNTIFS(Pointage!$A$2:$A$967,$A11,Pointage!$D$2:$D$967,$B11,Pointage!$E$2:$E$967,$C11,Pointage!$Q$2:$Q$967,"F")</f>
        <v>0</v>
      </c>
      <c r="K11" s="8" t="n">
        <f aca="false">COUNTIFS(Pointage!$A$2:$A$967,$A11,Pointage!$D$2:$D$967,$B11,Pointage!$E$2:$E$967,$C11,Pointage!$P$2:$P$967,"&gt;0")</f>
        <v>1</v>
      </c>
      <c r="L11" s="8" t="n">
        <f aca="false">SUMIFS(Pointage!$P$2:$P$967,Pointage!$A$2:$A$967,$A11,Pointage!$D$2:$D$967,$B11,Pointage!$E$2:$E$967,$C11)</f>
        <v>23</v>
      </c>
      <c r="M11" s="11" t="n">
        <f aca="false">SUMIFS(Pointage!$L$2:$L$967,Pointage!$A$2:$A$967,$A11,Pointage!$D$2:$D$967,$B11,Pointage!$E$2:$E$967,$C11)</f>
        <v>1.83333333333333</v>
      </c>
      <c r="N11" s="11" t="n">
        <f aca="false">SUMIFS(Pointage!$M$2:$M$967,Pointage!$A$2:$A$967,$A11,Pointage!$D$2:$D$967,$B11,Pointage!$E$2:$E$967,$C11)</f>
        <v>1.83333333333333</v>
      </c>
      <c r="O11" s="10" t="n">
        <f aca="false">IFERROR(F11/(F11+G11),"")</f>
        <v>1</v>
      </c>
      <c r="P11" s="10" t="n">
        <f aca="false">IFERROR(N11/M11,"")</f>
        <v>1</v>
      </c>
    </row>
    <row r="12" customFormat="false" ht="15" hidden="false" customHeight="false" outlineLevel="0" collapsed="false">
      <c r="A12" s="7" t="s">
        <v>24</v>
      </c>
      <c r="B12" s="8" t="n">
        <v>2026</v>
      </c>
      <c r="C12" s="8" t="n">
        <v>7</v>
      </c>
      <c r="D12" s="8" t="s">
        <v>64</v>
      </c>
      <c r="E12" s="8" t="n">
        <f aca="false">F12+G12+H12</f>
        <v>5</v>
      </c>
      <c r="F12" s="8" t="n">
        <f aca="false">COUNTIFS(Pointage!$A$2:$A$967,$A12,Pointage!$D$2:$D$967,$B12,Pointage!$E$2:$E$967,$C12,Pointage!$Q$2:$Q$967,"P")</f>
        <v>5</v>
      </c>
      <c r="G12" s="17" t="n">
        <f aca="false">COUNTIFS(Pointage!$A$2:$A$967,$A12,Pointage!$D$2:$D$967,$B12,Pointage!$E$2:$E$967,$C12,Pointage!$Q$2:$Q$967,"A")</f>
        <v>0</v>
      </c>
      <c r="H12" s="8" t="n">
        <f aca="false">COUNTIFS(Pointage!$A$2:$A$967,$A12,Pointage!$D$2:$D$967,$B12,Pointage!$E$2:$E$967,$C12,Pointage!$Q$2:$Q$967,"NR")</f>
        <v>0</v>
      </c>
      <c r="I12" s="8" t="n">
        <f aca="false">COUNTIFS(Pointage!$A$2:$A$967,$A12,Pointage!$D$2:$D$967,$B12,Pointage!$E$2:$E$967,$C12,Pointage!$Q$2:$Q$967,"CP")</f>
        <v>0</v>
      </c>
      <c r="J12" s="8" t="n">
        <f aca="false">COUNTIFS(Pointage!$A$2:$A$967,$A12,Pointage!$D$2:$D$967,$B12,Pointage!$E$2:$E$967,$C12,Pointage!$Q$2:$Q$967,"F")</f>
        <v>0</v>
      </c>
      <c r="K12" s="8" t="n">
        <f aca="false">COUNTIFS(Pointage!$A$2:$A$967,$A12,Pointage!$D$2:$D$967,$B12,Pointage!$E$2:$E$967,$C12,Pointage!$P$2:$P$967,"&gt;0")</f>
        <v>0</v>
      </c>
      <c r="L12" s="8" t="n">
        <f aca="false">SUMIFS(Pointage!$P$2:$P$967,Pointage!$A$2:$A$967,$A12,Pointage!$D$2:$D$967,$B12,Pointage!$E$2:$E$967,$C12)</f>
        <v>0</v>
      </c>
      <c r="M12" s="11" t="n">
        <f aca="false">SUMIFS(Pointage!$L$2:$L$967,Pointage!$A$2:$A$967,$A12,Pointage!$D$2:$D$967,$B12,Pointage!$E$2:$E$967,$C12)</f>
        <v>1.83333333333333</v>
      </c>
      <c r="N12" s="11" t="n">
        <f aca="false">SUMIFS(Pointage!$M$2:$M$967,Pointage!$A$2:$A$967,$A12,Pointage!$D$2:$D$967,$B12,Pointage!$E$2:$E$967,$C12)</f>
        <v>1.83333333333333</v>
      </c>
      <c r="O12" s="10" t="n">
        <f aca="false">IFERROR(F12/(F12+G12),"")</f>
        <v>1</v>
      </c>
      <c r="P12" s="10" t="n">
        <f aca="false">IFERROR(N12/M12,"")</f>
        <v>1</v>
      </c>
    </row>
    <row r="13" customFormat="false" ht="15" hidden="false" customHeight="false" outlineLevel="0" collapsed="false">
      <c r="A13" s="7" t="s">
        <v>24</v>
      </c>
      <c r="B13" s="8" t="n">
        <v>2026</v>
      </c>
      <c r="C13" s="8" t="n">
        <v>8</v>
      </c>
      <c r="D13" s="8" t="s">
        <v>65</v>
      </c>
      <c r="E13" s="8" t="n">
        <f aca="false">F13+G13+H13</f>
        <v>0</v>
      </c>
      <c r="F13" s="8" t="n">
        <f aca="false">COUNTIFS(Pointage!$A$2:$A$967,$A13,Pointage!$D$2:$D$967,$B13,Pointage!$E$2:$E$967,$C13,Pointage!$Q$2:$Q$967,"P")</f>
        <v>0</v>
      </c>
      <c r="G13" s="17" t="n">
        <f aca="false">COUNTIFS(Pointage!$A$2:$A$967,$A13,Pointage!$D$2:$D$967,$B13,Pointage!$E$2:$E$967,$C13,Pointage!$Q$2:$Q$967,"A")</f>
        <v>0</v>
      </c>
      <c r="H13" s="8" t="n">
        <f aca="false">COUNTIFS(Pointage!$A$2:$A$967,$A13,Pointage!$D$2:$D$967,$B13,Pointage!$E$2:$E$967,$C13,Pointage!$Q$2:$Q$967,"NR")</f>
        <v>0</v>
      </c>
      <c r="I13" s="8" t="n">
        <f aca="false">COUNTIFS(Pointage!$A$2:$A$967,$A13,Pointage!$D$2:$D$967,$B13,Pointage!$E$2:$E$967,$C13,Pointage!$Q$2:$Q$967,"CP")</f>
        <v>0</v>
      </c>
      <c r="J13" s="8" t="n">
        <f aca="false">COUNTIFS(Pointage!$A$2:$A$967,$A13,Pointage!$D$2:$D$967,$B13,Pointage!$E$2:$E$967,$C13,Pointage!$Q$2:$Q$967,"F")</f>
        <v>0</v>
      </c>
      <c r="K13" s="8" t="n">
        <f aca="false">COUNTIFS(Pointage!$A$2:$A$967,$A13,Pointage!$D$2:$D$967,$B13,Pointage!$E$2:$E$967,$C13,Pointage!$P$2:$P$967,"&gt;0")</f>
        <v>0</v>
      </c>
      <c r="L13" s="8" t="n">
        <f aca="false">SUMIFS(Pointage!$P$2:$P$967,Pointage!$A$2:$A$967,$A13,Pointage!$D$2:$D$967,$B13,Pointage!$E$2:$E$967,$C13)</f>
        <v>0</v>
      </c>
      <c r="M13" s="11" t="n">
        <f aca="false">SUMIFS(Pointage!$L$2:$L$967,Pointage!$A$2:$A$967,$A13,Pointage!$D$2:$D$967,$B13,Pointage!$E$2:$E$967,$C13)</f>
        <v>0</v>
      </c>
      <c r="N13" s="11" t="n">
        <f aca="false">SUMIFS(Pointage!$M$2:$M$967,Pointage!$A$2:$A$967,$A13,Pointage!$D$2:$D$967,$B13,Pointage!$E$2:$E$967,$C13)</f>
        <v>0</v>
      </c>
      <c r="O13" s="10" t="str">
        <f aca="false">IFERROR(F13/(F13+G13),"")</f>
        <v/>
      </c>
      <c r="P13" s="10" t="str">
        <f aca="false">IFERROR(N13/M13,"")</f>
        <v/>
      </c>
    </row>
    <row r="14" customFormat="false" ht="15" hidden="false" customHeight="false" outlineLevel="0" collapsed="false">
      <c r="A14" s="7" t="s">
        <v>24</v>
      </c>
      <c r="B14" s="8" t="n">
        <v>2026</v>
      </c>
      <c r="C14" s="8" t="n">
        <v>9</v>
      </c>
      <c r="D14" s="8" t="s">
        <v>66</v>
      </c>
      <c r="E14" s="8" t="n">
        <f aca="false">F14+G14+H14</f>
        <v>5</v>
      </c>
      <c r="F14" s="8" t="n">
        <f aca="false">COUNTIFS(Pointage!$A$2:$A$967,$A14,Pointage!$D$2:$D$967,$B14,Pointage!$E$2:$E$967,$C14,Pointage!$Q$2:$Q$967,"P")</f>
        <v>5</v>
      </c>
      <c r="G14" s="17" t="n">
        <f aca="false">COUNTIFS(Pointage!$A$2:$A$967,$A14,Pointage!$D$2:$D$967,$B14,Pointage!$E$2:$E$967,$C14,Pointage!$Q$2:$Q$967,"A")</f>
        <v>0</v>
      </c>
      <c r="H14" s="8" t="n">
        <f aca="false">COUNTIFS(Pointage!$A$2:$A$967,$A14,Pointage!$D$2:$D$967,$B14,Pointage!$E$2:$E$967,$C14,Pointage!$Q$2:$Q$967,"NR")</f>
        <v>0</v>
      </c>
      <c r="I14" s="8" t="n">
        <f aca="false">COUNTIFS(Pointage!$A$2:$A$967,$A14,Pointage!$D$2:$D$967,$B14,Pointage!$E$2:$E$967,$C14,Pointage!$Q$2:$Q$967,"CP")</f>
        <v>0</v>
      </c>
      <c r="J14" s="8" t="n">
        <f aca="false">COUNTIFS(Pointage!$A$2:$A$967,$A14,Pointage!$D$2:$D$967,$B14,Pointage!$E$2:$E$967,$C14,Pointage!$Q$2:$Q$967,"F")</f>
        <v>0</v>
      </c>
      <c r="K14" s="8" t="n">
        <f aca="false">COUNTIFS(Pointage!$A$2:$A$967,$A14,Pointage!$D$2:$D$967,$B14,Pointage!$E$2:$E$967,$C14,Pointage!$P$2:$P$967,"&gt;0")</f>
        <v>0</v>
      </c>
      <c r="L14" s="8" t="n">
        <f aca="false">SUMIFS(Pointage!$P$2:$P$967,Pointage!$A$2:$A$967,$A14,Pointage!$D$2:$D$967,$B14,Pointage!$E$2:$E$967,$C14)</f>
        <v>0</v>
      </c>
      <c r="M14" s="11" t="n">
        <f aca="false">SUMIFS(Pointage!$L$2:$L$967,Pointage!$A$2:$A$967,$A14,Pointage!$D$2:$D$967,$B14,Pointage!$E$2:$E$967,$C14)</f>
        <v>1.83333333333333</v>
      </c>
      <c r="N14" s="11" t="n">
        <f aca="false">SUMIFS(Pointage!$M$2:$M$967,Pointage!$A$2:$A$967,$A14,Pointage!$D$2:$D$967,$B14,Pointage!$E$2:$E$967,$C14)</f>
        <v>1.83333333333333</v>
      </c>
      <c r="O14" s="10" t="n">
        <f aca="false">IFERROR(F14/(F14+G14),"")</f>
        <v>1</v>
      </c>
      <c r="P14" s="10" t="n">
        <f aca="false">IFERROR(N14/M14,"")</f>
        <v>1</v>
      </c>
    </row>
    <row r="15" customFormat="false" ht="15" hidden="false" customHeight="false" outlineLevel="0" collapsed="false">
      <c r="A15" s="7" t="s">
        <v>24</v>
      </c>
      <c r="B15" s="8" t="n">
        <v>2026</v>
      </c>
      <c r="C15" s="8" t="n">
        <v>10</v>
      </c>
      <c r="D15" s="8" t="s">
        <v>67</v>
      </c>
      <c r="E15" s="8" t="n">
        <f aca="false">F15+G15+H15</f>
        <v>5</v>
      </c>
      <c r="F15" s="8" t="n">
        <f aca="false">COUNTIFS(Pointage!$A$2:$A$967,$A15,Pointage!$D$2:$D$967,$B15,Pointage!$E$2:$E$967,$C15,Pointage!$Q$2:$Q$967,"P")</f>
        <v>5</v>
      </c>
      <c r="G15" s="17" t="n">
        <f aca="false">COUNTIFS(Pointage!$A$2:$A$967,$A15,Pointage!$D$2:$D$967,$B15,Pointage!$E$2:$E$967,$C15,Pointage!$Q$2:$Q$967,"A")</f>
        <v>0</v>
      </c>
      <c r="H15" s="8" t="n">
        <f aca="false">COUNTIFS(Pointage!$A$2:$A$967,$A15,Pointage!$D$2:$D$967,$B15,Pointage!$E$2:$E$967,$C15,Pointage!$Q$2:$Q$967,"NR")</f>
        <v>0</v>
      </c>
      <c r="I15" s="8" t="n">
        <f aca="false">COUNTIFS(Pointage!$A$2:$A$967,$A15,Pointage!$D$2:$D$967,$B15,Pointage!$E$2:$E$967,$C15,Pointage!$Q$2:$Q$967,"CP")</f>
        <v>0</v>
      </c>
      <c r="J15" s="8" t="n">
        <f aca="false">COUNTIFS(Pointage!$A$2:$A$967,$A15,Pointage!$D$2:$D$967,$B15,Pointage!$E$2:$E$967,$C15,Pointage!$Q$2:$Q$967,"F")</f>
        <v>0</v>
      </c>
      <c r="K15" s="8" t="n">
        <f aca="false">COUNTIFS(Pointage!$A$2:$A$967,$A15,Pointage!$D$2:$D$967,$B15,Pointage!$E$2:$E$967,$C15,Pointage!$P$2:$P$967,"&gt;0")</f>
        <v>0</v>
      </c>
      <c r="L15" s="8" t="n">
        <f aca="false">SUMIFS(Pointage!$P$2:$P$967,Pointage!$A$2:$A$967,$A15,Pointage!$D$2:$D$967,$B15,Pointage!$E$2:$E$967,$C15)</f>
        <v>0</v>
      </c>
      <c r="M15" s="11" t="n">
        <f aca="false">SUMIFS(Pointage!$L$2:$L$967,Pointage!$A$2:$A$967,$A15,Pointage!$D$2:$D$967,$B15,Pointage!$E$2:$E$967,$C15)</f>
        <v>1.83333333333333</v>
      </c>
      <c r="N15" s="11" t="n">
        <f aca="false">SUMIFS(Pointage!$M$2:$M$967,Pointage!$A$2:$A$967,$A15,Pointage!$D$2:$D$967,$B15,Pointage!$E$2:$E$967,$C15)</f>
        <v>1.83333333333333</v>
      </c>
      <c r="O15" s="10" t="n">
        <f aca="false">IFERROR(F15/(F15+G15),"")</f>
        <v>1</v>
      </c>
      <c r="P15" s="10" t="n">
        <f aca="false">IFERROR(N15/M15,"")</f>
        <v>1</v>
      </c>
    </row>
    <row r="16" customFormat="false" ht="15" hidden="false" customHeight="false" outlineLevel="0" collapsed="false">
      <c r="A16" s="7" t="s">
        <v>24</v>
      </c>
      <c r="B16" s="8" t="n">
        <v>2026</v>
      </c>
      <c r="C16" s="8" t="n">
        <v>11</v>
      </c>
      <c r="D16" s="8" t="s">
        <v>68</v>
      </c>
      <c r="E16" s="8" t="n">
        <f aca="false">F16+G16+H16</f>
        <v>5</v>
      </c>
      <c r="F16" s="8" t="n">
        <f aca="false">COUNTIFS(Pointage!$A$2:$A$967,$A16,Pointage!$D$2:$D$967,$B16,Pointage!$E$2:$E$967,$C16,Pointage!$Q$2:$Q$967,"P")</f>
        <v>5</v>
      </c>
      <c r="G16" s="17" t="n">
        <f aca="false">COUNTIFS(Pointage!$A$2:$A$967,$A16,Pointage!$D$2:$D$967,$B16,Pointage!$E$2:$E$967,$C16,Pointage!$Q$2:$Q$967,"A")</f>
        <v>0</v>
      </c>
      <c r="H16" s="8" t="n">
        <f aca="false">COUNTIFS(Pointage!$A$2:$A$967,$A16,Pointage!$D$2:$D$967,$B16,Pointage!$E$2:$E$967,$C16,Pointage!$Q$2:$Q$967,"NR")</f>
        <v>0</v>
      </c>
      <c r="I16" s="8" t="n">
        <f aca="false">COUNTIFS(Pointage!$A$2:$A$967,$A16,Pointage!$D$2:$D$967,$B16,Pointage!$E$2:$E$967,$C16,Pointage!$Q$2:$Q$967,"CP")</f>
        <v>0</v>
      </c>
      <c r="J16" s="8" t="n">
        <f aca="false">COUNTIFS(Pointage!$A$2:$A$967,$A16,Pointage!$D$2:$D$967,$B16,Pointage!$E$2:$E$967,$C16,Pointage!$Q$2:$Q$967,"F")</f>
        <v>0</v>
      </c>
      <c r="K16" s="8" t="n">
        <f aca="false">COUNTIFS(Pointage!$A$2:$A$967,$A16,Pointage!$D$2:$D$967,$B16,Pointage!$E$2:$E$967,$C16,Pointage!$P$2:$P$967,"&gt;0")</f>
        <v>0</v>
      </c>
      <c r="L16" s="8" t="n">
        <f aca="false">SUMIFS(Pointage!$P$2:$P$967,Pointage!$A$2:$A$967,$A16,Pointage!$D$2:$D$967,$B16,Pointage!$E$2:$E$967,$C16)</f>
        <v>0</v>
      </c>
      <c r="M16" s="11" t="n">
        <f aca="false">SUMIFS(Pointage!$L$2:$L$967,Pointage!$A$2:$A$967,$A16,Pointage!$D$2:$D$967,$B16,Pointage!$E$2:$E$967,$C16)</f>
        <v>1.83333333333333</v>
      </c>
      <c r="N16" s="11" t="n">
        <f aca="false">SUMIFS(Pointage!$M$2:$M$967,Pointage!$A$2:$A$967,$A16,Pointage!$D$2:$D$967,$B16,Pointage!$E$2:$E$967,$C16)</f>
        <v>1.83333333333333</v>
      </c>
      <c r="O16" s="10" t="n">
        <f aca="false">IFERROR(F16/(F16+G16),"")</f>
        <v>1</v>
      </c>
      <c r="P16" s="10" t="n">
        <f aca="false">IFERROR(N16/M16,"")</f>
        <v>1</v>
      </c>
    </row>
    <row r="17" customFormat="false" ht="15" hidden="false" customHeight="false" outlineLevel="0" collapsed="false">
      <c r="A17" s="7" t="s">
        <v>24</v>
      </c>
      <c r="B17" s="8" t="n">
        <v>2026</v>
      </c>
      <c r="C17" s="8" t="n">
        <v>12</v>
      </c>
      <c r="D17" s="8" t="s">
        <v>69</v>
      </c>
      <c r="E17" s="8" t="n">
        <f aca="false">F17+G17+H17</f>
        <v>0</v>
      </c>
      <c r="F17" s="8" t="n">
        <f aca="false">COUNTIFS(Pointage!$A$2:$A$967,$A17,Pointage!$D$2:$D$967,$B17,Pointage!$E$2:$E$967,$C17,Pointage!$Q$2:$Q$967,"P")</f>
        <v>0</v>
      </c>
      <c r="G17" s="17" t="n">
        <f aca="false">COUNTIFS(Pointage!$A$2:$A$967,$A17,Pointage!$D$2:$D$967,$B17,Pointage!$E$2:$E$967,$C17,Pointage!$Q$2:$Q$967,"A")</f>
        <v>0</v>
      </c>
      <c r="H17" s="8" t="n">
        <f aca="false">COUNTIFS(Pointage!$A$2:$A$967,$A17,Pointage!$D$2:$D$967,$B17,Pointage!$E$2:$E$967,$C17,Pointage!$Q$2:$Q$967,"NR")</f>
        <v>0</v>
      </c>
      <c r="I17" s="8" t="n">
        <f aca="false">COUNTIFS(Pointage!$A$2:$A$967,$A17,Pointage!$D$2:$D$967,$B17,Pointage!$E$2:$E$967,$C17,Pointage!$Q$2:$Q$967,"CP")</f>
        <v>0</v>
      </c>
      <c r="J17" s="8" t="n">
        <f aca="false">COUNTIFS(Pointage!$A$2:$A$967,$A17,Pointage!$D$2:$D$967,$B17,Pointage!$E$2:$E$967,$C17,Pointage!$Q$2:$Q$967,"F")</f>
        <v>0</v>
      </c>
      <c r="K17" s="8" t="n">
        <f aca="false">COUNTIFS(Pointage!$A$2:$A$967,$A17,Pointage!$D$2:$D$967,$B17,Pointage!$E$2:$E$967,$C17,Pointage!$P$2:$P$967,"&gt;0")</f>
        <v>0</v>
      </c>
      <c r="L17" s="8" t="n">
        <f aca="false">SUMIFS(Pointage!$P$2:$P$967,Pointage!$A$2:$A$967,$A17,Pointage!$D$2:$D$967,$B17,Pointage!$E$2:$E$967,$C17)</f>
        <v>0</v>
      </c>
      <c r="M17" s="11" t="n">
        <f aca="false">SUMIFS(Pointage!$L$2:$L$967,Pointage!$A$2:$A$967,$A17,Pointage!$D$2:$D$967,$B17,Pointage!$E$2:$E$967,$C17)</f>
        <v>0</v>
      </c>
      <c r="N17" s="11" t="n">
        <f aca="false">SUMIFS(Pointage!$M$2:$M$967,Pointage!$A$2:$A$967,$A17,Pointage!$D$2:$D$967,$B17,Pointage!$E$2:$E$967,$C17)</f>
        <v>0</v>
      </c>
      <c r="O17" s="10" t="str">
        <f aca="false">IFERROR(F17/(F17+G17),"")</f>
        <v/>
      </c>
      <c r="P17" s="10" t="str">
        <f aca="false">IFERROR(N17/M17,"")</f>
        <v/>
      </c>
    </row>
    <row r="18" customFormat="false" ht="15" hidden="false" customHeight="false" outlineLevel="0" collapsed="false">
      <c r="A18" s="7" t="s">
        <v>24</v>
      </c>
      <c r="B18" s="8" t="n">
        <v>2026</v>
      </c>
      <c r="C18" s="8" t="n">
        <v>13</v>
      </c>
      <c r="D18" s="8" t="s">
        <v>70</v>
      </c>
      <c r="E18" s="8" t="n">
        <f aca="false">F18+G18+H18</f>
        <v>5</v>
      </c>
      <c r="F18" s="8" t="n">
        <f aca="false">COUNTIFS(Pointage!$A$2:$A$967,$A18,Pointage!$D$2:$D$967,$B18,Pointage!$E$2:$E$967,$C18,Pointage!$Q$2:$Q$967,"P")</f>
        <v>5</v>
      </c>
      <c r="G18" s="17" t="n">
        <f aca="false">COUNTIFS(Pointage!$A$2:$A$967,$A18,Pointage!$D$2:$D$967,$B18,Pointage!$E$2:$E$967,$C18,Pointage!$Q$2:$Q$967,"A")</f>
        <v>0</v>
      </c>
      <c r="H18" s="8" t="n">
        <f aca="false">COUNTIFS(Pointage!$A$2:$A$967,$A18,Pointage!$D$2:$D$967,$B18,Pointage!$E$2:$E$967,$C18,Pointage!$Q$2:$Q$967,"NR")</f>
        <v>0</v>
      </c>
      <c r="I18" s="8" t="n">
        <f aca="false">COUNTIFS(Pointage!$A$2:$A$967,$A18,Pointage!$D$2:$D$967,$B18,Pointage!$E$2:$E$967,$C18,Pointage!$Q$2:$Q$967,"CP")</f>
        <v>0</v>
      </c>
      <c r="J18" s="8" t="n">
        <f aca="false">COUNTIFS(Pointage!$A$2:$A$967,$A18,Pointage!$D$2:$D$967,$B18,Pointage!$E$2:$E$967,$C18,Pointage!$Q$2:$Q$967,"F")</f>
        <v>0</v>
      </c>
      <c r="K18" s="8" t="n">
        <f aca="false">COUNTIFS(Pointage!$A$2:$A$967,$A18,Pointage!$D$2:$D$967,$B18,Pointage!$E$2:$E$967,$C18,Pointage!$P$2:$P$967,"&gt;0")</f>
        <v>0</v>
      </c>
      <c r="L18" s="8" t="n">
        <f aca="false">SUMIFS(Pointage!$P$2:$P$967,Pointage!$A$2:$A$967,$A18,Pointage!$D$2:$D$967,$B18,Pointage!$E$2:$E$967,$C18)</f>
        <v>0</v>
      </c>
      <c r="M18" s="11" t="n">
        <f aca="false">SUMIFS(Pointage!$L$2:$L$967,Pointage!$A$2:$A$967,$A18,Pointage!$D$2:$D$967,$B18,Pointage!$E$2:$E$967,$C18)</f>
        <v>1.83333333333333</v>
      </c>
      <c r="N18" s="11" t="n">
        <f aca="false">SUMIFS(Pointage!$M$2:$M$967,Pointage!$A$2:$A$967,$A18,Pointage!$D$2:$D$967,$B18,Pointage!$E$2:$E$967,$C18)</f>
        <v>1.83333333333333</v>
      </c>
      <c r="O18" s="10" t="n">
        <f aca="false">IFERROR(F18/(F18+G18),"")</f>
        <v>1</v>
      </c>
      <c r="P18" s="10" t="n">
        <f aca="false">IFERROR(N18/M18,"")</f>
        <v>1</v>
      </c>
    </row>
    <row r="19" customFormat="false" ht="15" hidden="false" customHeight="false" outlineLevel="0" collapsed="false">
      <c r="A19" s="7" t="s">
        <v>24</v>
      </c>
      <c r="B19" s="8" t="n">
        <v>2026</v>
      </c>
      <c r="C19" s="8" t="n">
        <v>14</v>
      </c>
      <c r="D19" s="8" t="s">
        <v>71</v>
      </c>
      <c r="E19" s="8" t="n">
        <f aca="false">F19+G19+H19</f>
        <v>5</v>
      </c>
      <c r="F19" s="8" t="n">
        <f aca="false">COUNTIFS(Pointage!$A$2:$A$967,$A19,Pointage!$D$2:$D$967,$B19,Pointage!$E$2:$E$967,$C19,Pointage!$Q$2:$Q$967,"P")</f>
        <v>5</v>
      </c>
      <c r="G19" s="17" t="n">
        <f aca="false">COUNTIFS(Pointage!$A$2:$A$967,$A19,Pointage!$D$2:$D$967,$B19,Pointage!$E$2:$E$967,$C19,Pointage!$Q$2:$Q$967,"A")</f>
        <v>0</v>
      </c>
      <c r="H19" s="8" t="n">
        <f aca="false">COUNTIFS(Pointage!$A$2:$A$967,$A19,Pointage!$D$2:$D$967,$B19,Pointage!$E$2:$E$967,$C19,Pointage!$Q$2:$Q$967,"NR")</f>
        <v>0</v>
      </c>
      <c r="I19" s="8" t="n">
        <f aca="false">COUNTIFS(Pointage!$A$2:$A$967,$A19,Pointage!$D$2:$D$967,$B19,Pointage!$E$2:$E$967,$C19,Pointage!$Q$2:$Q$967,"CP")</f>
        <v>0</v>
      </c>
      <c r="J19" s="8" t="n">
        <f aca="false">COUNTIFS(Pointage!$A$2:$A$967,$A19,Pointage!$D$2:$D$967,$B19,Pointage!$E$2:$E$967,$C19,Pointage!$Q$2:$Q$967,"F")</f>
        <v>0</v>
      </c>
      <c r="K19" s="8" t="n">
        <f aca="false">COUNTIFS(Pointage!$A$2:$A$967,$A19,Pointage!$D$2:$D$967,$B19,Pointage!$E$2:$E$967,$C19,Pointage!$P$2:$P$967,"&gt;0")</f>
        <v>0</v>
      </c>
      <c r="L19" s="8" t="n">
        <f aca="false">SUMIFS(Pointage!$P$2:$P$967,Pointage!$A$2:$A$967,$A19,Pointage!$D$2:$D$967,$B19,Pointage!$E$2:$E$967,$C19)</f>
        <v>0</v>
      </c>
      <c r="M19" s="11" t="n">
        <f aca="false">SUMIFS(Pointage!$L$2:$L$967,Pointage!$A$2:$A$967,$A19,Pointage!$D$2:$D$967,$B19,Pointage!$E$2:$E$967,$C19)</f>
        <v>1.83333333333333</v>
      </c>
      <c r="N19" s="11" t="n">
        <f aca="false">SUMIFS(Pointage!$M$2:$M$967,Pointage!$A$2:$A$967,$A19,Pointage!$D$2:$D$967,$B19,Pointage!$E$2:$E$967,$C19)</f>
        <v>1.83333333333333</v>
      </c>
      <c r="O19" s="10" t="n">
        <f aca="false">IFERROR(F19/(F19+G19),"")</f>
        <v>1</v>
      </c>
      <c r="P19" s="10" t="n">
        <f aca="false">IFERROR(N19/M19,"")</f>
        <v>1</v>
      </c>
    </row>
    <row r="20" customFormat="false" ht="15" hidden="false" customHeight="false" outlineLevel="0" collapsed="false">
      <c r="A20" s="7" t="s">
        <v>24</v>
      </c>
      <c r="B20" s="8" t="n">
        <v>2026</v>
      </c>
      <c r="C20" s="8" t="n">
        <v>15</v>
      </c>
      <c r="D20" s="8" t="s">
        <v>72</v>
      </c>
      <c r="E20" s="8" t="n">
        <f aca="false">F20+G20+H20</f>
        <v>4</v>
      </c>
      <c r="F20" s="8" t="n">
        <f aca="false">COUNTIFS(Pointage!$A$2:$A$967,$A20,Pointage!$D$2:$D$967,$B20,Pointage!$E$2:$E$967,$C20,Pointage!$Q$2:$Q$967,"P")</f>
        <v>4</v>
      </c>
      <c r="G20" s="17" t="n">
        <f aca="false">COUNTIFS(Pointage!$A$2:$A$967,$A20,Pointage!$D$2:$D$967,$B20,Pointage!$E$2:$E$967,$C20,Pointage!$Q$2:$Q$967,"A")</f>
        <v>0</v>
      </c>
      <c r="H20" s="8" t="n">
        <f aca="false">COUNTIFS(Pointage!$A$2:$A$967,$A20,Pointage!$D$2:$D$967,$B20,Pointage!$E$2:$E$967,$C20,Pointage!$Q$2:$Q$967,"NR")</f>
        <v>0</v>
      </c>
      <c r="I20" s="8" t="n">
        <f aca="false">COUNTIFS(Pointage!$A$2:$A$967,$A20,Pointage!$D$2:$D$967,$B20,Pointage!$E$2:$E$967,$C20,Pointage!$Q$2:$Q$967,"CP")</f>
        <v>0</v>
      </c>
      <c r="J20" s="8" t="n">
        <f aca="false">COUNTIFS(Pointage!$A$2:$A$967,$A20,Pointage!$D$2:$D$967,$B20,Pointage!$E$2:$E$967,$C20,Pointage!$Q$2:$Q$967,"F")</f>
        <v>0</v>
      </c>
      <c r="K20" s="8" t="n">
        <f aca="false">COUNTIFS(Pointage!$A$2:$A$967,$A20,Pointage!$D$2:$D$967,$B20,Pointage!$E$2:$E$967,$C20,Pointage!$P$2:$P$967,"&gt;0")</f>
        <v>0</v>
      </c>
      <c r="L20" s="8" t="n">
        <f aca="false">SUMIFS(Pointage!$P$2:$P$967,Pointage!$A$2:$A$967,$A20,Pointage!$D$2:$D$967,$B20,Pointage!$E$2:$E$967,$C20)</f>
        <v>0</v>
      </c>
      <c r="M20" s="11" t="n">
        <f aca="false">SUMIFS(Pointage!$L$2:$L$967,Pointage!$A$2:$A$967,$A20,Pointage!$D$2:$D$967,$B20,Pointage!$E$2:$E$967,$C20)</f>
        <v>1.45833333333333</v>
      </c>
      <c r="N20" s="11" t="n">
        <f aca="false">SUMIFS(Pointage!$M$2:$M$967,Pointage!$A$2:$A$967,$A20,Pointage!$D$2:$D$967,$B20,Pointage!$E$2:$E$967,$C20)</f>
        <v>1.45833333333333</v>
      </c>
      <c r="O20" s="10" t="n">
        <f aca="false">IFERROR(F20/(F20+G20),"")</f>
        <v>1</v>
      </c>
      <c r="P20" s="10" t="n">
        <f aca="false">IFERROR(N20/M20,"")</f>
        <v>1</v>
      </c>
    </row>
    <row r="21" customFormat="false" ht="15" hidden="false" customHeight="false" outlineLevel="0" collapsed="false">
      <c r="A21" s="7" t="s">
        <v>24</v>
      </c>
      <c r="B21" s="8" t="n">
        <v>2026</v>
      </c>
      <c r="C21" s="8" t="n">
        <v>16</v>
      </c>
      <c r="D21" s="8" t="s">
        <v>73</v>
      </c>
      <c r="E21" s="8" t="n">
        <f aca="false">F21+G21+H21</f>
        <v>3</v>
      </c>
      <c r="F21" s="8" t="n">
        <f aca="false">COUNTIFS(Pointage!$A$2:$A$967,$A21,Pointage!$D$2:$D$967,$B21,Pointage!$E$2:$E$967,$C21,Pointage!$Q$2:$Q$967,"P")</f>
        <v>3</v>
      </c>
      <c r="G21" s="17" t="n">
        <f aca="false">COUNTIFS(Pointage!$A$2:$A$967,$A21,Pointage!$D$2:$D$967,$B21,Pointage!$E$2:$E$967,$C21,Pointage!$Q$2:$Q$967,"A")</f>
        <v>0</v>
      </c>
      <c r="H21" s="8" t="n">
        <f aca="false">COUNTIFS(Pointage!$A$2:$A$967,$A21,Pointage!$D$2:$D$967,$B21,Pointage!$E$2:$E$967,$C21,Pointage!$Q$2:$Q$967,"NR")</f>
        <v>0</v>
      </c>
      <c r="I21" s="8" t="n">
        <f aca="false">COUNTIFS(Pointage!$A$2:$A$967,$A21,Pointage!$D$2:$D$967,$B21,Pointage!$E$2:$E$967,$C21,Pointage!$Q$2:$Q$967,"CP")</f>
        <v>2</v>
      </c>
      <c r="J21" s="8" t="n">
        <f aca="false">COUNTIFS(Pointage!$A$2:$A$967,$A21,Pointage!$D$2:$D$967,$B21,Pointage!$E$2:$E$967,$C21,Pointage!$Q$2:$Q$967,"F")</f>
        <v>0</v>
      </c>
      <c r="K21" s="8" t="n">
        <f aca="false">COUNTIFS(Pointage!$A$2:$A$967,$A21,Pointage!$D$2:$D$967,$B21,Pointage!$E$2:$E$967,$C21,Pointage!$P$2:$P$967,"&gt;0")</f>
        <v>0</v>
      </c>
      <c r="L21" s="8" t="n">
        <f aca="false">SUMIFS(Pointage!$P$2:$P$967,Pointage!$A$2:$A$967,$A21,Pointage!$D$2:$D$967,$B21,Pointage!$E$2:$E$967,$C21)</f>
        <v>0</v>
      </c>
      <c r="M21" s="11" t="n">
        <f aca="false">SUMIFS(Pointage!$L$2:$L$967,Pointage!$A$2:$A$967,$A21,Pointage!$D$2:$D$967,$B21,Pointage!$E$2:$E$967,$C21)</f>
        <v>1.08333333333333</v>
      </c>
      <c r="N21" s="11" t="n">
        <f aca="false">SUMIFS(Pointage!$M$2:$M$967,Pointage!$A$2:$A$967,$A21,Pointage!$D$2:$D$967,$B21,Pointage!$E$2:$E$967,$C21)</f>
        <v>1.08333333333333</v>
      </c>
      <c r="O21" s="10" t="n">
        <f aca="false">IFERROR(F21/(F21+G21),"")</f>
        <v>1</v>
      </c>
      <c r="P21" s="10" t="n">
        <f aca="false">IFERROR(N21/M21,"")</f>
        <v>1</v>
      </c>
    </row>
    <row r="22" customFormat="false" ht="15" hidden="false" customHeight="false" outlineLevel="0" collapsed="false">
      <c r="A22" s="7" t="s">
        <v>24</v>
      </c>
      <c r="B22" s="8" t="n">
        <v>2026</v>
      </c>
      <c r="C22" s="8" t="n">
        <v>17</v>
      </c>
      <c r="D22" s="8" t="s">
        <v>74</v>
      </c>
      <c r="E22" s="8" t="n">
        <f aca="false">F22+G22+H22</f>
        <v>2</v>
      </c>
      <c r="F22" s="8" t="n">
        <f aca="false">COUNTIFS(Pointage!$A$2:$A$967,$A22,Pointage!$D$2:$D$967,$B22,Pointage!$E$2:$E$967,$C22,Pointage!$Q$2:$Q$967,"P")</f>
        <v>2</v>
      </c>
      <c r="G22" s="17" t="n">
        <f aca="false">COUNTIFS(Pointage!$A$2:$A$967,$A22,Pointage!$D$2:$D$967,$B22,Pointage!$E$2:$E$967,$C22,Pointage!$Q$2:$Q$967,"A")</f>
        <v>0</v>
      </c>
      <c r="H22" s="8" t="n">
        <f aca="false">COUNTIFS(Pointage!$A$2:$A$967,$A22,Pointage!$D$2:$D$967,$B22,Pointage!$E$2:$E$967,$C22,Pointage!$Q$2:$Q$967,"NR")</f>
        <v>0</v>
      </c>
      <c r="I22" s="8" t="n">
        <f aca="false">COUNTIFS(Pointage!$A$2:$A$967,$A22,Pointage!$D$2:$D$967,$B22,Pointage!$E$2:$E$967,$C22,Pointage!$Q$2:$Q$967,"CP")</f>
        <v>0</v>
      </c>
      <c r="J22" s="8" t="n">
        <f aca="false">COUNTIFS(Pointage!$A$2:$A$967,$A22,Pointage!$D$2:$D$967,$B22,Pointage!$E$2:$E$967,$C22,Pointage!$Q$2:$Q$967,"F")</f>
        <v>0</v>
      </c>
      <c r="K22" s="8" t="n">
        <f aca="false">COUNTIFS(Pointage!$A$2:$A$967,$A22,Pointage!$D$2:$D$967,$B22,Pointage!$E$2:$E$967,$C22,Pointage!$P$2:$P$967,"&gt;0")</f>
        <v>0</v>
      </c>
      <c r="L22" s="8" t="n">
        <f aca="false">SUMIFS(Pointage!$P$2:$P$967,Pointage!$A$2:$A$967,$A22,Pointage!$D$2:$D$967,$B22,Pointage!$E$2:$E$967,$C22)</f>
        <v>0</v>
      </c>
      <c r="M22" s="11" t="n">
        <f aca="false">SUMIFS(Pointage!$L$2:$L$967,Pointage!$A$2:$A$967,$A22,Pointage!$D$2:$D$967,$B22,Pointage!$E$2:$E$967,$C22)</f>
        <v>0.75</v>
      </c>
      <c r="N22" s="11" t="n">
        <f aca="false">SUMIFS(Pointage!$M$2:$M$967,Pointage!$A$2:$A$967,$A22,Pointage!$D$2:$D$967,$B22,Pointage!$E$2:$E$967,$C22)</f>
        <v>0.75</v>
      </c>
      <c r="O22" s="10" t="n">
        <f aca="false">IFERROR(F22/(F22+G22),"")</f>
        <v>1</v>
      </c>
      <c r="P22" s="10" t="n">
        <f aca="false">IFERROR(N22/M22,"")</f>
        <v>1</v>
      </c>
    </row>
    <row r="23" customFormat="false" ht="15" hidden="false" customHeight="false" outlineLevel="0" collapsed="false">
      <c r="A23" s="7" t="s">
        <v>26</v>
      </c>
      <c r="B23" s="8" t="n">
        <v>2025</v>
      </c>
      <c r="C23" s="8" t="n">
        <v>51</v>
      </c>
      <c r="D23" s="8" t="s">
        <v>56</v>
      </c>
      <c r="E23" s="8" t="n">
        <f aca="false">F23+G23+H23</f>
        <v>0</v>
      </c>
      <c r="F23" s="8" t="n">
        <f aca="false">COUNTIFS(Pointage!$A$2:$A$967,$A23,Pointage!$D$2:$D$967,$B23,Pointage!$E$2:$E$967,$C23,Pointage!$Q$2:$Q$967,"P")</f>
        <v>0</v>
      </c>
      <c r="G23" s="17" t="n">
        <f aca="false">COUNTIFS(Pointage!$A$2:$A$967,$A23,Pointage!$D$2:$D$967,$B23,Pointage!$E$2:$E$967,$C23,Pointage!$Q$2:$Q$967,"A")</f>
        <v>0</v>
      </c>
      <c r="H23" s="8" t="n">
        <f aca="false">COUNTIFS(Pointage!$A$2:$A$967,$A23,Pointage!$D$2:$D$967,$B23,Pointage!$E$2:$E$967,$C23,Pointage!$Q$2:$Q$967,"NR")</f>
        <v>0</v>
      </c>
      <c r="I23" s="8" t="n">
        <f aca="false">COUNTIFS(Pointage!$A$2:$A$967,$A23,Pointage!$D$2:$D$967,$B23,Pointage!$E$2:$E$967,$C23,Pointage!$Q$2:$Q$967,"CP")</f>
        <v>0</v>
      </c>
      <c r="J23" s="8" t="n">
        <f aca="false">COUNTIFS(Pointage!$A$2:$A$967,$A23,Pointage!$D$2:$D$967,$B23,Pointage!$E$2:$E$967,$C23,Pointage!$Q$2:$Q$967,"F")</f>
        <v>0</v>
      </c>
      <c r="K23" s="8" t="n">
        <f aca="false">COUNTIFS(Pointage!$A$2:$A$967,$A23,Pointage!$D$2:$D$967,$B23,Pointage!$E$2:$E$967,$C23,Pointage!$P$2:$P$967,"&gt;0")</f>
        <v>0</v>
      </c>
      <c r="L23" s="8" t="n">
        <f aca="false">SUMIFS(Pointage!$P$2:$P$967,Pointage!$A$2:$A$967,$A23,Pointage!$D$2:$D$967,$B23,Pointage!$E$2:$E$967,$C23)</f>
        <v>0</v>
      </c>
      <c r="M23" s="11" t="n">
        <f aca="false">SUMIFS(Pointage!$L$2:$L$967,Pointage!$A$2:$A$967,$A23,Pointage!$D$2:$D$967,$B23,Pointage!$E$2:$E$967,$C23)</f>
        <v>0</v>
      </c>
      <c r="N23" s="11" t="n">
        <f aca="false">SUMIFS(Pointage!$M$2:$M$967,Pointage!$A$2:$A$967,$A23,Pointage!$D$2:$D$967,$B23,Pointage!$E$2:$E$967,$C23)</f>
        <v>0</v>
      </c>
      <c r="O23" s="10" t="str">
        <f aca="false">IFERROR(F23/(F23+G23),"")</f>
        <v/>
      </c>
      <c r="P23" s="10" t="str">
        <f aca="false">IFERROR(N23/M23,"")</f>
        <v/>
      </c>
    </row>
    <row r="24" customFormat="false" ht="15" hidden="false" customHeight="false" outlineLevel="0" collapsed="false">
      <c r="A24" s="7" t="s">
        <v>26</v>
      </c>
      <c r="B24" s="8" t="n">
        <v>2025</v>
      </c>
      <c r="C24" s="8" t="n">
        <v>52</v>
      </c>
      <c r="D24" s="8" t="s">
        <v>57</v>
      </c>
      <c r="E24" s="8" t="n">
        <f aca="false">F24+G24+H24</f>
        <v>4</v>
      </c>
      <c r="F24" s="8" t="n">
        <f aca="false">COUNTIFS(Pointage!$A$2:$A$967,$A24,Pointage!$D$2:$D$967,$B24,Pointage!$E$2:$E$967,$C24,Pointage!$Q$2:$Q$967,"P")</f>
        <v>4</v>
      </c>
      <c r="G24" s="17" t="n">
        <f aca="false">COUNTIFS(Pointage!$A$2:$A$967,$A24,Pointage!$D$2:$D$967,$B24,Pointage!$E$2:$E$967,$C24,Pointage!$Q$2:$Q$967,"A")</f>
        <v>0</v>
      </c>
      <c r="H24" s="8" t="n">
        <f aca="false">COUNTIFS(Pointage!$A$2:$A$967,$A24,Pointage!$D$2:$D$967,$B24,Pointage!$E$2:$E$967,$C24,Pointage!$Q$2:$Q$967,"NR")</f>
        <v>0</v>
      </c>
      <c r="I24" s="8" t="n">
        <f aca="false">COUNTIFS(Pointage!$A$2:$A$967,$A24,Pointage!$D$2:$D$967,$B24,Pointage!$E$2:$E$967,$C24,Pointage!$Q$2:$Q$967,"CP")</f>
        <v>0</v>
      </c>
      <c r="J24" s="8" t="n">
        <f aca="false">COUNTIFS(Pointage!$A$2:$A$967,$A24,Pointage!$D$2:$D$967,$B24,Pointage!$E$2:$E$967,$C24,Pointage!$Q$2:$Q$967,"F")</f>
        <v>0</v>
      </c>
      <c r="K24" s="8" t="n">
        <f aca="false">COUNTIFS(Pointage!$A$2:$A$967,$A24,Pointage!$D$2:$D$967,$B24,Pointage!$E$2:$E$967,$C24,Pointage!$P$2:$P$967,"&gt;0")</f>
        <v>0</v>
      </c>
      <c r="L24" s="8" t="n">
        <f aca="false">SUMIFS(Pointage!$P$2:$P$967,Pointage!$A$2:$A$967,$A24,Pointage!$D$2:$D$967,$B24,Pointage!$E$2:$E$967,$C24)</f>
        <v>0</v>
      </c>
      <c r="M24" s="11" t="n">
        <f aca="false">SUMIFS(Pointage!$L$2:$L$967,Pointage!$A$2:$A$967,$A24,Pointage!$D$2:$D$967,$B24,Pointage!$E$2:$E$967,$C24)</f>
        <v>1.45833333333333</v>
      </c>
      <c r="N24" s="11" t="n">
        <f aca="false">SUMIFS(Pointage!$M$2:$M$967,Pointage!$A$2:$A$967,$A24,Pointage!$D$2:$D$967,$B24,Pointage!$E$2:$E$967,$C24)</f>
        <v>1.45833333333333</v>
      </c>
      <c r="O24" s="10" t="n">
        <f aca="false">IFERROR(F24/(F24+G24),"")</f>
        <v>1</v>
      </c>
      <c r="P24" s="10" t="n">
        <f aca="false">IFERROR(N24/M24,"")</f>
        <v>1</v>
      </c>
    </row>
    <row r="25" customFormat="false" ht="15" hidden="false" customHeight="false" outlineLevel="0" collapsed="false">
      <c r="A25" s="7" t="s">
        <v>26</v>
      </c>
      <c r="B25" s="8" t="n">
        <v>2026</v>
      </c>
      <c r="C25" s="8" t="n">
        <v>1</v>
      </c>
      <c r="D25" s="8" t="s">
        <v>58</v>
      </c>
      <c r="E25" s="8" t="n">
        <f aca="false">F25+G25+H25</f>
        <v>4</v>
      </c>
      <c r="F25" s="8" t="n">
        <f aca="false">COUNTIFS(Pointage!$A$2:$A$967,$A25,Pointage!$D$2:$D$967,$B25,Pointage!$E$2:$E$967,$C25,Pointage!$Q$2:$Q$967,"P")</f>
        <v>4</v>
      </c>
      <c r="G25" s="17" t="n">
        <f aca="false">COUNTIFS(Pointage!$A$2:$A$967,$A25,Pointage!$D$2:$D$967,$B25,Pointage!$E$2:$E$967,$C25,Pointage!$Q$2:$Q$967,"A")</f>
        <v>0</v>
      </c>
      <c r="H25" s="8" t="n">
        <f aca="false">COUNTIFS(Pointage!$A$2:$A$967,$A25,Pointage!$D$2:$D$967,$B25,Pointage!$E$2:$E$967,$C25,Pointage!$Q$2:$Q$967,"NR")</f>
        <v>0</v>
      </c>
      <c r="I25" s="8" t="n">
        <f aca="false">COUNTIFS(Pointage!$A$2:$A$967,$A25,Pointage!$D$2:$D$967,$B25,Pointage!$E$2:$E$967,$C25,Pointage!$Q$2:$Q$967,"CP")</f>
        <v>0</v>
      </c>
      <c r="J25" s="8" t="n">
        <f aca="false">COUNTIFS(Pointage!$A$2:$A$967,$A25,Pointage!$D$2:$D$967,$B25,Pointage!$E$2:$E$967,$C25,Pointage!$Q$2:$Q$967,"F")</f>
        <v>1</v>
      </c>
      <c r="K25" s="8" t="n">
        <f aca="false">COUNTIFS(Pointage!$A$2:$A$967,$A25,Pointage!$D$2:$D$967,$B25,Pointage!$E$2:$E$967,$C25,Pointage!$P$2:$P$967,"&gt;0")</f>
        <v>0</v>
      </c>
      <c r="L25" s="8" t="n">
        <f aca="false">SUMIFS(Pointage!$P$2:$P$967,Pointage!$A$2:$A$967,$A25,Pointage!$D$2:$D$967,$B25,Pointage!$E$2:$E$967,$C25)</f>
        <v>0</v>
      </c>
      <c r="M25" s="11" t="n">
        <f aca="false">SUMIFS(Pointage!$L$2:$L$967,Pointage!$A$2:$A$967,$A25,Pointage!$D$2:$D$967,$B25,Pointage!$E$2:$E$967,$C25)</f>
        <v>1.45833333333333</v>
      </c>
      <c r="N25" s="11" t="n">
        <f aca="false">SUMIFS(Pointage!$M$2:$M$967,Pointage!$A$2:$A$967,$A25,Pointage!$D$2:$D$967,$B25,Pointage!$E$2:$E$967,$C25)</f>
        <v>1.45833333333333</v>
      </c>
      <c r="O25" s="10" t="n">
        <f aca="false">IFERROR(F25/(F25+G25),"")</f>
        <v>1</v>
      </c>
      <c r="P25" s="10" t="n">
        <f aca="false">IFERROR(N25/M25,"")</f>
        <v>1</v>
      </c>
    </row>
    <row r="26" customFormat="false" ht="15" hidden="false" customHeight="false" outlineLevel="0" collapsed="false">
      <c r="A26" s="7" t="s">
        <v>26</v>
      </c>
      <c r="B26" s="8" t="n">
        <v>2026</v>
      </c>
      <c r="C26" s="8" t="n">
        <v>2</v>
      </c>
      <c r="D26" s="8" t="s">
        <v>59</v>
      </c>
      <c r="E26" s="8" t="n">
        <f aca="false">F26+G26+H26</f>
        <v>5</v>
      </c>
      <c r="F26" s="8" t="n">
        <f aca="false">COUNTIFS(Pointage!$A$2:$A$967,$A26,Pointage!$D$2:$D$967,$B26,Pointage!$E$2:$E$967,$C26,Pointage!$Q$2:$Q$967,"P")</f>
        <v>5</v>
      </c>
      <c r="G26" s="17" t="n">
        <f aca="false">COUNTIFS(Pointage!$A$2:$A$967,$A26,Pointage!$D$2:$D$967,$B26,Pointage!$E$2:$E$967,$C26,Pointage!$Q$2:$Q$967,"A")</f>
        <v>0</v>
      </c>
      <c r="H26" s="8" t="n">
        <f aca="false">COUNTIFS(Pointage!$A$2:$A$967,$A26,Pointage!$D$2:$D$967,$B26,Pointage!$E$2:$E$967,$C26,Pointage!$Q$2:$Q$967,"NR")</f>
        <v>0</v>
      </c>
      <c r="I26" s="8" t="n">
        <f aca="false">COUNTIFS(Pointage!$A$2:$A$967,$A26,Pointage!$D$2:$D$967,$B26,Pointage!$E$2:$E$967,$C26,Pointage!$Q$2:$Q$967,"CP")</f>
        <v>0</v>
      </c>
      <c r="J26" s="8" t="n">
        <f aca="false">COUNTIFS(Pointage!$A$2:$A$967,$A26,Pointage!$D$2:$D$967,$B26,Pointage!$E$2:$E$967,$C26,Pointage!$Q$2:$Q$967,"F")</f>
        <v>0</v>
      </c>
      <c r="K26" s="8" t="n">
        <f aca="false">COUNTIFS(Pointage!$A$2:$A$967,$A26,Pointage!$D$2:$D$967,$B26,Pointage!$E$2:$E$967,$C26,Pointage!$P$2:$P$967,"&gt;0")</f>
        <v>0</v>
      </c>
      <c r="L26" s="8" t="n">
        <f aca="false">SUMIFS(Pointage!$P$2:$P$967,Pointage!$A$2:$A$967,$A26,Pointage!$D$2:$D$967,$B26,Pointage!$E$2:$E$967,$C26)</f>
        <v>0</v>
      </c>
      <c r="M26" s="11" t="n">
        <f aca="false">SUMIFS(Pointage!$L$2:$L$967,Pointage!$A$2:$A$967,$A26,Pointage!$D$2:$D$967,$B26,Pointage!$E$2:$E$967,$C26)</f>
        <v>1.83333333333333</v>
      </c>
      <c r="N26" s="11" t="n">
        <f aca="false">SUMIFS(Pointage!$M$2:$M$967,Pointage!$A$2:$A$967,$A26,Pointage!$D$2:$D$967,$B26,Pointage!$E$2:$E$967,$C26)</f>
        <v>1.83333333333333</v>
      </c>
      <c r="O26" s="10" t="n">
        <f aca="false">IFERROR(F26/(F26+G26),"")</f>
        <v>1</v>
      </c>
      <c r="P26" s="10" t="n">
        <f aca="false">IFERROR(N26/M26,"")</f>
        <v>1</v>
      </c>
    </row>
    <row r="27" customFormat="false" ht="15" hidden="false" customHeight="false" outlineLevel="0" collapsed="false">
      <c r="A27" s="7" t="s">
        <v>26</v>
      </c>
      <c r="B27" s="8" t="n">
        <v>2026</v>
      </c>
      <c r="C27" s="8" t="n">
        <v>3</v>
      </c>
      <c r="D27" s="8" t="s">
        <v>60</v>
      </c>
      <c r="E27" s="8" t="n">
        <f aca="false">F27+G27+H27</f>
        <v>5</v>
      </c>
      <c r="F27" s="8" t="n">
        <f aca="false">COUNTIFS(Pointage!$A$2:$A$967,$A27,Pointage!$D$2:$D$967,$B27,Pointage!$E$2:$E$967,$C27,Pointage!$Q$2:$Q$967,"P")</f>
        <v>5</v>
      </c>
      <c r="G27" s="17" t="n">
        <f aca="false">COUNTIFS(Pointage!$A$2:$A$967,$A27,Pointage!$D$2:$D$967,$B27,Pointage!$E$2:$E$967,$C27,Pointage!$Q$2:$Q$967,"A")</f>
        <v>0</v>
      </c>
      <c r="H27" s="8" t="n">
        <f aca="false">COUNTIFS(Pointage!$A$2:$A$967,$A27,Pointage!$D$2:$D$967,$B27,Pointage!$E$2:$E$967,$C27,Pointage!$Q$2:$Q$967,"NR")</f>
        <v>0</v>
      </c>
      <c r="I27" s="8" t="n">
        <f aca="false">COUNTIFS(Pointage!$A$2:$A$967,$A27,Pointage!$D$2:$D$967,$B27,Pointage!$E$2:$E$967,$C27,Pointage!$Q$2:$Q$967,"CP")</f>
        <v>0</v>
      </c>
      <c r="J27" s="8" t="n">
        <f aca="false">COUNTIFS(Pointage!$A$2:$A$967,$A27,Pointage!$D$2:$D$967,$B27,Pointage!$E$2:$E$967,$C27,Pointage!$Q$2:$Q$967,"F")</f>
        <v>0</v>
      </c>
      <c r="K27" s="8" t="n">
        <f aca="false">COUNTIFS(Pointage!$A$2:$A$967,$A27,Pointage!$D$2:$D$967,$B27,Pointage!$E$2:$E$967,$C27,Pointage!$P$2:$P$967,"&gt;0")</f>
        <v>1</v>
      </c>
      <c r="L27" s="8" t="n">
        <f aca="false">SUMIFS(Pointage!$P$2:$P$967,Pointage!$A$2:$A$967,$A27,Pointage!$D$2:$D$967,$B27,Pointage!$E$2:$E$967,$C27)</f>
        <v>83</v>
      </c>
      <c r="M27" s="11" t="n">
        <f aca="false">SUMIFS(Pointage!$L$2:$L$967,Pointage!$A$2:$A$967,$A27,Pointage!$D$2:$D$967,$B27,Pointage!$E$2:$E$967,$C27)</f>
        <v>1.83333333333333</v>
      </c>
      <c r="N27" s="11" t="n">
        <f aca="false">SUMIFS(Pointage!$M$2:$M$967,Pointage!$A$2:$A$967,$A27,Pointage!$D$2:$D$967,$B27,Pointage!$E$2:$E$967,$C27)</f>
        <v>1.83333333333333</v>
      </c>
      <c r="O27" s="10" t="n">
        <f aca="false">IFERROR(F27/(F27+G27),"")</f>
        <v>1</v>
      </c>
      <c r="P27" s="10" t="n">
        <f aca="false">IFERROR(N27/M27,"")</f>
        <v>1</v>
      </c>
    </row>
    <row r="28" customFormat="false" ht="15" hidden="false" customHeight="false" outlineLevel="0" collapsed="false">
      <c r="A28" s="7" t="s">
        <v>26</v>
      </c>
      <c r="B28" s="8" t="n">
        <v>2026</v>
      </c>
      <c r="C28" s="8" t="n">
        <v>4</v>
      </c>
      <c r="D28" s="8" t="s">
        <v>61</v>
      </c>
      <c r="E28" s="8" t="n">
        <f aca="false">F28+G28+H28</f>
        <v>3</v>
      </c>
      <c r="F28" s="8" t="n">
        <f aca="false">COUNTIFS(Pointage!$A$2:$A$967,$A28,Pointage!$D$2:$D$967,$B28,Pointage!$E$2:$E$967,$C28,Pointage!$Q$2:$Q$967,"P")</f>
        <v>3</v>
      </c>
      <c r="G28" s="17" t="n">
        <f aca="false">COUNTIFS(Pointage!$A$2:$A$967,$A28,Pointage!$D$2:$D$967,$B28,Pointage!$E$2:$E$967,$C28,Pointage!$Q$2:$Q$967,"A")</f>
        <v>0</v>
      </c>
      <c r="H28" s="8" t="n">
        <f aca="false">COUNTIFS(Pointage!$A$2:$A$967,$A28,Pointage!$D$2:$D$967,$B28,Pointage!$E$2:$E$967,$C28,Pointage!$Q$2:$Q$967,"NR")</f>
        <v>0</v>
      </c>
      <c r="I28" s="8" t="n">
        <f aca="false">COUNTIFS(Pointage!$A$2:$A$967,$A28,Pointage!$D$2:$D$967,$B28,Pointage!$E$2:$E$967,$C28,Pointage!$Q$2:$Q$967,"CP")</f>
        <v>0</v>
      </c>
      <c r="J28" s="8" t="n">
        <f aca="false">COUNTIFS(Pointage!$A$2:$A$967,$A28,Pointage!$D$2:$D$967,$B28,Pointage!$E$2:$E$967,$C28,Pointage!$Q$2:$Q$967,"F")</f>
        <v>0</v>
      </c>
      <c r="K28" s="8" t="n">
        <f aca="false">COUNTIFS(Pointage!$A$2:$A$967,$A28,Pointage!$D$2:$D$967,$B28,Pointage!$E$2:$E$967,$C28,Pointage!$P$2:$P$967,"&gt;0")</f>
        <v>0</v>
      </c>
      <c r="L28" s="8" t="n">
        <f aca="false">SUMIFS(Pointage!$P$2:$P$967,Pointage!$A$2:$A$967,$A28,Pointage!$D$2:$D$967,$B28,Pointage!$E$2:$E$967,$C28)</f>
        <v>0</v>
      </c>
      <c r="M28" s="11" t="n">
        <f aca="false">SUMIFS(Pointage!$L$2:$L$967,Pointage!$A$2:$A$967,$A28,Pointage!$D$2:$D$967,$B28,Pointage!$E$2:$E$967,$C28)</f>
        <v>1.08333333333333</v>
      </c>
      <c r="N28" s="11" t="n">
        <f aca="false">SUMIFS(Pointage!$M$2:$M$967,Pointage!$A$2:$A$967,$A28,Pointage!$D$2:$D$967,$B28,Pointage!$E$2:$E$967,$C28)</f>
        <v>1.08333333333333</v>
      </c>
      <c r="O28" s="10" t="n">
        <f aca="false">IFERROR(F28/(F28+G28),"")</f>
        <v>1</v>
      </c>
      <c r="P28" s="10" t="n">
        <f aca="false">IFERROR(N28/M28,"")</f>
        <v>1</v>
      </c>
    </row>
    <row r="29" customFormat="false" ht="15" hidden="false" customHeight="false" outlineLevel="0" collapsed="false">
      <c r="A29" s="7" t="s">
        <v>26</v>
      </c>
      <c r="B29" s="8" t="n">
        <v>2026</v>
      </c>
      <c r="C29" s="8" t="n">
        <v>5</v>
      </c>
      <c r="D29" s="8" t="s">
        <v>62</v>
      </c>
      <c r="E29" s="8" t="n">
        <f aca="false">F29+G29+H29</f>
        <v>5</v>
      </c>
      <c r="F29" s="8" t="n">
        <f aca="false">COUNTIFS(Pointage!$A$2:$A$967,$A29,Pointage!$D$2:$D$967,$B29,Pointage!$E$2:$E$967,$C29,Pointage!$Q$2:$Q$967,"P")</f>
        <v>5</v>
      </c>
      <c r="G29" s="17" t="n">
        <f aca="false">COUNTIFS(Pointage!$A$2:$A$967,$A29,Pointage!$D$2:$D$967,$B29,Pointage!$E$2:$E$967,$C29,Pointage!$Q$2:$Q$967,"A")</f>
        <v>0</v>
      </c>
      <c r="H29" s="8" t="n">
        <f aca="false">COUNTIFS(Pointage!$A$2:$A$967,$A29,Pointage!$D$2:$D$967,$B29,Pointage!$E$2:$E$967,$C29,Pointage!$Q$2:$Q$967,"NR")</f>
        <v>0</v>
      </c>
      <c r="I29" s="8" t="n">
        <f aca="false">COUNTIFS(Pointage!$A$2:$A$967,$A29,Pointage!$D$2:$D$967,$B29,Pointage!$E$2:$E$967,$C29,Pointage!$Q$2:$Q$967,"CP")</f>
        <v>0</v>
      </c>
      <c r="J29" s="8" t="n">
        <f aca="false">COUNTIFS(Pointage!$A$2:$A$967,$A29,Pointage!$D$2:$D$967,$B29,Pointage!$E$2:$E$967,$C29,Pointage!$Q$2:$Q$967,"F")</f>
        <v>0</v>
      </c>
      <c r="K29" s="8" t="n">
        <f aca="false">COUNTIFS(Pointage!$A$2:$A$967,$A29,Pointage!$D$2:$D$967,$B29,Pointage!$E$2:$E$967,$C29,Pointage!$P$2:$P$967,"&gt;0")</f>
        <v>0</v>
      </c>
      <c r="L29" s="8" t="n">
        <f aca="false">SUMIFS(Pointage!$P$2:$P$967,Pointage!$A$2:$A$967,$A29,Pointage!$D$2:$D$967,$B29,Pointage!$E$2:$E$967,$C29)</f>
        <v>0</v>
      </c>
      <c r="M29" s="11" t="n">
        <f aca="false">SUMIFS(Pointage!$L$2:$L$967,Pointage!$A$2:$A$967,$A29,Pointage!$D$2:$D$967,$B29,Pointage!$E$2:$E$967,$C29)</f>
        <v>1.83333333333333</v>
      </c>
      <c r="N29" s="11" t="n">
        <f aca="false">SUMIFS(Pointage!$M$2:$M$967,Pointage!$A$2:$A$967,$A29,Pointage!$D$2:$D$967,$B29,Pointage!$E$2:$E$967,$C29)</f>
        <v>1.83333333333333</v>
      </c>
      <c r="O29" s="10" t="n">
        <f aca="false">IFERROR(F29/(F29+G29),"")</f>
        <v>1</v>
      </c>
      <c r="P29" s="10" t="n">
        <f aca="false">IFERROR(N29/M29,"")</f>
        <v>1</v>
      </c>
    </row>
    <row r="30" customFormat="false" ht="15" hidden="false" customHeight="false" outlineLevel="0" collapsed="false">
      <c r="A30" s="7" t="s">
        <v>26</v>
      </c>
      <c r="B30" s="8" t="n">
        <v>2026</v>
      </c>
      <c r="C30" s="8" t="n">
        <v>6</v>
      </c>
      <c r="D30" s="8" t="s">
        <v>63</v>
      </c>
      <c r="E30" s="8" t="n">
        <f aca="false">F30+G30+H30</f>
        <v>5</v>
      </c>
      <c r="F30" s="8" t="n">
        <f aca="false">COUNTIFS(Pointage!$A$2:$A$967,$A30,Pointage!$D$2:$D$967,$B30,Pointage!$E$2:$E$967,$C30,Pointage!$Q$2:$Q$967,"P")</f>
        <v>5</v>
      </c>
      <c r="G30" s="17" t="n">
        <f aca="false">COUNTIFS(Pointage!$A$2:$A$967,$A30,Pointage!$D$2:$D$967,$B30,Pointage!$E$2:$E$967,$C30,Pointage!$Q$2:$Q$967,"A")</f>
        <v>0</v>
      </c>
      <c r="H30" s="8" t="n">
        <f aca="false">COUNTIFS(Pointage!$A$2:$A$967,$A30,Pointage!$D$2:$D$967,$B30,Pointage!$E$2:$E$967,$C30,Pointage!$Q$2:$Q$967,"NR")</f>
        <v>0</v>
      </c>
      <c r="I30" s="8" t="n">
        <f aca="false">COUNTIFS(Pointage!$A$2:$A$967,$A30,Pointage!$D$2:$D$967,$B30,Pointage!$E$2:$E$967,$C30,Pointage!$Q$2:$Q$967,"CP")</f>
        <v>0</v>
      </c>
      <c r="J30" s="8" t="n">
        <f aca="false">COUNTIFS(Pointage!$A$2:$A$967,$A30,Pointage!$D$2:$D$967,$B30,Pointage!$E$2:$E$967,$C30,Pointage!$Q$2:$Q$967,"F")</f>
        <v>0</v>
      </c>
      <c r="K30" s="8" t="n">
        <f aca="false">COUNTIFS(Pointage!$A$2:$A$967,$A30,Pointage!$D$2:$D$967,$B30,Pointage!$E$2:$E$967,$C30,Pointage!$P$2:$P$967,"&gt;0")</f>
        <v>0</v>
      </c>
      <c r="L30" s="8" t="n">
        <f aca="false">SUMIFS(Pointage!$P$2:$P$967,Pointage!$A$2:$A$967,$A30,Pointage!$D$2:$D$967,$B30,Pointage!$E$2:$E$967,$C30)</f>
        <v>0</v>
      </c>
      <c r="M30" s="11" t="n">
        <f aca="false">SUMIFS(Pointage!$L$2:$L$967,Pointage!$A$2:$A$967,$A30,Pointage!$D$2:$D$967,$B30,Pointage!$E$2:$E$967,$C30)</f>
        <v>1.83333333333333</v>
      </c>
      <c r="N30" s="11" t="n">
        <f aca="false">SUMIFS(Pointage!$M$2:$M$967,Pointage!$A$2:$A$967,$A30,Pointage!$D$2:$D$967,$B30,Pointage!$E$2:$E$967,$C30)</f>
        <v>1.83333333333333</v>
      </c>
      <c r="O30" s="10" t="n">
        <f aca="false">IFERROR(F30/(F30+G30),"")</f>
        <v>1</v>
      </c>
      <c r="P30" s="10" t="n">
        <f aca="false">IFERROR(N30/M30,"")</f>
        <v>1</v>
      </c>
    </row>
    <row r="31" customFormat="false" ht="15" hidden="false" customHeight="false" outlineLevel="0" collapsed="false">
      <c r="A31" s="7" t="s">
        <v>26</v>
      </c>
      <c r="B31" s="8" t="n">
        <v>2026</v>
      </c>
      <c r="C31" s="8" t="n">
        <v>7</v>
      </c>
      <c r="D31" s="8" t="s">
        <v>64</v>
      </c>
      <c r="E31" s="8" t="n">
        <f aca="false">F31+G31+H31</f>
        <v>5</v>
      </c>
      <c r="F31" s="8" t="n">
        <f aca="false">COUNTIFS(Pointage!$A$2:$A$967,$A31,Pointage!$D$2:$D$967,$B31,Pointage!$E$2:$E$967,$C31,Pointage!$Q$2:$Q$967,"P")</f>
        <v>5</v>
      </c>
      <c r="G31" s="17" t="n">
        <f aca="false">COUNTIFS(Pointage!$A$2:$A$967,$A31,Pointage!$D$2:$D$967,$B31,Pointage!$E$2:$E$967,$C31,Pointage!$Q$2:$Q$967,"A")</f>
        <v>0</v>
      </c>
      <c r="H31" s="8" t="n">
        <f aca="false">COUNTIFS(Pointage!$A$2:$A$967,$A31,Pointage!$D$2:$D$967,$B31,Pointage!$E$2:$E$967,$C31,Pointage!$Q$2:$Q$967,"NR")</f>
        <v>0</v>
      </c>
      <c r="I31" s="8" t="n">
        <f aca="false">COUNTIFS(Pointage!$A$2:$A$967,$A31,Pointage!$D$2:$D$967,$B31,Pointage!$E$2:$E$967,$C31,Pointage!$Q$2:$Q$967,"CP")</f>
        <v>0</v>
      </c>
      <c r="J31" s="8" t="n">
        <f aca="false">COUNTIFS(Pointage!$A$2:$A$967,$A31,Pointage!$D$2:$D$967,$B31,Pointage!$E$2:$E$967,$C31,Pointage!$Q$2:$Q$967,"F")</f>
        <v>0</v>
      </c>
      <c r="K31" s="8" t="n">
        <f aca="false">COUNTIFS(Pointage!$A$2:$A$967,$A31,Pointage!$D$2:$D$967,$B31,Pointage!$E$2:$E$967,$C31,Pointage!$P$2:$P$967,"&gt;0")</f>
        <v>0</v>
      </c>
      <c r="L31" s="8" t="n">
        <f aca="false">SUMIFS(Pointage!$P$2:$P$967,Pointage!$A$2:$A$967,$A31,Pointage!$D$2:$D$967,$B31,Pointage!$E$2:$E$967,$C31)</f>
        <v>0</v>
      </c>
      <c r="M31" s="11" t="n">
        <f aca="false">SUMIFS(Pointage!$L$2:$L$967,Pointage!$A$2:$A$967,$A31,Pointage!$D$2:$D$967,$B31,Pointage!$E$2:$E$967,$C31)</f>
        <v>1.83333333333333</v>
      </c>
      <c r="N31" s="11" t="n">
        <f aca="false">SUMIFS(Pointage!$M$2:$M$967,Pointage!$A$2:$A$967,$A31,Pointage!$D$2:$D$967,$B31,Pointage!$E$2:$E$967,$C31)</f>
        <v>1.83333333333333</v>
      </c>
      <c r="O31" s="10" t="n">
        <f aca="false">IFERROR(F31/(F31+G31),"")</f>
        <v>1</v>
      </c>
      <c r="P31" s="10" t="n">
        <f aca="false">IFERROR(N31/M31,"")</f>
        <v>1</v>
      </c>
    </row>
    <row r="32" customFormat="false" ht="15" hidden="false" customHeight="false" outlineLevel="0" collapsed="false">
      <c r="A32" s="7" t="s">
        <v>26</v>
      </c>
      <c r="B32" s="8" t="n">
        <v>2026</v>
      </c>
      <c r="C32" s="8" t="n">
        <v>8</v>
      </c>
      <c r="D32" s="8" t="s">
        <v>65</v>
      </c>
      <c r="E32" s="8" t="n">
        <f aca="false">F32+G32+H32</f>
        <v>0</v>
      </c>
      <c r="F32" s="8" t="n">
        <f aca="false">COUNTIFS(Pointage!$A$2:$A$967,$A32,Pointage!$D$2:$D$967,$B32,Pointage!$E$2:$E$967,$C32,Pointage!$Q$2:$Q$967,"P")</f>
        <v>0</v>
      </c>
      <c r="G32" s="17" t="n">
        <f aca="false">COUNTIFS(Pointage!$A$2:$A$967,$A32,Pointage!$D$2:$D$967,$B32,Pointage!$E$2:$E$967,$C32,Pointage!$Q$2:$Q$967,"A")</f>
        <v>0</v>
      </c>
      <c r="H32" s="8" t="n">
        <f aca="false">COUNTIFS(Pointage!$A$2:$A$967,$A32,Pointage!$D$2:$D$967,$B32,Pointage!$E$2:$E$967,$C32,Pointage!$Q$2:$Q$967,"NR")</f>
        <v>0</v>
      </c>
      <c r="I32" s="8" t="n">
        <f aca="false">COUNTIFS(Pointage!$A$2:$A$967,$A32,Pointage!$D$2:$D$967,$B32,Pointage!$E$2:$E$967,$C32,Pointage!$Q$2:$Q$967,"CP")</f>
        <v>0</v>
      </c>
      <c r="J32" s="8" t="n">
        <f aca="false">COUNTIFS(Pointage!$A$2:$A$967,$A32,Pointage!$D$2:$D$967,$B32,Pointage!$E$2:$E$967,$C32,Pointage!$Q$2:$Q$967,"F")</f>
        <v>0</v>
      </c>
      <c r="K32" s="8" t="n">
        <f aca="false">COUNTIFS(Pointage!$A$2:$A$967,$A32,Pointage!$D$2:$D$967,$B32,Pointage!$E$2:$E$967,$C32,Pointage!$P$2:$P$967,"&gt;0")</f>
        <v>0</v>
      </c>
      <c r="L32" s="8" t="n">
        <f aca="false">SUMIFS(Pointage!$P$2:$P$967,Pointage!$A$2:$A$967,$A32,Pointage!$D$2:$D$967,$B32,Pointage!$E$2:$E$967,$C32)</f>
        <v>0</v>
      </c>
      <c r="M32" s="11" t="n">
        <f aca="false">SUMIFS(Pointage!$L$2:$L$967,Pointage!$A$2:$A$967,$A32,Pointage!$D$2:$D$967,$B32,Pointage!$E$2:$E$967,$C32)</f>
        <v>0</v>
      </c>
      <c r="N32" s="11" t="n">
        <f aca="false">SUMIFS(Pointage!$M$2:$M$967,Pointage!$A$2:$A$967,$A32,Pointage!$D$2:$D$967,$B32,Pointage!$E$2:$E$967,$C32)</f>
        <v>0</v>
      </c>
      <c r="O32" s="10" t="str">
        <f aca="false">IFERROR(F32/(F32+G32),"")</f>
        <v/>
      </c>
      <c r="P32" s="10" t="str">
        <f aca="false">IFERROR(N32/M32,"")</f>
        <v/>
      </c>
    </row>
    <row r="33" customFormat="false" ht="15" hidden="false" customHeight="false" outlineLevel="0" collapsed="false">
      <c r="A33" s="7" t="s">
        <v>26</v>
      </c>
      <c r="B33" s="8" t="n">
        <v>2026</v>
      </c>
      <c r="C33" s="8" t="n">
        <v>9</v>
      </c>
      <c r="D33" s="8" t="s">
        <v>66</v>
      </c>
      <c r="E33" s="8" t="n">
        <f aca="false">F33+G33+H33</f>
        <v>5</v>
      </c>
      <c r="F33" s="8" t="n">
        <f aca="false">COUNTIFS(Pointage!$A$2:$A$967,$A33,Pointage!$D$2:$D$967,$B33,Pointage!$E$2:$E$967,$C33,Pointage!$Q$2:$Q$967,"P")</f>
        <v>5</v>
      </c>
      <c r="G33" s="17" t="n">
        <f aca="false">COUNTIFS(Pointage!$A$2:$A$967,$A33,Pointage!$D$2:$D$967,$B33,Pointage!$E$2:$E$967,$C33,Pointage!$Q$2:$Q$967,"A")</f>
        <v>0</v>
      </c>
      <c r="H33" s="8" t="n">
        <f aca="false">COUNTIFS(Pointage!$A$2:$A$967,$A33,Pointage!$D$2:$D$967,$B33,Pointage!$E$2:$E$967,$C33,Pointage!$Q$2:$Q$967,"NR")</f>
        <v>0</v>
      </c>
      <c r="I33" s="8" t="n">
        <f aca="false">COUNTIFS(Pointage!$A$2:$A$967,$A33,Pointage!$D$2:$D$967,$B33,Pointage!$E$2:$E$967,$C33,Pointage!$Q$2:$Q$967,"CP")</f>
        <v>0</v>
      </c>
      <c r="J33" s="8" t="n">
        <f aca="false">COUNTIFS(Pointage!$A$2:$A$967,$A33,Pointage!$D$2:$D$967,$B33,Pointage!$E$2:$E$967,$C33,Pointage!$Q$2:$Q$967,"F")</f>
        <v>0</v>
      </c>
      <c r="K33" s="8" t="n">
        <f aca="false">COUNTIFS(Pointage!$A$2:$A$967,$A33,Pointage!$D$2:$D$967,$B33,Pointage!$E$2:$E$967,$C33,Pointage!$P$2:$P$967,"&gt;0")</f>
        <v>0</v>
      </c>
      <c r="L33" s="8" t="n">
        <f aca="false">SUMIFS(Pointage!$P$2:$P$967,Pointage!$A$2:$A$967,$A33,Pointage!$D$2:$D$967,$B33,Pointage!$E$2:$E$967,$C33)</f>
        <v>0</v>
      </c>
      <c r="M33" s="11" t="n">
        <f aca="false">SUMIFS(Pointage!$L$2:$L$967,Pointage!$A$2:$A$967,$A33,Pointage!$D$2:$D$967,$B33,Pointage!$E$2:$E$967,$C33)</f>
        <v>1.83333333333333</v>
      </c>
      <c r="N33" s="11" t="n">
        <f aca="false">SUMIFS(Pointage!$M$2:$M$967,Pointage!$A$2:$A$967,$A33,Pointage!$D$2:$D$967,$B33,Pointage!$E$2:$E$967,$C33)</f>
        <v>1.83333333333333</v>
      </c>
      <c r="O33" s="10" t="n">
        <f aca="false">IFERROR(F33/(F33+G33),"")</f>
        <v>1</v>
      </c>
      <c r="P33" s="10" t="n">
        <f aca="false">IFERROR(N33/M33,"")</f>
        <v>1</v>
      </c>
    </row>
    <row r="34" customFormat="false" ht="15" hidden="false" customHeight="false" outlineLevel="0" collapsed="false">
      <c r="A34" s="7" t="s">
        <v>26</v>
      </c>
      <c r="B34" s="8" t="n">
        <v>2026</v>
      </c>
      <c r="C34" s="8" t="n">
        <v>10</v>
      </c>
      <c r="D34" s="8" t="s">
        <v>67</v>
      </c>
      <c r="E34" s="8" t="n">
        <f aca="false">F34+G34+H34</f>
        <v>5</v>
      </c>
      <c r="F34" s="8" t="n">
        <f aca="false">COUNTIFS(Pointage!$A$2:$A$967,$A34,Pointage!$D$2:$D$967,$B34,Pointage!$E$2:$E$967,$C34,Pointage!$Q$2:$Q$967,"P")</f>
        <v>5</v>
      </c>
      <c r="G34" s="17" t="n">
        <f aca="false">COUNTIFS(Pointage!$A$2:$A$967,$A34,Pointage!$D$2:$D$967,$B34,Pointage!$E$2:$E$967,$C34,Pointage!$Q$2:$Q$967,"A")</f>
        <v>0</v>
      </c>
      <c r="H34" s="8" t="n">
        <f aca="false">COUNTIFS(Pointage!$A$2:$A$967,$A34,Pointage!$D$2:$D$967,$B34,Pointage!$E$2:$E$967,$C34,Pointage!$Q$2:$Q$967,"NR")</f>
        <v>0</v>
      </c>
      <c r="I34" s="8" t="n">
        <f aca="false">COUNTIFS(Pointage!$A$2:$A$967,$A34,Pointage!$D$2:$D$967,$B34,Pointage!$E$2:$E$967,$C34,Pointage!$Q$2:$Q$967,"CP")</f>
        <v>0</v>
      </c>
      <c r="J34" s="8" t="n">
        <f aca="false">COUNTIFS(Pointage!$A$2:$A$967,$A34,Pointage!$D$2:$D$967,$B34,Pointage!$E$2:$E$967,$C34,Pointage!$Q$2:$Q$967,"F")</f>
        <v>0</v>
      </c>
      <c r="K34" s="8" t="n">
        <f aca="false">COUNTIFS(Pointage!$A$2:$A$967,$A34,Pointage!$D$2:$D$967,$B34,Pointage!$E$2:$E$967,$C34,Pointage!$P$2:$P$967,"&gt;0")</f>
        <v>0</v>
      </c>
      <c r="L34" s="8" t="n">
        <f aca="false">SUMIFS(Pointage!$P$2:$P$967,Pointage!$A$2:$A$967,$A34,Pointage!$D$2:$D$967,$B34,Pointage!$E$2:$E$967,$C34)</f>
        <v>0</v>
      </c>
      <c r="M34" s="11" t="n">
        <f aca="false">SUMIFS(Pointage!$L$2:$L$967,Pointage!$A$2:$A$967,$A34,Pointage!$D$2:$D$967,$B34,Pointage!$E$2:$E$967,$C34)</f>
        <v>1.83333333333333</v>
      </c>
      <c r="N34" s="11" t="n">
        <f aca="false">SUMIFS(Pointage!$M$2:$M$967,Pointage!$A$2:$A$967,$A34,Pointage!$D$2:$D$967,$B34,Pointage!$E$2:$E$967,$C34)</f>
        <v>1.83333333333333</v>
      </c>
      <c r="O34" s="10" t="n">
        <f aca="false">IFERROR(F34/(F34+G34),"")</f>
        <v>1</v>
      </c>
      <c r="P34" s="10" t="n">
        <f aca="false">IFERROR(N34/M34,"")</f>
        <v>1</v>
      </c>
    </row>
    <row r="35" customFormat="false" ht="15" hidden="false" customHeight="false" outlineLevel="0" collapsed="false">
      <c r="A35" s="7" t="s">
        <v>26</v>
      </c>
      <c r="B35" s="8" t="n">
        <v>2026</v>
      </c>
      <c r="C35" s="8" t="n">
        <v>11</v>
      </c>
      <c r="D35" s="8" t="s">
        <v>68</v>
      </c>
      <c r="E35" s="8" t="n">
        <f aca="false">F35+G35+H35</f>
        <v>5</v>
      </c>
      <c r="F35" s="8" t="n">
        <f aca="false">COUNTIFS(Pointage!$A$2:$A$967,$A35,Pointage!$D$2:$D$967,$B35,Pointage!$E$2:$E$967,$C35,Pointage!$Q$2:$Q$967,"P")</f>
        <v>5</v>
      </c>
      <c r="G35" s="17" t="n">
        <f aca="false">COUNTIFS(Pointage!$A$2:$A$967,$A35,Pointage!$D$2:$D$967,$B35,Pointage!$E$2:$E$967,$C35,Pointage!$Q$2:$Q$967,"A")</f>
        <v>0</v>
      </c>
      <c r="H35" s="8" t="n">
        <f aca="false">COUNTIFS(Pointage!$A$2:$A$967,$A35,Pointage!$D$2:$D$967,$B35,Pointage!$E$2:$E$967,$C35,Pointage!$Q$2:$Q$967,"NR")</f>
        <v>0</v>
      </c>
      <c r="I35" s="8" t="n">
        <f aca="false">COUNTIFS(Pointage!$A$2:$A$967,$A35,Pointage!$D$2:$D$967,$B35,Pointage!$E$2:$E$967,$C35,Pointage!$Q$2:$Q$967,"CP")</f>
        <v>0</v>
      </c>
      <c r="J35" s="8" t="n">
        <f aca="false">COUNTIFS(Pointage!$A$2:$A$967,$A35,Pointage!$D$2:$D$967,$B35,Pointage!$E$2:$E$967,$C35,Pointage!$Q$2:$Q$967,"F")</f>
        <v>0</v>
      </c>
      <c r="K35" s="8" t="n">
        <f aca="false">COUNTIFS(Pointage!$A$2:$A$967,$A35,Pointage!$D$2:$D$967,$B35,Pointage!$E$2:$E$967,$C35,Pointage!$P$2:$P$967,"&gt;0")</f>
        <v>0</v>
      </c>
      <c r="L35" s="8" t="n">
        <f aca="false">SUMIFS(Pointage!$P$2:$P$967,Pointage!$A$2:$A$967,$A35,Pointage!$D$2:$D$967,$B35,Pointage!$E$2:$E$967,$C35)</f>
        <v>0</v>
      </c>
      <c r="M35" s="11" t="n">
        <f aca="false">SUMIFS(Pointage!$L$2:$L$967,Pointage!$A$2:$A$967,$A35,Pointage!$D$2:$D$967,$B35,Pointage!$E$2:$E$967,$C35)</f>
        <v>1.83333333333333</v>
      </c>
      <c r="N35" s="11" t="n">
        <f aca="false">SUMIFS(Pointage!$M$2:$M$967,Pointage!$A$2:$A$967,$A35,Pointage!$D$2:$D$967,$B35,Pointage!$E$2:$E$967,$C35)</f>
        <v>1.83333333333333</v>
      </c>
      <c r="O35" s="10" t="n">
        <f aca="false">IFERROR(F35/(F35+G35),"")</f>
        <v>1</v>
      </c>
      <c r="P35" s="10" t="n">
        <f aca="false">IFERROR(N35/M35,"")</f>
        <v>1</v>
      </c>
    </row>
    <row r="36" customFormat="false" ht="15" hidden="false" customHeight="false" outlineLevel="0" collapsed="false">
      <c r="A36" s="7" t="s">
        <v>26</v>
      </c>
      <c r="B36" s="8" t="n">
        <v>2026</v>
      </c>
      <c r="C36" s="8" t="n">
        <v>12</v>
      </c>
      <c r="D36" s="8" t="s">
        <v>69</v>
      </c>
      <c r="E36" s="8" t="n">
        <f aca="false">F36+G36+H36</f>
        <v>0</v>
      </c>
      <c r="F36" s="8" t="n">
        <f aca="false">COUNTIFS(Pointage!$A$2:$A$967,$A36,Pointage!$D$2:$D$967,$B36,Pointage!$E$2:$E$967,$C36,Pointage!$Q$2:$Q$967,"P")</f>
        <v>0</v>
      </c>
      <c r="G36" s="17" t="n">
        <f aca="false">COUNTIFS(Pointage!$A$2:$A$967,$A36,Pointage!$D$2:$D$967,$B36,Pointage!$E$2:$E$967,$C36,Pointage!$Q$2:$Q$967,"A")</f>
        <v>0</v>
      </c>
      <c r="H36" s="8" t="n">
        <f aca="false">COUNTIFS(Pointage!$A$2:$A$967,$A36,Pointage!$D$2:$D$967,$B36,Pointage!$E$2:$E$967,$C36,Pointage!$Q$2:$Q$967,"NR")</f>
        <v>0</v>
      </c>
      <c r="I36" s="8" t="n">
        <f aca="false">COUNTIFS(Pointage!$A$2:$A$967,$A36,Pointage!$D$2:$D$967,$B36,Pointage!$E$2:$E$967,$C36,Pointage!$Q$2:$Q$967,"CP")</f>
        <v>0</v>
      </c>
      <c r="J36" s="8" t="n">
        <f aca="false">COUNTIFS(Pointage!$A$2:$A$967,$A36,Pointage!$D$2:$D$967,$B36,Pointage!$E$2:$E$967,$C36,Pointage!$Q$2:$Q$967,"F")</f>
        <v>0</v>
      </c>
      <c r="K36" s="8" t="n">
        <f aca="false">COUNTIFS(Pointage!$A$2:$A$967,$A36,Pointage!$D$2:$D$967,$B36,Pointage!$E$2:$E$967,$C36,Pointage!$P$2:$P$967,"&gt;0")</f>
        <v>0</v>
      </c>
      <c r="L36" s="8" t="n">
        <f aca="false">SUMIFS(Pointage!$P$2:$P$967,Pointage!$A$2:$A$967,$A36,Pointage!$D$2:$D$967,$B36,Pointage!$E$2:$E$967,$C36)</f>
        <v>0</v>
      </c>
      <c r="M36" s="11" t="n">
        <f aca="false">SUMIFS(Pointage!$L$2:$L$967,Pointage!$A$2:$A$967,$A36,Pointage!$D$2:$D$967,$B36,Pointage!$E$2:$E$967,$C36)</f>
        <v>0</v>
      </c>
      <c r="N36" s="11" t="n">
        <f aca="false">SUMIFS(Pointage!$M$2:$M$967,Pointage!$A$2:$A$967,$A36,Pointage!$D$2:$D$967,$B36,Pointage!$E$2:$E$967,$C36)</f>
        <v>0</v>
      </c>
      <c r="O36" s="10" t="str">
        <f aca="false">IFERROR(F36/(F36+G36),"")</f>
        <v/>
      </c>
      <c r="P36" s="10" t="str">
        <f aca="false">IFERROR(N36/M36,"")</f>
        <v/>
      </c>
    </row>
    <row r="37" customFormat="false" ht="15" hidden="false" customHeight="false" outlineLevel="0" collapsed="false">
      <c r="A37" s="7" t="s">
        <v>26</v>
      </c>
      <c r="B37" s="8" t="n">
        <v>2026</v>
      </c>
      <c r="C37" s="8" t="n">
        <v>13</v>
      </c>
      <c r="D37" s="8" t="s">
        <v>70</v>
      </c>
      <c r="E37" s="8" t="n">
        <f aca="false">F37+G37+H37</f>
        <v>5</v>
      </c>
      <c r="F37" s="8" t="n">
        <f aca="false">COUNTIFS(Pointage!$A$2:$A$967,$A37,Pointage!$D$2:$D$967,$B37,Pointage!$E$2:$E$967,$C37,Pointage!$Q$2:$Q$967,"P")</f>
        <v>5</v>
      </c>
      <c r="G37" s="17" t="n">
        <f aca="false">COUNTIFS(Pointage!$A$2:$A$967,$A37,Pointage!$D$2:$D$967,$B37,Pointage!$E$2:$E$967,$C37,Pointage!$Q$2:$Q$967,"A")</f>
        <v>0</v>
      </c>
      <c r="H37" s="8" t="n">
        <f aca="false">COUNTIFS(Pointage!$A$2:$A$967,$A37,Pointage!$D$2:$D$967,$B37,Pointage!$E$2:$E$967,$C37,Pointage!$Q$2:$Q$967,"NR")</f>
        <v>0</v>
      </c>
      <c r="I37" s="8" t="n">
        <f aca="false">COUNTIFS(Pointage!$A$2:$A$967,$A37,Pointage!$D$2:$D$967,$B37,Pointage!$E$2:$E$967,$C37,Pointage!$Q$2:$Q$967,"CP")</f>
        <v>0</v>
      </c>
      <c r="J37" s="8" t="n">
        <f aca="false">COUNTIFS(Pointage!$A$2:$A$967,$A37,Pointage!$D$2:$D$967,$B37,Pointage!$E$2:$E$967,$C37,Pointage!$Q$2:$Q$967,"F")</f>
        <v>0</v>
      </c>
      <c r="K37" s="8" t="n">
        <f aca="false">COUNTIFS(Pointage!$A$2:$A$967,$A37,Pointage!$D$2:$D$967,$B37,Pointage!$E$2:$E$967,$C37,Pointage!$P$2:$P$967,"&gt;0")</f>
        <v>0</v>
      </c>
      <c r="L37" s="8" t="n">
        <f aca="false">SUMIFS(Pointage!$P$2:$P$967,Pointage!$A$2:$A$967,$A37,Pointage!$D$2:$D$967,$B37,Pointage!$E$2:$E$967,$C37)</f>
        <v>0</v>
      </c>
      <c r="M37" s="11" t="n">
        <f aca="false">SUMIFS(Pointage!$L$2:$L$967,Pointage!$A$2:$A$967,$A37,Pointage!$D$2:$D$967,$B37,Pointage!$E$2:$E$967,$C37)</f>
        <v>1.83333333333333</v>
      </c>
      <c r="N37" s="11" t="n">
        <f aca="false">SUMIFS(Pointage!$M$2:$M$967,Pointage!$A$2:$A$967,$A37,Pointage!$D$2:$D$967,$B37,Pointage!$E$2:$E$967,$C37)</f>
        <v>1.83333333333333</v>
      </c>
      <c r="O37" s="10" t="n">
        <f aca="false">IFERROR(F37/(F37+G37),"")</f>
        <v>1</v>
      </c>
      <c r="P37" s="10" t="n">
        <f aca="false">IFERROR(N37/M37,"")</f>
        <v>1</v>
      </c>
    </row>
    <row r="38" customFormat="false" ht="15" hidden="false" customHeight="false" outlineLevel="0" collapsed="false">
      <c r="A38" s="7" t="s">
        <v>26</v>
      </c>
      <c r="B38" s="8" t="n">
        <v>2026</v>
      </c>
      <c r="C38" s="8" t="n">
        <v>14</v>
      </c>
      <c r="D38" s="8" t="s">
        <v>71</v>
      </c>
      <c r="E38" s="8" t="n">
        <f aca="false">F38+G38+H38</f>
        <v>5</v>
      </c>
      <c r="F38" s="8" t="n">
        <f aca="false">COUNTIFS(Pointage!$A$2:$A$967,$A38,Pointage!$D$2:$D$967,$B38,Pointage!$E$2:$E$967,$C38,Pointage!$Q$2:$Q$967,"P")</f>
        <v>5</v>
      </c>
      <c r="G38" s="17" t="n">
        <f aca="false">COUNTIFS(Pointage!$A$2:$A$967,$A38,Pointage!$D$2:$D$967,$B38,Pointage!$E$2:$E$967,$C38,Pointage!$Q$2:$Q$967,"A")</f>
        <v>0</v>
      </c>
      <c r="H38" s="8" t="n">
        <f aca="false">COUNTIFS(Pointage!$A$2:$A$967,$A38,Pointage!$D$2:$D$967,$B38,Pointage!$E$2:$E$967,$C38,Pointage!$Q$2:$Q$967,"NR")</f>
        <v>0</v>
      </c>
      <c r="I38" s="8" t="n">
        <f aca="false">COUNTIFS(Pointage!$A$2:$A$967,$A38,Pointage!$D$2:$D$967,$B38,Pointage!$E$2:$E$967,$C38,Pointage!$Q$2:$Q$967,"CP")</f>
        <v>0</v>
      </c>
      <c r="J38" s="8" t="n">
        <f aca="false">COUNTIFS(Pointage!$A$2:$A$967,$A38,Pointage!$D$2:$D$967,$B38,Pointage!$E$2:$E$967,$C38,Pointage!$Q$2:$Q$967,"F")</f>
        <v>0</v>
      </c>
      <c r="K38" s="8" t="n">
        <f aca="false">COUNTIFS(Pointage!$A$2:$A$967,$A38,Pointage!$D$2:$D$967,$B38,Pointage!$E$2:$E$967,$C38,Pointage!$P$2:$P$967,"&gt;0")</f>
        <v>0</v>
      </c>
      <c r="L38" s="8" t="n">
        <f aca="false">SUMIFS(Pointage!$P$2:$P$967,Pointage!$A$2:$A$967,$A38,Pointage!$D$2:$D$967,$B38,Pointage!$E$2:$E$967,$C38)</f>
        <v>0</v>
      </c>
      <c r="M38" s="11" t="n">
        <f aca="false">SUMIFS(Pointage!$L$2:$L$967,Pointage!$A$2:$A$967,$A38,Pointage!$D$2:$D$967,$B38,Pointage!$E$2:$E$967,$C38)</f>
        <v>1.83333333333333</v>
      </c>
      <c r="N38" s="11" t="n">
        <f aca="false">SUMIFS(Pointage!$M$2:$M$967,Pointage!$A$2:$A$967,$A38,Pointage!$D$2:$D$967,$B38,Pointage!$E$2:$E$967,$C38)</f>
        <v>1.83333333333333</v>
      </c>
      <c r="O38" s="10" t="n">
        <f aca="false">IFERROR(F38/(F38+G38),"")</f>
        <v>1</v>
      </c>
      <c r="P38" s="10" t="n">
        <f aca="false">IFERROR(N38/M38,"")</f>
        <v>1</v>
      </c>
    </row>
    <row r="39" customFormat="false" ht="15" hidden="false" customHeight="false" outlineLevel="0" collapsed="false">
      <c r="A39" s="7" t="s">
        <v>26</v>
      </c>
      <c r="B39" s="8" t="n">
        <v>2026</v>
      </c>
      <c r="C39" s="8" t="n">
        <v>15</v>
      </c>
      <c r="D39" s="8" t="s">
        <v>72</v>
      </c>
      <c r="E39" s="8" t="n">
        <f aca="false">F39+G39+H39</f>
        <v>4</v>
      </c>
      <c r="F39" s="8" t="n">
        <f aca="false">COUNTIFS(Pointage!$A$2:$A$967,$A39,Pointage!$D$2:$D$967,$B39,Pointage!$E$2:$E$967,$C39,Pointage!$Q$2:$Q$967,"P")</f>
        <v>4</v>
      </c>
      <c r="G39" s="17" t="n">
        <f aca="false">COUNTIFS(Pointage!$A$2:$A$967,$A39,Pointage!$D$2:$D$967,$B39,Pointage!$E$2:$E$967,$C39,Pointage!$Q$2:$Q$967,"A")</f>
        <v>0</v>
      </c>
      <c r="H39" s="8" t="n">
        <f aca="false">COUNTIFS(Pointage!$A$2:$A$967,$A39,Pointage!$D$2:$D$967,$B39,Pointage!$E$2:$E$967,$C39,Pointage!$Q$2:$Q$967,"NR")</f>
        <v>0</v>
      </c>
      <c r="I39" s="8" t="n">
        <f aca="false">COUNTIFS(Pointage!$A$2:$A$967,$A39,Pointage!$D$2:$D$967,$B39,Pointage!$E$2:$E$967,$C39,Pointage!$Q$2:$Q$967,"CP")</f>
        <v>0</v>
      </c>
      <c r="J39" s="8" t="n">
        <f aca="false">COUNTIFS(Pointage!$A$2:$A$967,$A39,Pointage!$D$2:$D$967,$B39,Pointage!$E$2:$E$967,$C39,Pointage!$Q$2:$Q$967,"F")</f>
        <v>0</v>
      </c>
      <c r="K39" s="8" t="n">
        <f aca="false">COUNTIFS(Pointage!$A$2:$A$967,$A39,Pointage!$D$2:$D$967,$B39,Pointage!$E$2:$E$967,$C39,Pointage!$P$2:$P$967,"&gt;0")</f>
        <v>0</v>
      </c>
      <c r="L39" s="8" t="n">
        <f aca="false">SUMIFS(Pointage!$P$2:$P$967,Pointage!$A$2:$A$967,$A39,Pointage!$D$2:$D$967,$B39,Pointage!$E$2:$E$967,$C39)</f>
        <v>0</v>
      </c>
      <c r="M39" s="11" t="n">
        <f aca="false">SUMIFS(Pointage!$L$2:$L$967,Pointage!$A$2:$A$967,$A39,Pointage!$D$2:$D$967,$B39,Pointage!$E$2:$E$967,$C39)</f>
        <v>1.45833333333333</v>
      </c>
      <c r="N39" s="11" t="n">
        <f aca="false">SUMIFS(Pointage!$M$2:$M$967,Pointage!$A$2:$A$967,$A39,Pointage!$D$2:$D$967,$B39,Pointage!$E$2:$E$967,$C39)</f>
        <v>1.45833333333333</v>
      </c>
      <c r="O39" s="10" t="n">
        <f aca="false">IFERROR(F39/(F39+G39),"")</f>
        <v>1</v>
      </c>
      <c r="P39" s="10" t="n">
        <f aca="false">IFERROR(N39/M39,"")</f>
        <v>1</v>
      </c>
    </row>
    <row r="40" customFormat="false" ht="15" hidden="false" customHeight="false" outlineLevel="0" collapsed="false">
      <c r="A40" s="7" t="s">
        <v>26</v>
      </c>
      <c r="B40" s="8" t="n">
        <v>2026</v>
      </c>
      <c r="C40" s="8" t="n">
        <v>16</v>
      </c>
      <c r="D40" s="8" t="s">
        <v>73</v>
      </c>
      <c r="E40" s="8" t="n">
        <f aca="false">F40+G40+H40</f>
        <v>5</v>
      </c>
      <c r="F40" s="8" t="n">
        <f aca="false">COUNTIFS(Pointage!$A$2:$A$967,$A40,Pointage!$D$2:$D$967,$B40,Pointage!$E$2:$E$967,$C40,Pointage!$Q$2:$Q$967,"P")</f>
        <v>5</v>
      </c>
      <c r="G40" s="17" t="n">
        <f aca="false">COUNTIFS(Pointage!$A$2:$A$967,$A40,Pointage!$D$2:$D$967,$B40,Pointage!$E$2:$E$967,$C40,Pointage!$Q$2:$Q$967,"A")</f>
        <v>0</v>
      </c>
      <c r="H40" s="8" t="n">
        <f aca="false">COUNTIFS(Pointage!$A$2:$A$967,$A40,Pointage!$D$2:$D$967,$B40,Pointage!$E$2:$E$967,$C40,Pointage!$Q$2:$Q$967,"NR")</f>
        <v>0</v>
      </c>
      <c r="I40" s="8" t="n">
        <f aca="false">COUNTIFS(Pointage!$A$2:$A$967,$A40,Pointage!$D$2:$D$967,$B40,Pointage!$E$2:$E$967,$C40,Pointage!$Q$2:$Q$967,"CP")</f>
        <v>0</v>
      </c>
      <c r="J40" s="8" t="n">
        <f aca="false">COUNTIFS(Pointage!$A$2:$A$967,$A40,Pointage!$D$2:$D$967,$B40,Pointage!$E$2:$E$967,$C40,Pointage!$Q$2:$Q$967,"F")</f>
        <v>0</v>
      </c>
      <c r="K40" s="8" t="n">
        <f aca="false">COUNTIFS(Pointage!$A$2:$A$967,$A40,Pointage!$D$2:$D$967,$B40,Pointage!$E$2:$E$967,$C40,Pointage!$P$2:$P$967,"&gt;0")</f>
        <v>0</v>
      </c>
      <c r="L40" s="8" t="n">
        <f aca="false">SUMIFS(Pointage!$P$2:$P$967,Pointage!$A$2:$A$967,$A40,Pointage!$D$2:$D$967,$B40,Pointage!$E$2:$E$967,$C40)</f>
        <v>0</v>
      </c>
      <c r="M40" s="11" t="n">
        <f aca="false">SUMIFS(Pointage!$L$2:$L$967,Pointage!$A$2:$A$967,$A40,Pointage!$D$2:$D$967,$B40,Pointage!$E$2:$E$967,$C40)</f>
        <v>1.83333333333333</v>
      </c>
      <c r="N40" s="11" t="n">
        <f aca="false">SUMIFS(Pointage!$M$2:$M$967,Pointage!$A$2:$A$967,$A40,Pointage!$D$2:$D$967,$B40,Pointage!$E$2:$E$967,$C40)</f>
        <v>1.83333333333333</v>
      </c>
      <c r="O40" s="10" t="n">
        <f aca="false">IFERROR(F40/(F40+G40),"")</f>
        <v>1</v>
      </c>
      <c r="P40" s="10" t="n">
        <f aca="false">IFERROR(N40/M40,"")</f>
        <v>1</v>
      </c>
    </row>
    <row r="41" customFormat="false" ht="15" hidden="false" customHeight="false" outlineLevel="0" collapsed="false">
      <c r="A41" s="7" t="s">
        <v>26</v>
      </c>
      <c r="B41" s="8" t="n">
        <v>2026</v>
      </c>
      <c r="C41" s="8" t="n">
        <v>17</v>
      </c>
      <c r="D41" s="8" t="s">
        <v>74</v>
      </c>
      <c r="E41" s="8" t="n">
        <f aca="false">F41+G41+H41</f>
        <v>5</v>
      </c>
      <c r="F41" s="8" t="n">
        <f aca="false">COUNTIFS(Pointage!$A$2:$A$967,$A41,Pointage!$D$2:$D$967,$B41,Pointage!$E$2:$E$967,$C41,Pointage!$Q$2:$Q$967,"P")</f>
        <v>5</v>
      </c>
      <c r="G41" s="17" t="n">
        <f aca="false">COUNTIFS(Pointage!$A$2:$A$967,$A41,Pointage!$D$2:$D$967,$B41,Pointage!$E$2:$E$967,$C41,Pointage!$Q$2:$Q$967,"A")</f>
        <v>0</v>
      </c>
      <c r="H41" s="8" t="n">
        <f aca="false">COUNTIFS(Pointage!$A$2:$A$967,$A41,Pointage!$D$2:$D$967,$B41,Pointage!$E$2:$E$967,$C41,Pointage!$Q$2:$Q$967,"NR")</f>
        <v>0</v>
      </c>
      <c r="I41" s="8" t="n">
        <f aca="false">COUNTIFS(Pointage!$A$2:$A$967,$A41,Pointage!$D$2:$D$967,$B41,Pointage!$E$2:$E$967,$C41,Pointage!$Q$2:$Q$967,"CP")</f>
        <v>0</v>
      </c>
      <c r="J41" s="8" t="n">
        <f aca="false">COUNTIFS(Pointage!$A$2:$A$967,$A41,Pointage!$D$2:$D$967,$B41,Pointage!$E$2:$E$967,$C41,Pointage!$Q$2:$Q$967,"F")</f>
        <v>0</v>
      </c>
      <c r="K41" s="8" t="n">
        <f aca="false">COUNTIFS(Pointage!$A$2:$A$967,$A41,Pointage!$D$2:$D$967,$B41,Pointage!$E$2:$E$967,$C41,Pointage!$P$2:$P$967,"&gt;0")</f>
        <v>0</v>
      </c>
      <c r="L41" s="8" t="n">
        <f aca="false">SUMIFS(Pointage!$P$2:$P$967,Pointage!$A$2:$A$967,$A41,Pointage!$D$2:$D$967,$B41,Pointage!$E$2:$E$967,$C41)</f>
        <v>0</v>
      </c>
      <c r="M41" s="11" t="n">
        <f aca="false">SUMIFS(Pointage!$L$2:$L$967,Pointage!$A$2:$A$967,$A41,Pointage!$D$2:$D$967,$B41,Pointage!$E$2:$E$967,$C41)</f>
        <v>1.83333333333333</v>
      </c>
      <c r="N41" s="11" t="n">
        <f aca="false">SUMIFS(Pointage!$M$2:$M$967,Pointage!$A$2:$A$967,$A41,Pointage!$D$2:$D$967,$B41,Pointage!$E$2:$E$967,$C41)</f>
        <v>1.83333333333333</v>
      </c>
      <c r="O41" s="10" t="n">
        <f aca="false">IFERROR(F41/(F41+G41),"")</f>
        <v>1</v>
      </c>
      <c r="P41" s="10" t="n">
        <f aca="false">IFERROR(N41/M41,"")</f>
        <v>1</v>
      </c>
    </row>
    <row r="42" customFormat="false" ht="15" hidden="false" customHeight="false" outlineLevel="0" collapsed="false">
      <c r="A42" s="7" t="s">
        <v>26</v>
      </c>
      <c r="B42" s="8" t="n">
        <v>2026</v>
      </c>
      <c r="C42" s="8" t="n">
        <v>18</v>
      </c>
      <c r="D42" s="8" t="s">
        <v>75</v>
      </c>
      <c r="E42" s="8" t="n">
        <f aca="false">F42+G42+H42</f>
        <v>4</v>
      </c>
      <c r="F42" s="8" t="n">
        <f aca="false">COUNTIFS(Pointage!$A$2:$A$967,$A42,Pointage!$D$2:$D$967,$B42,Pointage!$E$2:$E$967,$C42,Pointage!$Q$2:$Q$967,"P")</f>
        <v>4</v>
      </c>
      <c r="G42" s="17" t="n">
        <f aca="false">COUNTIFS(Pointage!$A$2:$A$967,$A42,Pointage!$D$2:$D$967,$B42,Pointage!$E$2:$E$967,$C42,Pointage!$Q$2:$Q$967,"A")</f>
        <v>0</v>
      </c>
      <c r="H42" s="8" t="n">
        <f aca="false">COUNTIFS(Pointage!$A$2:$A$967,$A42,Pointage!$D$2:$D$967,$B42,Pointage!$E$2:$E$967,$C42,Pointage!$Q$2:$Q$967,"NR")</f>
        <v>0</v>
      </c>
      <c r="I42" s="8" t="n">
        <f aca="false">COUNTIFS(Pointage!$A$2:$A$967,$A42,Pointage!$D$2:$D$967,$B42,Pointage!$E$2:$E$967,$C42,Pointage!$Q$2:$Q$967,"CP")</f>
        <v>0</v>
      </c>
      <c r="J42" s="8" t="n">
        <f aca="false">COUNTIFS(Pointage!$A$2:$A$967,$A42,Pointage!$D$2:$D$967,$B42,Pointage!$E$2:$E$967,$C42,Pointage!$Q$2:$Q$967,"F")</f>
        <v>1</v>
      </c>
      <c r="K42" s="8" t="n">
        <f aca="false">COUNTIFS(Pointage!$A$2:$A$967,$A42,Pointage!$D$2:$D$967,$B42,Pointage!$E$2:$E$967,$C42,Pointage!$P$2:$P$967,"&gt;0")</f>
        <v>0</v>
      </c>
      <c r="L42" s="8" t="n">
        <f aca="false">SUMIFS(Pointage!$P$2:$P$967,Pointage!$A$2:$A$967,$A42,Pointage!$D$2:$D$967,$B42,Pointage!$E$2:$E$967,$C42)</f>
        <v>0</v>
      </c>
      <c r="M42" s="11" t="n">
        <f aca="false">SUMIFS(Pointage!$L$2:$L$967,Pointage!$A$2:$A$967,$A42,Pointage!$D$2:$D$967,$B42,Pointage!$E$2:$E$967,$C42)</f>
        <v>1.5</v>
      </c>
      <c r="N42" s="11" t="n">
        <f aca="false">SUMIFS(Pointage!$M$2:$M$967,Pointage!$A$2:$A$967,$A42,Pointage!$D$2:$D$967,$B42,Pointage!$E$2:$E$967,$C42)</f>
        <v>1.5</v>
      </c>
      <c r="O42" s="10" t="n">
        <f aca="false">IFERROR(F42/(F42+G42),"")</f>
        <v>1</v>
      </c>
      <c r="P42" s="10" t="n">
        <f aca="false">IFERROR(N42/M42,"")</f>
        <v>1</v>
      </c>
    </row>
    <row r="43" customFormat="false" ht="15" hidden="false" customHeight="false" outlineLevel="0" collapsed="false">
      <c r="A43" s="7" t="s">
        <v>26</v>
      </c>
      <c r="B43" s="8" t="n">
        <v>2026</v>
      </c>
      <c r="C43" s="8" t="n">
        <v>19</v>
      </c>
      <c r="D43" s="8" t="s">
        <v>76</v>
      </c>
      <c r="E43" s="8" t="n">
        <f aca="false">F43+G43+H43</f>
        <v>4</v>
      </c>
      <c r="F43" s="8" t="n">
        <f aca="false">COUNTIFS(Pointage!$A$2:$A$967,$A43,Pointage!$D$2:$D$967,$B43,Pointage!$E$2:$E$967,$C43,Pointage!$Q$2:$Q$967,"P")</f>
        <v>4</v>
      </c>
      <c r="G43" s="17" t="n">
        <f aca="false">COUNTIFS(Pointage!$A$2:$A$967,$A43,Pointage!$D$2:$D$967,$B43,Pointage!$E$2:$E$967,$C43,Pointage!$Q$2:$Q$967,"A")</f>
        <v>0</v>
      </c>
      <c r="H43" s="8" t="n">
        <f aca="false">COUNTIFS(Pointage!$A$2:$A$967,$A43,Pointage!$D$2:$D$967,$B43,Pointage!$E$2:$E$967,$C43,Pointage!$Q$2:$Q$967,"NR")</f>
        <v>0</v>
      </c>
      <c r="I43" s="8" t="n">
        <f aca="false">COUNTIFS(Pointage!$A$2:$A$967,$A43,Pointage!$D$2:$D$967,$B43,Pointage!$E$2:$E$967,$C43,Pointage!$Q$2:$Q$967,"CP")</f>
        <v>0</v>
      </c>
      <c r="J43" s="8" t="n">
        <f aca="false">COUNTIFS(Pointage!$A$2:$A$967,$A43,Pointage!$D$2:$D$967,$B43,Pointage!$E$2:$E$967,$C43,Pointage!$Q$2:$Q$967,"F")</f>
        <v>0</v>
      </c>
      <c r="K43" s="8" t="n">
        <f aca="false">COUNTIFS(Pointage!$A$2:$A$967,$A43,Pointage!$D$2:$D$967,$B43,Pointage!$E$2:$E$967,$C43,Pointage!$P$2:$P$967,"&gt;0")</f>
        <v>0</v>
      </c>
      <c r="L43" s="8" t="n">
        <f aca="false">SUMIFS(Pointage!$P$2:$P$967,Pointage!$A$2:$A$967,$A43,Pointage!$D$2:$D$967,$B43,Pointage!$E$2:$E$967,$C43)</f>
        <v>0</v>
      </c>
      <c r="M43" s="11" t="n">
        <f aca="false">SUMIFS(Pointage!$L$2:$L$967,Pointage!$A$2:$A$967,$A43,Pointage!$D$2:$D$967,$B43,Pointage!$E$2:$E$967,$C43)</f>
        <v>1.5</v>
      </c>
      <c r="N43" s="11" t="n">
        <f aca="false">SUMIFS(Pointage!$M$2:$M$967,Pointage!$A$2:$A$967,$A43,Pointage!$D$2:$D$967,$B43,Pointage!$E$2:$E$967,$C43)</f>
        <v>1.5</v>
      </c>
      <c r="O43" s="10" t="n">
        <f aca="false">IFERROR(F43/(F43+G43),"")</f>
        <v>1</v>
      </c>
      <c r="P43" s="10" t="n">
        <f aca="false">IFERROR(N43/M43,"")</f>
        <v>1</v>
      </c>
    </row>
    <row r="44" customFormat="false" ht="15" hidden="false" customHeight="false" outlineLevel="0" collapsed="false">
      <c r="A44" s="7" t="s">
        <v>26</v>
      </c>
      <c r="B44" s="8" t="n">
        <v>2026</v>
      </c>
      <c r="C44" s="8" t="n">
        <v>20</v>
      </c>
      <c r="D44" s="8" t="s">
        <v>77</v>
      </c>
      <c r="E44" s="8" t="n">
        <f aca="false">F44+G44+H44</f>
        <v>2</v>
      </c>
      <c r="F44" s="8" t="n">
        <f aca="false">COUNTIFS(Pointage!$A$2:$A$967,$A44,Pointage!$D$2:$D$967,$B44,Pointage!$E$2:$E$967,$C44,Pointage!$Q$2:$Q$967,"P")</f>
        <v>2</v>
      </c>
      <c r="G44" s="17" t="n">
        <f aca="false">COUNTIFS(Pointage!$A$2:$A$967,$A44,Pointage!$D$2:$D$967,$B44,Pointage!$E$2:$E$967,$C44,Pointage!$Q$2:$Q$967,"A")</f>
        <v>0</v>
      </c>
      <c r="H44" s="8" t="n">
        <f aca="false">COUNTIFS(Pointage!$A$2:$A$967,$A44,Pointage!$D$2:$D$967,$B44,Pointage!$E$2:$E$967,$C44,Pointage!$Q$2:$Q$967,"NR")</f>
        <v>0</v>
      </c>
      <c r="I44" s="8" t="n">
        <f aca="false">COUNTIFS(Pointage!$A$2:$A$967,$A44,Pointage!$D$2:$D$967,$B44,Pointage!$E$2:$E$967,$C44,Pointage!$Q$2:$Q$967,"CP")</f>
        <v>2</v>
      </c>
      <c r="J44" s="8" t="n">
        <f aca="false">COUNTIFS(Pointage!$A$2:$A$967,$A44,Pointage!$D$2:$D$967,$B44,Pointage!$E$2:$E$967,$C44,Pointage!$Q$2:$Q$967,"F")</f>
        <v>0</v>
      </c>
      <c r="K44" s="8" t="n">
        <f aca="false">COUNTIFS(Pointage!$A$2:$A$967,$A44,Pointage!$D$2:$D$967,$B44,Pointage!$E$2:$E$967,$C44,Pointage!$P$2:$P$967,"&gt;0")</f>
        <v>0</v>
      </c>
      <c r="L44" s="8" t="n">
        <f aca="false">SUMIFS(Pointage!$P$2:$P$967,Pointage!$A$2:$A$967,$A44,Pointage!$D$2:$D$967,$B44,Pointage!$E$2:$E$967,$C44)</f>
        <v>0</v>
      </c>
      <c r="M44" s="11" t="n">
        <f aca="false">SUMIFS(Pointage!$L$2:$L$967,Pointage!$A$2:$A$967,$A44,Pointage!$D$2:$D$967,$B44,Pointage!$E$2:$E$967,$C44)</f>
        <v>0.75</v>
      </c>
      <c r="N44" s="11" t="n">
        <f aca="false">SUMIFS(Pointage!$M$2:$M$967,Pointage!$A$2:$A$967,$A44,Pointage!$D$2:$D$967,$B44,Pointage!$E$2:$E$967,$C44)</f>
        <v>0.75</v>
      </c>
      <c r="O44" s="10" t="n">
        <f aca="false">IFERROR(F44/(F44+G44),"")</f>
        <v>1</v>
      </c>
      <c r="P44" s="10" t="n">
        <f aca="false">IFERROR(N44/M44,"")</f>
        <v>1</v>
      </c>
    </row>
    <row r="45" customFormat="false" ht="15" hidden="false" customHeight="false" outlineLevel="0" collapsed="false">
      <c r="A45" s="7" t="s">
        <v>26</v>
      </c>
      <c r="B45" s="8" t="n">
        <v>2026</v>
      </c>
      <c r="C45" s="8" t="n">
        <v>21</v>
      </c>
      <c r="D45" s="8" t="s">
        <v>78</v>
      </c>
      <c r="E45" s="8" t="n">
        <f aca="false">F45+G45+H45</f>
        <v>5</v>
      </c>
      <c r="F45" s="8" t="n">
        <f aca="false">COUNTIFS(Pointage!$A$2:$A$967,$A45,Pointage!$D$2:$D$967,$B45,Pointage!$E$2:$E$967,$C45,Pointage!$Q$2:$Q$967,"P")</f>
        <v>5</v>
      </c>
      <c r="G45" s="17" t="n">
        <f aca="false">COUNTIFS(Pointage!$A$2:$A$967,$A45,Pointage!$D$2:$D$967,$B45,Pointage!$E$2:$E$967,$C45,Pointage!$Q$2:$Q$967,"A")</f>
        <v>0</v>
      </c>
      <c r="H45" s="8" t="n">
        <f aca="false">COUNTIFS(Pointage!$A$2:$A$967,$A45,Pointage!$D$2:$D$967,$B45,Pointage!$E$2:$E$967,$C45,Pointage!$Q$2:$Q$967,"NR")</f>
        <v>0</v>
      </c>
      <c r="I45" s="8" t="n">
        <f aca="false">COUNTIFS(Pointage!$A$2:$A$967,$A45,Pointage!$D$2:$D$967,$B45,Pointage!$E$2:$E$967,$C45,Pointage!$Q$2:$Q$967,"CP")</f>
        <v>0</v>
      </c>
      <c r="J45" s="8" t="n">
        <f aca="false">COUNTIFS(Pointage!$A$2:$A$967,$A45,Pointage!$D$2:$D$967,$B45,Pointage!$E$2:$E$967,$C45,Pointage!$Q$2:$Q$967,"F")</f>
        <v>0</v>
      </c>
      <c r="K45" s="8" t="n">
        <f aca="false">COUNTIFS(Pointage!$A$2:$A$967,$A45,Pointage!$D$2:$D$967,$B45,Pointage!$E$2:$E$967,$C45,Pointage!$P$2:$P$967,"&gt;0")</f>
        <v>0</v>
      </c>
      <c r="L45" s="8" t="n">
        <f aca="false">SUMIFS(Pointage!$P$2:$P$967,Pointage!$A$2:$A$967,$A45,Pointage!$D$2:$D$967,$B45,Pointage!$E$2:$E$967,$C45)</f>
        <v>0</v>
      </c>
      <c r="M45" s="11" t="n">
        <f aca="false">SUMIFS(Pointage!$L$2:$L$967,Pointage!$A$2:$A$967,$A45,Pointage!$D$2:$D$967,$B45,Pointage!$E$2:$E$967,$C45)</f>
        <v>1.83333333333333</v>
      </c>
      <c r="N45" s="11" t="n">
        <f aca="false">SUMIFS(Pointage!$M$2:$M$967,Pointage!$A$2:$A$967,$A45,Pointage!$D$2:$D$967,$B45,Pointage!$E$2:$E$967,$C45)</f>
        <v>1.83333333333333</v>
      </c>
      <c r="O45" s="10" t="n">
        <f aca="false">IFERROR(F45/(F45+G45),"")</f>
        <v>1</v>
      </c>
      <c r="P45" s="10" t="n">
        <f aca="false">IFERROR(N45/M45,"")</f>
        <v>1</v>
      </c>
    </row>
    <row r="46" customFormat="false" ht="15" hidden="false" customHeight="false" outlineLevel="0" collapsed="false">
      <c r="A46" s="7" t="s">
        <v>26</v>
      </c>
      <c r="B46" s="8" t="n">
        <v>2026</v>
      </c>
      <c r="C46" s="8" t="n">
        <v>22</v>
      </c>
      <c r="D46" s="8" t="s">
        <v>79</v>
      </c>
      <c r="E46" s="8" t="n">
        <f aca="false">F46+G46+H46</f>
        <v>4</v>
      </c>
      <c r="F46" s="8" t="n">
        <f aca="false">COUNTIFS(Pointage!$A$2:$A$967,$A46,Pointage!$D$2:$D$967,$B46,Pointage!$E$2:$E$967,$C46,Pointage!$Q$2:$Q$967,"P")</f>
        <v>4</v>
      </c>
      <c r="G46" s="17" t="n">
        <f aca="false">COUNTIFS(Pointage!$A$2:$A$967,$A46,Pointage!$D$2:$D$967,$B46,Pointage!$E$2:$E$967,$C46,Pointage!$Q$2:$Q$967,"A")</f>
        <v>0</v>
      </c>
      <c r="H46" s="8" t="n">
        <f aca="false">COUNTIFS(Pointage!$A$2:$A$967,$A46,Pointage!$D$2:$D$967,$B46,Pointage!$E$2:$E$967,$C46,Pointage!$Q$2:$Q$967,"NR")</f>
        <v>0</v>
      </c>
      <c r="I46" s="8" t="n">
        <f aca="false">COUNTIFS(Pointage!$A$2:$A$967,$A46,Pointage!$D$2:$D$967,$B46,Pointage!$E$2:$E$967,$C46,Pointage!$Q$2:$Q$967,"CP")</f>
        <v>0</v>
      </c>
      <c r="J46" s="8" t="n">
        <f aca="false">COUNTIFS(Pointage!$A$2:$A$967,$A46,Pointage!$D$2:$D$967,$B46,Pointage!$E$2:$E$967,$C46,Pointage!$Q$2:$Q$967,"F")</f>
        <v>0</v>
      </c>
      <c r="K46" s="8" t="n">
        <f aca="false">COUNTIFS(Pointage!$A$2:$A$967,$A46,Pointage!$D$2:$D$967,$B46,Pointage!$E$2:$E$967,$C46,Pointage!$P$2:$P$967,"&gt;0")</f>
        <v>0</v>
      </c>
      <c r="L46" s="8" t="n">
        <f aca="false">SUMIFS(Pointage!$P$2:$P$967,Pointage!$A$2:$A$967,$A46,Pointage!$D$2:$D$967,$B46,Pointage!$E$2:$E$967,$C46)</f>
        <v>0</v>
      </c>
      <c r="M46" s="11" t="n">
        <f aca="false">SUMIFS(Pointage!$L$2:$L$967,Pointage!$A$2:$A$967,$A46,Pointage!$D$2:$D$967,$B46,Pointage!$E$2:$E$967,$C46)</f>
        <v>1.45833333333333</v>
      </c>
      <c r="N46" s="11" t="n">
        <f aca="false">SUMIFS(Pointage!$M$2:$M$967,Pointage!$A$2:$A$967,$A46,Pointage!$D$2:$D$967,$B46,Pointage!$E$2:$E$967,$C46)</f>
        <v>1.45833333333333</v>
      </c>
      <c r="O46" s="10" t="n">
        <f aca="false">IFERROR(F46/(F46+G46),"")</f>
        <v>1</v>
      </c>
      <c r="P46" s="10" t="n">
        <f aca="false">IFERROR(N46/M46,"")</f>
        <v>1</v>
      </c>
    </row>
    <row r="47" customFormat="false" ht="15" hidden="false" customHeight="false" outlineLevel="0" collapsed="false">
      <c r="A47" s="7" t="s">
        <v>26</v>
      </c>
      <c r="B47" s="8" t="n">
        <v>2026</v>
      </c>
      <c r="C47" s="8" t="n">
        <v>23</v>
      </c>
      <c r="D47" s="8" t="s">
        <v>80</v>
      </c>
      <c r="E47" s="8" t="n">
        <f aca="false">F47+G47+H47</f>
        <v>5</v>
      </c>
      <c r="F47" s="8" t="n">
        <f aca="false">COUNTIFS(Pointage!$A$2:$A$967,$A47,Pointage!$D$2:$D$967,$B47,Pointage!$E$2:$E$967,$C47,Pointage!$Q$2:$Q$967,"P")</f>
        <v>5</v>
      </c>
      <c r="G47" s="17" t="n">
        <f aca="false">COUNTIFS(Pointage!$A$2:$A$967,$A47,Pointage!$D$2:$D$967,$B47,Pointage!$E$2:$E$967,$C47,Pointage!$Q$2:$Q$967,"A")</f>
        <v>0</v>
      </c>
      <c r="H47" s="8" t="n">
        <f aca="false">COUNTIFS(Pointage!$A$2:$A$967,$A47,Pointage!$D$2:$D$967,$B47,Pointage!$E$2:$E$967,$C47,Pointage!$Q$2:$Q$967,"NR")</f>
        <v>0</v>
      </c>
      <c r="I47" s="8" t="n">
        <f aca="false">COUNTIFS(Pointage!$A$2:$A$967,$A47,Pointage!$D$2:$D$967,$B47,Pointage!$E$2:$E$967,$C47,Pointage!$Q$2:$Q$967,"CP")</f>
        <v>0</v>
      </c>
      <c r="J47" s="8" t="n">
        <f aca="false">COUNTIFS(Pointage!$A$2:$A$967,$A47,Pointage!$D$2:$D$967,$B47,Pointage!$E$2:$E$967,$C47,Pointage!$Q$2:$Q$967,"F")</f>
        <v>0</v>
      </c>
      <c r="K47" s="8" t="n">
        <f aca="false">COUNTIFS(Pointage!$A$2:$A$967,$A47,Pointage!$D$2:$D$967,$B47,Pointage!$E$2:$E$967,$C47,Pointage!$P$2:$P$967,"&gt;0")</f>
        <v>0</v>
      </c>
      <c r="L47" s="8" t="n">
        <f aca="false">SUMIFS(Pointage!$P$2:$P$967,Pointage!$A$2:$A$967,$A47,Pointage!$D$2:$D$967,$B47,Pointage!$E$2:$E$967,$C47)</f>
        <v>0</v>
      </c>
      <c r="M47" s="11" t="n">
        <f aca="false">SUMIFS(Pointage!$L$2:$L$967,Pointage!$A$2:$A$967,$A47,Pointage!$D$2:$D$967,$B47,Pointage!$E$2:$E$967,$C47)</f>
        <v>1.83333333333333</v>
      </c>
      <c r="N47" s="11" t="n">
        <f aca="false">SUMIFS(Pointage!$M$2:$M$967,Pointage!$A$2:$A$967,$A47,Pointage!$D$2:$D$967,$B47,Pointage!$E$2:$E$967,$C47)</f>
        <v>1.83333333333333</v>
      </c>
      <c r="O47" s="10" t="n">
        <f aca="false">IFERROR(F47/(F47+G47),"")</f>
        <v>1</v>
      </c>
      <c r="P47" s="10" t="n">
        <f aca="false">IFERROR(N47/M47,"")</f>
        <v>1</v>
      </c>
    </row>
    <row r="48" customFormat="false" ht="15" hidden="false" customHeight="false" outlineLevel="0" collapsed="false">
      <c r="A48" s="7" t="s">
        <v>26</v>
      </c>
      <c r="B48" s="8" t="n">
        <v>2026</v>
      </c>
      <c r="C48" s="8" t="n">
        <v>24</v>
      </c>
      <c r="D48" s="8" t="s">
        <v>81</v>
      </c>
      <c r="E48" s="8" t="n">
        <f aca="false">F48+G48+H48</f>
        <v>5</v>
      </c>
      <c r="F48" s="8" t="n">
        <f aca="false">COUNTIFS(Pointage!$A$2:$A$967,$A48,Pointage!$D$2:$D$967,$B48,Pointage!$E$2:$E$967,$C48,Pointage!$Q$2:$Q$967,"P")</f>
        <v>5</v>
      </c>
      <c r="G48" s="17" t="n">
        <f aca="false">COUNTIFS(Pointage!$A$2:$A$967,$A48,Pointage!$D$2:$D$967,$B48,Pointage!$E$2:$E$967,$C48,Pointage!$Q$2:$Q$967,"A")</f>
        <v>0</v>
      </c>
      <c r="H48" s="8" t="n">
        <f aca="false">COUNTIFS(Pointage!$A$2:$A$967,$A48,Pointage!$D$2:$D$967,$B48,Pointage!$E$2:$E$967,$C48,Pointage!$Q$2:$Q$967,"NR")</f>
        <v>0</v>
      </c>
      <c r="I48" s="8" t="n">
        <f aca="false">COUNTIFS(Pointage!$A$2:$A$967,$A48,Pointage!$D$2:$D$967,$B48,Pointage!$E$2:$E$967,$C48,Pointage!$Q$2:$Q$967,"CP")</f>
        <v>0</v>
      </c>
      <c r="J48" s="8" t="n">
        <f aca="false">COUNTIFS(Pointage!$A$2:$A$967,$A48,Pointage!$D$2:$D$967,$B48,Pointage!$E$2:$E$967,$C48,Pointage!$Q$2:$Q$967,"F")</f>
        <v>0</v>
      </c>
      <c r="K48" s="8" t="n">
        <f aca="false">COUNTIFS(Pointage!$A$2:$A$967,$A48,Pointage!$D$2:$D$967,$B48,Pointage!$E$2:$E$967,$C48,Pointage!$P$2:$P$967,"&gt;0")</f>
        <v>0</v>
      </c>
      <c r="L48" s="8" t="n">
        <f aca="false">SUMIFS(Pointage!$P$2:$P$967,Pointage!$A$2:$A$967,$A48,Pointage!$D$2:$D$967,$B48,Pointage!$E$2:$E$967,$C48)</f>
        <v>0</v>
      </c>
      <c r="M48" s="11" t="n">
        <f aca="false">SUMIFS(Pointage!$L$2:$L$967,Pointage!$A$2:$A$967,$A48,Pointage!$D$2:$D$967,$B48,Pointage!$E$2:$E$967,$C48)</f>
        <v>1.83333333333333</v>
      </c>
      <c r="N48" s="11" t="n">
        <f aca="false">SUMIFS(Pointage!$M$2:$M$967,Pointage!$A$2:$A$967,$A48,Pointage!$D$2:$D$967,$B48,Pointage!$E$2:$E$967,$C48)</f>
        <v>1.83333333333333</v>
      </c>
      <c r="O48" s="10" t="n">
        <f aca="false">IFERROR(F48/(F48+G48),"")</f>
        <v>1</v>
      </c>
      <c r="P48" s="10" t="n">
        <f aca="false">IFERROR(N48/M48,"")</f>
        <v>1</v>
      </c>
    </row>
    <row r="49" customFormat="false" ht="15" hidden="false" customHeight="false" outlineLevel="0" collapsed="false">
      <c r="A49" s="7" t="s">
        <v>26</v>
      </c>
      <c r="B49" s="8" t="n">
        <v>2026</v>
      </c>
      <c r="C49" s="8" t="n">
        <v>25</v>
      </c>
      <c r="D49" s="8" t="s">
        <v>82</v>
      </c>
      <c r="E49" s="8" t="n">
        <f aca="false">F49+G49+H49</f>
        <v>5</v>
      </c>
      <c r="F49" s="8" t="n">
        <f aca="false">COUNTIFS(Pointage!$A$2:$A$967,$A49,Pointage!$D$2:$D$967,$B49,Pointage!$E$2:$E$967,$C49,Pointage!$Q$2:$Q$967,"P")</f>
        <v>5</v>
      </c>
      <c r="G49" s="17" t="n">
        <f aca="false">COUNTIFS(Pointage!$A$2:$A$967,$A49,Pointage!$D$2:$D$967,$B49,Pointage!$E$2:$E$967,$C49,Pointage!$Q$2:$Q$967,"A")</f>
        <v>0</v>
      </c>
      <c r="H49" s="8" t="n">
        <f aca="false">COUNTIFS(Pointage!$A$2:$A$967,$A49,Pointage!$D$2:$D$967,$B49,Pointage!$E$2:$E$967,$C49,Pointage!$Q$2:$Q$967,"NR")</f>
        <v>0</v>
      </c>
      <c r="I49" s="8" t="n">
        <f aca="false">COUNTIFS(Pointage!$A$2:$A$967,$A49,Pointage!$D$2:$D$967,$B49,Pointage!$E$2:$E$967,$C49,Pointage!$Q$2:$Q$967,"CP")</f>
        <v>0</v>
      </c>
      <c r="J49" s="8" t="n">
        <f aca="false">COUNTIFS(Pointage!$A$2:$A$967,$A49,Pointage!$D$2:$D$967,$B49,Pointage!$E$2:$E$967,$C49,Pointage!$Q$2:$Q$967,"F")</f>
        <v>0</v>
      </c>
      <c r="K49" s="8" t="n">
        <f aca="false">COUNTIFS(Pointage!$A$2:$A$967,$A49,Pointage!$D$2:$D$967,$B49,Pointage!$E$2:$E$967,$C49,Pointage!$P$2:$P$967,"&gt;0")</f>
        <v>0</v>
      </c>
      <c r="L49" s="8" t="n">
        <f aca="false">SUMIFS(Pointage!$P$2:$P$967,Pointage!$A$2:$A$967,$A49,Pointage!$D$2:$D$967,$B49,Pointage!$E$2:$E$967,$C49)</f>
        <v>0</v>
      </c>
      <c r="M49" s="11" t="n">
        <f aca="false">SUMIFS(Pointage!$L$2:$L$967,Pointage!$A$2:$A$967,$A49,Pointage!$D$2:$D$967,$B49,Pointage!$E$2:$E$967,$C49)</f>
        <v>1.83333333333333</v>
      </c>
      <c r="N49" s="11" t="n">
        <f aca="false">SUMIFS(Pointage!$M$2:$M$967,Pointage!$A$2:$A$967,$A49,Pointage!$D$2:$D$967,$B49,Pointage!$E$2:$E$967,$C49)</f>
        <v>1.83333333333333</v>
      </c>
      <c r="O49" s="10" t="n">
        <f aca="false">IFERROR(F49/(F49+G49),"")</f>
        <v>1</v>
      </c>
      <c r="P49" s="10" t="n">
        <f aca="false">IFERROR(N49/M49,"")</f>
        <v>1</v>
      </c>
    </row>
    <row r="50" customFormat="false" ht="15" hidden="false" customHeight="false" outlineLevel="0" collapsed="false">
      <c r="A50" s="7" t="s">
        <v>26</v>
      </c>
      <c r="B50" s="8" t="n">
        <v>2026</v>
      </c>
      <c r="C50" s="8" t="n">
        <v>26</v>
      </c>
      <c r="D50" s="8" t="s">
        <v>83</v>
      </c>
      <c r="E50" s="8" t="n">
        <f aca="false">F50+G50+H50</f>
        <v>5</v>
      </c>
      <c r="F50" s="8" t="n">
        <f aca="false">COUNTIFS(Pointage!$A$2:$A$967,$A50,Pointage!$D$2:$D$967,$B50,Pointage!$E$2:$E$967,$C50,Pointage!$Q$2:$Q$967,"P")</f>
        <v>5</v>
      </c>
      <c r="G50" s="17" t="n">
        <f aca="false">COUNTIFS(Pointage!$A$2:$A$967,$A50,Pointage!$D$2:$D$967,$B50,Pointage!$E$2:$E$967,$C50,Pointage!$Q$2:$Q$967,"A")</f>
        <v>0</v>
      </c>
      <c r="H50" s="8" t="n">
        <f aca="false">COUNTIFS(Pointage!$A$2:$A$967,$A50,Pointage!$D$2:$D$967,$B50,Pointage!$E$2:$E$967,$C50,Pointage!$Q$2:$Q$967,"NR")</f>
        <v>0</v>
      </c>
      <c r="I50" s="8" t="n">
        <f aca="false">COUNTIFS(Pointage!$A$2:$A$967,$A50,Pointage!$D$2:$D$967,$B50,Pointage!$E$2:$E$967,$C50,Pointage!$Q$2:$Q$967,"CP")</f>
        <v>0</v>
      </c>
      <c r="J50" s="8" t="n">
        <f aca="false">COUNTIFS(Pointage!$A$2:$A$967,$A50,Pointage!$D$2:$D$967,$B50,Pointage!$E$2:$E$967,$C50,Pointage!$Q$2:$Q$967,"F")</f>
        <v>0</v>
      </c>
      <c r="K50" s="8" t="n">
        <f aca="false">COUNTIFS(Pointage!$A$2:$A$967,$A50,Pointage!$D$2:$D$967,$B50,Pointage!$E$2:$E$967,$C50,Pointage!$P$2:$P$967,"&gt;0")</f>
        <v>0</v>
      </c>
      <c r="L50" s="8" t="n">
        <f aca="false">SUMIFS(Pointage!$P$2:$P$967,Pointage!$A$2:$A$967,$A50,Pointage!$D$2:$D$967,$B50,Pointage!$E$2:$E$967,$C50)</f>
        <v>0</v>
      </c>
      <c r="M50" s="11" t="n">
        <f aca="false">SUMIFS(Pointage!$L$2:$L$967,Pointage!$A$2:$A$967,$A50,Pointage!$D$2:$D$967,$B50,Pointage!$E$2:$E$967,$C50)</f>
        <v>1.83333333333333</v>
      </c>
      <c r="N50" s="11" t="n">
        <f aca="false">SUMIFS(Pointage!$M$2:$M$967,Pointage!$A$2:$A$967,$A50,Pointage!$D$2:$D$967,$B50,Pointage!$E$2:$E$967,$C50)</f>
        <v>1.83333333333333</v>
      </c>
      <c r="O50" s="10" t="n">
        <f aca="false">IFERROR(F50/(F50+G50),"")</f>
        <v>1</v>
      </c>
      <c r="P50" s="10" t="n">
        <f aca="false">IFERROR(N50/M50,"")</f>
        <v>1</v>
      </c>
    </row>
    <row r="51" customFormat="false" ht="15" hidden="false" customHeight="false" outlineLevel="0" collapsed="false">
      <c r="A51" s="7" t="s">
        <v>26</v>
      </c>
      <c r="B51" s="8" t="n">
        <v>2026</v>
      </c>
      <c r="C51" s="8" t="n">
        <v>27</v>
      </c>
      <c r="D51" s="8" t="s">
        <v>84</v>
      </c>
      <c r="E51" s="8" t="n">
        <f aca="false">F51+G51+H51</f>
        <v>5</v>
      </c>
      <c r="F51" s="8" t="n">
        <f aca="false">COUNTIFS(Pointage!$A$2:$A$967,$A51,Pointage!$D$2:$D$967,$B51,Pointage!$E$2:$E$967,$C51,Pointage!$Q$2:$Q$967,"P")</f>
        <v>5</v>
      </c>
      <c r="G51" s="17" t="n">
        <f aca="false">COUNTIFS(Pointage!$A$2:$A$967,$A51,Pointage!$D$2:$D$967,$B51,Pointage!$E$2:$E$967,$C51,Pointage!$Q$2:$Q$967,"A")</f>
        <v>0</v>
      </c>
      <c r="H51" s="8" t="n">
        <f aca="false">COUNTIFS(Pointage!$A$2:$A$967,$A51,Pointage!$D$2:$D$967,$B51,Pointage!$E$2:$E$967,$C51,Pointage!$Q$2:$Q$967,"NR")</f>
        <v>0</v>
      </c>
      <c r="I51" s="8" t="n">
        <f aca="false">COUNTIFS(Pointage!$A$2:$A$967,$A51,Pointage!$D$2:$D$967,$B51,Pointage!$E$2:$E$967,$C51,Pointage!$Q$2:$Q$967,"CP")</f>
        <v>0</v>
      </c>
      <c r="J51" s="8" t="n">
        <f aca="false">COUNTIFS(Pointage!$A$2:$A$967,$A51,Pointage!$D$2:$D$967,$B51,Pointage!$E$2:$E$967,$C51,Pointage!$Q$2:$Q$967,"F")</f>
        <v>0</v>
      </c>
      <c r="K51" s="8" t="n">
        <f aca="false">COUNTIFS(Pointage!$A$2:$A$967,$A51,Pointage!$D$2:$D$967,$B51,Pointage!$E$2:$E$967,$C51,Pointage!$P$2:$P$967,"&gt;0")</f>
        <v>0</v>
      </c>
      <c r="L51" s="8" t="n">
        <f aca="false">SUMIFS(Pointage!$P$2:$P$967,Pointage!$A$2:$A$967,$A51,Pointage!$D$2:$D$967,$B51,Pointage!$E$2:$E$967,$C51)</f>
        <v>0</v>
      </c>
      <c r="M51" s="11" t="n">
        <f aca="false">SUMIFS(Pointage!$L$2:$L$967,Pointage!$A$2:$A$967,$A51,Pointage!$D$2:$D$967,$B51,Pointage!$E$2:$E$967,$C51)</f>
        <v>1.83333333333333</v>
      </c>
      <c r="N51" s="11" t="n">
        <f aca="false">SUMIFS(Pointage!$M$2:$M$967,Pointage!$A$2:$A$967,$A51,Pointage!$D$2:$D$967,$B51,Pointage!$E$2:$E$967,$C51)</f>
        <v>1.83333333333333</v>
      </c>
      <c r="O51" s="10" t="n">
        <f aca="false">IFERROR(F51/(F51+G51),"")</f>
        <v>1</v>
      </c>
      <c r="P51" s="10" t="n">
        <f aca="false">IFERROR(N51/M51,"")</f>
        <v>1</v>
      </c>
    </row>
    <row r="52" customFormat="false" ht="15" hidden="false" customHeight="false" outlineLevel="0" collapsed="false">
      <c r="A52" s="7" t="s">
        <v>26</v>
      </c>
      <c r="B52" s="8" t="n">
        <v>2026</v>
      </c>
      <c r="C52" s="8" t="n">
        <v>28</v>
      </c>
      <c r="D52" s="8" t="s">
        <v>85</v>
      </c>
      <c r="E52" s="8" t="n">
        <f aca="false">F52+G52+H52</f>
        <v>5</v>
      </c>
      <c r="F52" s="8" t="n">
        <f aca="false">COUNTIFS(Pointage!$A$2:$A$967,$A52,Pointage!$D$2:$D$967,$B52,Pointage!$E$2:$E$967,$C52,Pointage!$Q$2:$Q$967,"P")</f>
        <v>5</v>
      </c>
      <c r="G52" s="17" t="n">
        <f aca="false">COUNTIFS(Pointage!$A$2:$A$967,$A52,Pointage!$D$2:$D$967,$B52,Pointage!$E$2:$E$967,$C52,Pointage!$Q$2:$Q$967,"A")</f>
        <v>0</v>
      </c>
      <c r="H52" s="8" t="n">
        <f aca="false">COUNTIFS(Pointage!$A$2:$A$967,$A52,Pointage!$D$2:$D$967,$B52,Pointage!$E$2:$E$967,$C52,Pointage!$Q$2:$Q$967,"NR")</f>
        <v>0</v>
      </c>
      <c r="I52" s="8" t="n">
        <f aca="false">COUNTIFS(Pointage!$A$2:$A$967,$A52,Pointage!$D$2:$D$967,$B52,Pointage!$E$2:$E$967,$C52,Pointage!$Q$2:$Q$967,"CP")</f>
        <v>0</v>
      </c>
      <c r="J52" s="8" t="n">
        <f aca="false">COUNTIFS(Pointage!$A$2:$A$967,$A52,Pointage!$D$2:$D$967,$B52,Pointage!$E$2:$E$967,$C52,Pointage!$Q$2:$Q$967,"F")</f>
        <v>0</v>
      </c>
      <c r="K52" s="8" t="n">
        <f aca="false">COUNTIFS(Pointage!$A$2:$A$967,$A52,Pointage!$D$2:$D$967,$B52,Pointage!$E$2:$E$967,$C52,Pointage!$P$2:$P$967,"&gt;0")</f>
        <v>0</v>
      </c>
      <c r="L52" s="8" t="n">
        <f aca="false">SUMIFS(Pointage!$P$2:$P$967,Pointage!$A$2:$A$967,$A52,Pointage!$D$2:$D$967,$B52,Pointage!$E$2:$E$967,$C52)</f>
        <v>0</v>
      </c>
      <c r="M52" s="11" t="n">
        <f aca="false">SUMIFS(Pointage!$L$2:$L$967,Pointage!$A$2:$A$967,$A52,Pointage!$D$2:$D$967,$B52,Pointage!$E$2:$E$967,$C52)</f>
        <v>1.83333333333333</v>
      </c>
      <c r="N52" s="11" t="n">
        <f aca="false">SUMIFS(Pointage!$M$2:$M$967,Pointage!$A$2:$A$967,$A52,Pointage!$D$2:$D$967,$B52,Pointage!$E$2:$E$967,$C52)</f>
        <v>1.83333333333333</v>
      </c>
      <c r="O52" s="10" t="n">
        <f aca="false">IFERROR(F52/(F52+G52),"")</f>
        <v>1</v>
      </c>
      <c r="P52" s="10" t="n">
        <f aca="false">IFERROR(N52/M52,"")</f>
        <v>1</v>
      </c>
    </row>
    <row r="53" customFormat="false" ht="15" hidden="false" customHeight="false" outlineLevel="0" collapsed="false">
      <c r="A53" s="7" t="s">
        <v>26</v>
      </c>
      <c r="B53" s="8" t="n">
        <v>2026</v>
      </c>
      <c r="C53" s="8" t="n">
        <v>29</v>
      </c>
      <c r="D53" s="8" t="s">
        <v>86</v>
      </c>
      <c r="E53" s="8" t="n">
        <f aca="false">F53+G53+H53</f>
        <v>4</v>
      </c>
      <c r="F53" s="8" t="n">
        <f aca="false">COUNTIFS(Pointage!$A$2:$A$967,$A53,Pointage!$D$2:$D$967,$B53,Pointage!$E$2:$E$967,$C53,Pointage!$Q$2:$Q$967,"P")</f>
        <v>4</v>
      </c>
      <c r="G53" s="17" t="n">
        <f aca="false">COUNTIFS(Pointage!$A$2:$A$967,$A53,Pointage!$D$2:$D$967,$B53,Pointage!$E$2:$E$967,$C53,Pointage!$Q$2:$Q$967,"A")</f>
        <v>0</v>
      </c>
      <c r="H53" s="8" t="n">
        <f aca="false">COUNTIFS(Pointage!$A$2:$A$967,$A53,Pointage!$D$2:$D$967,$B53,Pointage!$E$2:$E$967,$C53,Pointage!$Q$2:$Q$967,"NR")</f>
        <v>0</v>
      </c>
      <c r="I53" s="8" t="n">
        <f aca="false">COUNTIFS(Pointage!$A$2:$A$967,$A53,Pointage!$D$2:$D$967,$B53,Pointage!$E$2:$E$967,$C53,Pointage!$Q$2:$Q$967,"CP")</f>
        <v>0</v>
      </c>
      <c r="J53" s="8" t="n">
        <f aca="false">COUNTIFS(Pointage!$A$2:$A$967,$A53,Pointage!$D$2:$D$967,$B53,Pointage!$E$2:$E$967,$C53,Pointage!$Q$2:$Q$967,"F")</f>
        <v>0</v>
      </c>
      <c r="K53" s="8" t="n">
        <f aca="false">COUNTIFS(Pointage!$A$2:$A$967,$A53,Pointage!$D$2:$D$967,$B53,Pointage!$E$2:$E$967,$C53,Pointage!$P$2:$P$967,"&gt;0")</f>
        <v>0</v>
      </c>
      <c r="L53" s="8" t="n">
        <f aca="false">SUMIFS(Pointage!$P$2:$P$967,Pointage!$A$2:$A$967,$A53,Pointage!$D$2:$D$967,$B53,Pointage!$E$2:$E$967,$C53)</f>
        <v>0</v>
      </c>
      <c r="M53" s="11" t="n">
        <f aca="false">SUMIFS(Pointage!$L$2:$L$967,Pointage!$A$2:$A$967,$A53,Pointage!$D$2:$D$967,$B53,Pointage!$E$2:$E$967,$C53)</f>
        <v>1.45833333333333</v>
      </c>
      <c r="N53" s="11" t="n">
        <f aca="false">SUMIFS(Pointage!$M$2:$M$967,Pointage!$A$2:$A$967,$A53,Pointage!$D$2:$D$967,$B53,Pointage!$E$2:$E$967,$C53)</f>
        <v>1.45833333333333</v>
      </c>
      <c r="O53" s="10" t="n">
        <f aca="false">IFERROR(F53/(F53+G53),"")</f>
        <v>1</v>
      </c>
      <c r="P53" s="10" t="n">
        <f aca="false">IFERROR(N53/M53,"")</f>
        <v>1</v>
      </c>
    </row>
    <row r="54" customFormat="false" ht="15" hidden="false" customHeight="false" outlineLevel="0" collapsed="false">
      <c r="A54" s="7" t="s">
        <v>26</v>
      </c>
      <c r="B54" s="8" t="n">
        <v>2026</v>
      </c>
      <c r="C54" s="8" t="n">
        <v>30</v>
      </c>
      <c r="D54" s="8" t="s">
        <v>87</v>
      </c>
      <c r="E54" s="8" t="n">
        <f aca="false">F54+G54+H54</f>
        <v>5</v>
      </c>
      <c r="F54" s="8" t="n">
        <f aca="false">COUNTIFS(Pointage!$A$2:$A$967,$A54,Pointage!$D$2:$D$967,$B54,Pointage!$E$2:$E$967,$C54,Pointage!$Q$2:$Q$967,"P")</f>
        <v>5</v>
      </c>
      <c r="G54" s="17" t="n">
        <f aca="false">COUNTIFS(Pointage!$A$2:$A$967,$A54,Pointage!$D$2:$D$967,$B54,Pointage!$E$2:$E$967,$C54,Pointage!$Q$2:$Q$967,"A")</f>
        <v>0</v>
      </c>
      <c r="H54" s="8" t="n">
        <f aca="false">COUNTIFS(Pointage!$A$2:$A$967,$A54,Pointage!$D$2:$D$967,$B54,Pointage!$E$2:$E$967,$C54,Pointage!$Q$2:$Q$967,"NR")</f>
        <v>0</v>
      </c>
      <c r="I54" s="8" t="n">
        <f aca="false">COUNTIFS(Pointage!$A$2:$A$967,$A54,Pointage!$D$2:$D$967,$B54,Pointage!$E$2:$E$967,$C54,Pointage!$Q$2:$Q$967,"CP")</f>
        <v>0</v>
      </c>
      <c r="J54" s="8" t="n">
        <f aca="false">COUNTIFS(Pointage!$A$2:$A$967,$A54,Pointage!$D$2:$D$967,$B54,Pointage!$E$2:$E$967,$C54,Pointage!$Q$2:$Q$967,"F")</f>
        <v>0</v>
      </c>
      <c r="K54" s="8" t="n">
        <f aca="false">COUNTIFS(Pointage!$A$2:$A$967,$A54,Pointage!$D$2:$D$967,$B54,Pointage!$E$2:$E$967,$C54,Pointage!$P$2:$P$967,"&gt;0")</f>
        <v>0</v>
      </c>
      <c r="L54" s="8" t="n">
        <f aca="false">SUMIFS(Pointage!$P$2:$P$967,Pointage!$A$2:$A$967,$A54,Pointage!$D$2:$D$967,$B54,Pointage!$E$2:$E$967,$C54)</f>
        <v>0</v>
      </c>
      <c r="M54" s="11" t="n">
        <f aca="false">SUMIFS(Pointage!$L$2:$L$967,Pointage!$A$2:$A$967,$A54,Pointage!$D$2:$D$967,$B54,Pointage!$E$2:$E$967,$C54)</f>
        <v>1.83333333333333</v>
      </c>
      <c r="N54" s="11" t="n">
        <f aca="false">SUMIFS(Pointage!$M$2:$M$967,Pointage!$A$2:$A$967,$A54,Pointage!$D$2:$D$967,$B54,Pointage!$E$2:$E$967,$C54)</f>
        <v>1.83333333333333</v>
      </c>
      <c r="O54" s="10" t="n">
        <f aca="false">IFERROR(F54/(F54+G54),"")</f>
        <v>1</v>
      </c>
      <c r="P54" s="10" t="n">
        <f aca="false">IFERROR(N54/M54,"")</f>
        <v>1</v>
      </c>
    </row>
    <row r="55" customFormat="false" ht="15" hidden="false" customHeight="false" outlineLevel="0" collapsed="false">
      <c r="A55" s="7" t="s">
        <v>26</v>
      </c>
      <c r="B55" s="8" t="n">
        <v>2026</v>
      </c>
      <c r="C55" s="8" t="n">
        <v>31</v>
      </c>
      <c r="D55" s="8" t="s">
        <v>88</v>
      </c>
      <c r="E55" s="8" t="n">
        <f aca="false">F55+G55+H55</f>
        <v>4</v>
      </c>
      <c r="F55" s="8" t="n">
        <f aca="false">COUNTIFS(Pointage!$A$2:$A$967,$A55,Pointage!$D$2:$D$967,$B55,Pointage!$E$2:$E$967,$C55,Pointage!$Q$2:$Q$967,"P")</f>
        <v>4</v>
      </c>
      <c r="G55" s="17" t="n">
        <f aca="false">COUNTIFS(Pointage!$A$2:$A$967,$A55,Pointage!$D$2:$D$967,$B55,Pointage!$E$2:$E$967,$C55,Pointage!$Q$2:$Q$967,"A")</f>
        <v>0</v>
      </c>
      <c r="H55" s="8" t="n">
        <f aca="false">COUNTIFS(Pointage!$A$2:$A$967,$A55,Pointage!$D$2:$D$967,$B55,Pointage!$E$2:$E$967,$C55,Pointage!$Q$2:$Q$967,"NR")</f>
        <v>0</v>
      </c>
      <c r="I55" s="8" t="n">
        <f aca="false">COUNTIFS(Pointage!$A$2:$A$967,$A55,Pointage!$D$2:$D$967,$B55,Pointage!$E$2:$E$967,$C55,Pointage!$Q$2:$Q$967,"CP")</f>
        <v>1</v>
      </c>
      <c r="J55" s="8" t="n">
        <f aca="false">COUNTIFS(Pointage!$A$2:$A$967,$A55,Pointage!$D$2:$D$967,$B55,Pointage!$E$2:$E$967,$C55,Pointage!$Q$2:$Q$967,"F")</f>
        <v>0</v>
      </c>
      <c r="K55" s="8" t="n">
        <f aca="false">COUNTIFS(Pointage!$A$2:$A$967,$A55,Pointage!$D$2:$D$967,$B55,Pointage!$E$2:$E$967,$C55,Pointage!$P$2:$P$967,"&gt;0")</f>
        <v>0</v>
      </c>
      <c r="L55" s="8" t="n">
        <f aca="false">SUMIFS(Pointage!$P$2:$P$967,Pointage!$A$2:$A$967,$A55,Pointage!$D$2:$D$967,$B55,Pointage!$E$2:$E$967,$C55)</f>
        <v>0</v>
      </c>
      <c r="M55" s="11" t="n">
        <f aca="false">SUMIFS(Pointage!$L$2:$L$967,Pointage!$A$2:$A$967,$A55,Pointage!$D$2:$D$967,$B55,Pointage!$E$2:$E$967,$C55)</f>
        <v>1.45833333333333</v>
      </c>
      <c r="N55" s="11" t="n">
        <f aca="false">SUMIFS(Pointage!$M$2:$M$967,Pointage!$A$2:$A$967,$A55,Pointage!$D$2:$D$967,$B55,Pointage!$E$2:$E$967,$C55)</f>
        <v>1.45833333333333</v>
      </c>
      <c r="O55" s="10" t="n">
        <f aca="false">IFERROR(F55/(F55+G55),"")</f>
        <v>1</v>
      </c>
      <c r="P55" s="10" t="n">
        <f aca="false">IFERROR(N55/M55,"")</f>
        <v>1</v>
      </c>
    </row>
    <row r="56" customFormat="false" ht="15" hidden="false" customHeight="false" outlineLevel="0" collapsed="false">
      <c r="A56" s="7" t="s">
        <v>26</v>
      </c>
      <c r="B56" s="8" t="n">
        <v>2026</v>
      </c>
      <c r="C56" s="8" t="n">
        <v>32</v>
      </c>
      <c r="D56" s="8" t="s">
        <v>89</v>
      </c>
      <c r="E56" s="8" t="n">
        <f aca="false">F56+G56+H56</f>
        <v>5</v>
      </c>
      <c r="F56" s="8" t="n">
        <f aca="false">COUNTIFS(Pointage!$A$2:$A$967,$A56,Pointage!$D$2:$D$967,$B56,Pointage!$E$2:$E$967,$C56,Pointage!$Q$2:$Q$967,"P")</f>
        <v>5</v>
      </c>
      <c r="G56" s="17" t="n">
        <f aca="false">COUNTIFS(Pointage!$A$2:$A$967,$A56,Pointage!$D$2:$D$967,$B56,Pointage!$E$2:$E$967,$C56,Pointage!$Q$2:$Q$967,"A")</f>
        <v>0</v>
      </c>
      <c r="H56" s="8" t="n">
        <f aca="false">COUNTIFS(Pointage!$A$2:$A$967,$A56,Pointage!$D$2:$D$967,$B56,Pointage!$E$2:$E$967,$C56,Pointage!$Q$2:$Q$967,"NR")</f>
        <v>0</v>
      </c>
      <c r="I56" s="8" t="n">
        <f aca="false">COUNTIFS(Pointage!$A$2:$A$967,$A56,Pointage!$D$2:$D$967,$B56,Pointage!$E$2:$E$967,$C56,Pointage!$Q$2:$Q$967,"CP")</f>
        <v>0</v>
      </c>
      <c r="J56" s="8" t="n">
        <f aca="false">COUNTIFS(Pointage!$A$2:$A$967,$A56,Pointage!$D$2:$D$967,$B56,Pointage!$E$2:$E$967,$C56,Pointage!$Q$2:$Q$967,"F")</f>
        <v>0</v>
      </c>
      <c r="K56" s="8" t="n">
        <f aca="false">COUNTIFS(Pointage!$A$2:$A$967,$A56,Pointage!$D$2:$D$967,$B56,Pointage!$E$2:$E$967,$C56,Pointage!$P$2:$P$967,"&gt;0")</f>
        <v>0</v>
      </c>
      <c r="L56" s="8" t="n">
        <f aca="false">SUMIFS(Pointage!$P$2:$P$967,Pointage!$A$2:$A$967,$A56,Pointage!$D$2:$D$967,$B56,Pointage!$E$2:$E$967,$C56)</f>
        <v>0</v>
      </c>
      <c r="M56" s="11" t="n">
        <f aca="false">SUMIFS(Pointage!$L$2:$L$967,Pointage!$A$2:$A$967,$A56,Pointage!$D$2:$D$967,$B56,Pointage!$E$2:$E$967,$C56)</f>
        <v>1.83333333333333</v>
      </c>
      <c r="N56" s="11" t="n">
        <f aca="false">SUMIFS(Pointage!$M$2:$M$967,Pointage!$A$2:$A$967,$A56,Pointage!$D$2:$D$967,$B56,Pointage!$E$2:$E$967,$C56)</f>
        <v>1.83333333333333</v>
      </c>
      <c r="O56" s="10" t="n">
        <f aca="false">IFERROR(F56/(F56+G56),"")</f>
        <v>1</v>
      </c>
      <c r="P56" s="10" t="n">
        <f aca="false">IFERROR(N56/M56,"")</f>
        <v>1</v>
      </c>
    </row>
    <row r="57" customFormat="false" ht="15" hidden="false" customHeight="false" outlineLevel="0" collapsed="false">
      <c r="A57" s="7" t="s">
        <v>26</v>
      </c>
      <c r="B57" s="8" t="n">
        <v>2026</v>
      </c>
      <c r="C57" s="8" t="n">
        <v>33</v>
      </c>
      <c r="D57" s="8" t="s">
        <v>90</v>
      </c>
      <c r="E57" s="8" t="n">
        <f aca="false">F57+G57+H57</f>
        <v>5</v>
      </c>
      <c r="F57" s="8" t="n">
        <f aca="false">COUNTIFS(Pointage!$A$2:$A$967,$A57,Pointage!$D$2:$D$967,$B57,Pointage!$E$2:$E$967,$C57,Pointage!$Q$2:$Q$967,"P")</f>
        <v>5</v>
      </c>
      <c r="G57" s="17" t="n">
        <f aca="false">COUNTIFS(Pointage!$A$2:$A$967,$A57,Pointage!$D$2:$D$967,$B57,Pointage!$E$2:$E$967,$C57,Pointage!$Q$2:$Q$967,"A")</f>
        <v>0</v>
      </c>
      <c r="H57" s="8" t="n">
        <f aca="false">COUNTIFS(Pointage!$A$2:$A$967,$A57,Pointage!$D$2:$D$967,$B57,Pointage!$E$2:$E$967,$C57,Pointage!$Q$2:$Q$967,"NR")</f>
        <v>0</v>
      </c>
      <c r="I57" s="8" t="n">
        <f aca="false">COUNTIFS(Pointage!$A$2:$A$967,$A57,Pointage!$D$2:$D$967,$B57,Pointage!$E$2:$E$967,$C57,Pointage!$Q$2:$Q$967,"CP")</f>
        <v>0</v>
      </c>
      <c r="J57" s="8" t="n">
        <f aca="false">COUNTIFS(Pointage!$A$2:$A$967,$A57,Pointage!$D$2:$D$967,$B57,Pointage!$E$2:$E$967,$C57,Pointage!$Q$2:$Q$967,"F")</f>
        <v>0</v>
      </c>
      <c r="K57" s="8" t="n">
        <f aca="false">COUNTIFS(Pointage!$A$2:$A$967,$A57,Pointage!$D$2:$D$967,$B57,Pointage!$E$2:$E$967,$C57,Pointage!$P$2:$P$967,"&gt;0")</f>
        <v>0</v>
      </c>
      <c r="L57" s="8" t="n">
        <f aca="false">SUMIFS(Pointage!$P$2:$P$967,Pointage!$A$2:$A$967,$A57,Pointage!$D$2:$D$967,$B57,Pointage!$E$2:$E$967,$C57)</f>
        <v>0</v>
      </c>
      <c r="M57" s="11" t="n">
        <f aca="false">SUMIFS(Pointage!$L$2:$L$967,Pointage!$A$2:$A$967,$A57,Pointage!$D$2:$D$967,$B57,Pointage!$E$2:$E$967,$C57)</f>
        <v>1.83333333333333</v>
      </c>
      <c r="N57" s="11" t="n">
        <f aca="false">SUMIFS(Pointage!$M$2:$M$967,Pointage!$A$2:$A$967,$A57,Pointage!$D$2:$D$967,$B57,Pointage!$E$2:$E$967,$C57)</f>
        <v>1.83333333333333</v>
      </c>
      <c r="O57" s="10" t="n">
        <f aca="false">IFERROR(F57/(F57+G57),"")</f>
        <v>1</v>
      </c>
      <c r="P57" s="10" t="n">
        <f aca="false">IFERROR(N57/M57,"")</f>
        <v>1</v>
      </c>
    </row>
    <row r="58" customFormat="false" ht="15" hidden="false" customHeight="false" outlineLevel="0" collapsed="false">
      <c r="A58" s="7" t="s">
        <v>26</v>
      </c>
      <c r="B58" s="8" t="n">
        <v>2026</v>
      </c>
      <c r="C58" s="8" t="n">
        <v>34</v>
      </c>
      <c r="D58" s="8" t="s">
        <v>91</v>
      </c>
      <c r="E58" s="8" t="n">
        <f aca="false">F58+G58+H58</f>
        <v>5</v>
      </c>
      <c r="F58" s="8" t="n">
        <f aca="false">COUNTIFS(Pointage!$A$2:$A$967,$A58,Pointage!$D$2:$D$967,$B58,Pointage!$E$2:$E$967,$C58,Pointage!$Q$2:$Q$967,"P")</f>
        <v>5</v>
      </c>
      <c r="G58" s="17" t="n">
        <f aca="false">COUNTIFS(Pointage!$A$2:$A$967,$A58,Pointage!$D$2:$D$967,$B58,Pointage!$E$2:$E$967,$C58,Pointage!$Q$2:$Q$967,"A")</f>
        <v>0</v>
      </c>
      <c r="H58" s="8" t="n">
        <f aca="false">COUNTIFS(Pointage!$A$2:$A$967,$A58,Pointage!$D$2:$D$967,$B58,Pointage!$E$2:$E$967,$C58,Pointage!$Q$2:$Q$967,"NR")</f>
        <v>0</v>
      </c>
      <c r="I58" s="8" t="n">
        <f aca="false">COUNTIFS(Pointage!$A$2:$A$967,$A58,Pointage!$D$2:$D$967,$B58,Pointage!$E$2:$E$967,$C58,Pointage!$Q$2:$Q$967,"CP")</f>
        <v>0</v>
      </c>
      <c r="J58" s="8" t="n">
        <f aca="false">COUNTIFS(Pointage!$A$2:$A$967,$A58,Pointage!$D$2:$D$967,$B58,Pointage!$E$2:$E$967,$C58,Pointage!$Q$2:$Q$967,"F")</f>
        <v>0</v>
      </c>
      <c r="K58" s="8" t="n">
        <f aca="false">COUNTIFS(Pointage!$A$2:$A$967,$A58,Pointage!$D$2:$D$967,$B58,Pointage!$E$2:$E$967,$C58,Pointage!$P$2:$P$967,"&gt;0")</f>
        <v>0</v>
      </c>
      <c r="L58" s="8" t="n">
        <f aca="false">SUMIFS(Pointage!$P$2:$P$967,Pointage!$A$2:$A$967,$A58,Pointage!$D$2:$D$967,$B58,Pointage!$E$2:$E$967,$C58)</f>
        <v>0</v>
      </c>
      <c r="M58" s="11" t="n">
        <f aca="false">SUMIFS(Pointage!$L$2:$L$967,Pointage!$A$2:$A$967,$A58,Pointage!$D$2:$D$967,$B58,Pointage!$E$2:$E$967,$C58)</f>
        <v>1.83333333333333</v>
      </c>
      <c r="N58" s="11" t="n">
        <f aca="false">SUMIFS(Pointage!$M$2:$M$967,Pointage!$A$2:$A$967,$A58,Pointage!$D$2:$D$967,$B58,Pointage!$E$2:$E$967,$C58)</f>
        <v>1.83333333333333</v>
      </c>
      <c r="O58" s="10" t="n">
        <f aca="false">IFERROR(F58/(F58+G58),"")</f>
        <v>1</v>
      </c>
      <c r="P58" s="10" t="n">
        <f aca="false">IFERROR(N58/M58,"")</f>
        <v>1</v>
      </c>
    </row>
    <row r="59" customFormat="false" ht="15" hidden="false" customHeight="false" outlineLevel="0" collapsed="false">
      <c r="A59" s="7" t="s">
        <v>26</v>
      </c>
      <c r="B59" s="8" t="n">
        <v>2026</v>
      </c>
      <c r="C59" s="8" t="n">
        <v>35</v>
      </c>
      <c r="D59" s="8" t="s">
        <v>92</v>
      </c>
      <c r="E59" s="8" t="n">
        <f aca="false">F59+G59+H59</f>
        <v>0</v>
      </c>
      <c r="F59" s="8" t="n">
        <f aca="false">COUNTIFS(Pointage!$A$2:$A$967,$A59,Pointage!$D$2:$D$967,$B59,Pointage!$E$2:$E$967,$C59,Pointage!$Q$2:$Q$967,"P")</f>
        <v>0</v>
      </c>
      <c r="G59" s="17" t="n">
        <f aca="false">COUNTIFS(Pointage!$A$2:$A$967,$A59,Pointage!$D$2:$D$967,$B59,Pointage!$E$2:$E$967,$C59,Pointage!$Q$2:$Q$967,"A")</f>
        <v>0</v>
      </c>
      <c r="H59" s="8" t="n">
        <f aca="false">COUNTIFS(Pointage!$A$2:$A$967,$A59,Pointage!$D$2:$D$967,$B59,Pointage!$E$2:$E$967,$C59,Pointage!$Q$2:$Q$967,"NR")</f>
        <v>0</v>
      </c>
      <c r="I59" s="8" t="n">
        <f aca="false">COUNTIFS(Pointage!$A$2:$A$967,$A59,Pointage!$D$2:$D$967,$B59,Pointage!$E$2:$E$967,$C59,Pointage!$Q$2:$Q$967,"CP")</f>
        <v>4</v>
      </c>
      <c r="J59" s="8" t="n">
        <f aca="false">COUNTIFS(Pointage!$A$2:$A$967,$A59,Pointage!$D$2:$D$967,$B59,Pointage!$E$2:$E$967,$C59,Pointage!$Q$2:$Q$967,"F")</f>
        <v>1</v>
      </c>
      <c r="K59" s="8" t="n">
        <f aca="false">COUNTIFS(Pointage!$A$2:$A$967,$A59,Pointage!$D$2:$D$967,$B59,Pointage!$E$2:$E$967,$C59,Pointage!$P$2:$P$967,"&gt;0")</f>
        <v>0</v>
      </c>
      <c r="L59" s="8" t="n">
        <f aca="false">SUMIFS(Pointage!$P$2:$P$967,Pointage!$A$2:$A$967,$A59,Pointage!$D$2:$D$967,$B59,Pointage!$E$2:$E$967,$C59)</f>
        <v>0</v>
      </c>
      <c r="M59" s="11" t="n">
        <f aca="false">SUMIFS(Pointage!$L$2:$L$967,Pointage!$A$2:$A$967,$A59,Pointage!$D$2:$D$967,$B59,Pointage!$E$2:$E$967,$C59)</f>
        <v>0</v>
      </c>
      <c r="N59" s="11" t="n">
        <f aca="false">SUMIFS(Pointage!$M$2:$M$967,Pointage!$A$2:$A$967,$A59,Pointage!$D$2:$D$967,$B59,Pointage!$E$2:$E$967,$C59)</f>
        <v>0</v>
      </c>
      <c r="O59" s="10" t="str">
        <f aca="false">IFERROR(F59/(F59+G59),"")</f>
        <v/>
      </c>
      <c r="P59" s="10" t="str">
        <f aca="false">IFERROR(N59/M59,"")</f>
        <v/>
      </c>
    </row>
    <row r="60" customFormat="false" ht="15" hidden="false" customHeight="false" outlineLevel="0" collapsed="false">
      <c r="A60" s="7" t="s">
        <v>26</v>
      </c>
      <c r="B60" s="8" t="n">
        <v>2026</v>
      </c>
      <c r="C60" s="8" t="n">
        <v>36</v>
      </c>
      <c r="D60" s="8" t="s">
        <v>93</v>
      </c>
      <c r="E60" s="8" t="n">
        <f aca="false">F60+G60+H60</f>
        <v>5</v>
      </c>
      <c r="F60" s="8" t="n">
        <f aca="false">COUNTIFS(Pointage!$A$2:$A$967,$A60,Pointage!$D$2:$D$967,$B60,Pointage!$E$2:$E$967,$C60,Pointage!$Q$2:$Q$967,"P")</f>
        <v>5</v>
      </c>
      <c r="G60" s="17" t="n">
        <f aca="false">COUNTIFS(Pointage!$A$2:$A$967,$A60,Pointage!$D$2:$D$967,$B60,Pointage!$E$2:$E$967,$C60,Pointage!$Q$2:$Q$967,"A")</f>
        <v>0</v>
      </c>
      <c r="H60" s="8" t="n">
        <f aca="false">COUNTIFS(Pointage!$A$2:$A$967,$A60,Pointage!$D$2:$D$967,$B60,Pointage!$E$2:$E$967,$C60,Pointage!$Q$2:$Q$967,"NR")</f>
        <v>0</v>
      </c>
      <c r="I60" s="8" t="n">
        <f aca="false">COUNTIFS(Pointage!$A$2:$A$967,$A60,Pointage!$D$2:$D$967,$B60,Pointage!$E$2:$E$967,$C60,Pointage!$Q$2:$Q$967,"CP")</f>
        <v>0</v>
      </c>
      <c r="J60" s="8" t="n">
        <f aca="false">COUNTIFS(Pointage!$A$2:$A$967,$A60,Pointage!$D$2:$D$967,$B60,Pointage!$E$2:$E$967,$C60,Pointage!$Q$2:$Q$967,"F")</f>
        <v>0</v>
      </c>
      <c r="K60" s="8" t="n">
        <f aca="false">COUNTIFS(Pointage!$A$2:$A$967,$A60,Pointage!$D$2:$D$967,$B60,Pointage!$E$2:$E$967,$C60,Pointage!$P$2:$P$967,"&gt;0")</f>
        <v>0</v>
      </c>
      <c r="L60" s="8" t="n">
        <f aca="false">SUMIFS(Pointage!$P$2:$P$967,Pointage!$A$2:$A$967,$A60,Pointage!$D$2:$D$967,$B60,Pointage!$E$2:$E$967,$C60)</f>
        <v>0</v>
      </c>
      <c r="M60" s="11" t="n">
        <f aca="false">SUMIFS(Pointage!$L$2:$L$967,Pointage!$A$2:$A$967,$A60,Pointage!$D$2:$D$967,$B60,Pointage!$E$2:$E$967,$C60)</f>
        <v>1.83333333333333</v>
      </c>
      <c r="N60" s="11" t="n">
        <f aca="false">SUMIFS(Pointage!$M$2:$M$967,Pointage!$A$2:$A$967,$A60,Pointage!$D$2:$D$967,$B60,Pointage!$E$2:$E$967,$C60)</f>
        <v>1.83333333333333</v>
      </c>
      <c r="O60" s="10" t="n">
        <f aca="false">IFERROR(F60/(F60+G60),"")</f>
        <v>1</v>
      </c>
      <c r="P60" s="10" t="n">
        <f aca="false">IFERROR(N60/M60,"")</f>
        <v>1</v>
      </c>
    </row>
    <row r="61" customFormat="false" ht="15" hidden="false" customHeight="false" outlineLevel="0" collapsed="false">
      <c r="A61" s="7" t="s">
        <v>26</v>
      </c>
      <c r="B61" s="8" t="n">
        <v>2026</v>
      </c>
      <c r="C61" s="8" t="n">
        <v>37</v>
      </c>
      <c r="D61" s="8" t="s">
        <v>94</v>
      </c>
      <c r="E61" s="8" t="n">
        <f aca="false">F61+G61+H61</f>
        <v>5</v>
      </c>
      <c r="F61" s="8" t="n">
        <f aca="false">COUNTIFS(Pointage!$A$2:$A$967,$A61,Pointage!$D$2:$D$967,$B61,Pointage!$E$2:$E$967,$C61,Pointage!$Q$2:$Q$967,"P")</f>
        <v>5</v>
      </c>
      <c r="G61" s="17" t="n">
        <f aca="false">COUNTIFS(Pointage!$A$2:$A$967,$A61,Pointage!$D$2:$D$967,$B61,Pointage!$E$2:$E$967,$C61,Pointage!$Q$2:$Q$967,"A")</f>
        <v>0</v>
      </c>
      <c r="H61" s="8" t="n">
        <f aca="false">COUNTIFS(Pointage!$A$2:$A$967,$A61,Pointage!$D$2:$D$967,$B61,Pointage!$E$2:$E$967,$C61,Pointage!$Q$2:$Q$967,"NR")</f>
        <v>0</v>
      </c>
      <c r="I61" s="8" t="n">
        <f aca="false">COUNTIFS(Pointage!$A$2:$A$967,$A61,Pointage!$D$2:$D$967,$B61,Pointage!$E$2:$E$967,$C61,Pointage!$Q$2:$Q$967,"CP")</f>
        <v>0</v>
      </c>
      <c r="J61" s="8" t="n">
        <f aca="false">COUNTIFS(Pointage!$A$2:$A$967,$A61,Pointage!$D$2:$D$967,$B61,Pointage!$E$2:$E$967,$C61,Pointage!$Q$2:$Q$967,"F")</f>
        <v>0</v>
      </c>
      <c r="K61" s="8" t="n">
        <f aca="false">COUNTIFS(Pointage!$A$2:$A$967,$A61,Pointage!$D$2:$D$967,$B61,Pointage!$E$2:$E$967,$C61,Pointage!$P$2:$P$967,"&gt;0")</f>
        <v>0</v>
      </c>
      <c r="L61" s="8" t="n">
        <f aca="false">SUMIFS(Pointage!$P$2:$P$967,Pointage!$A$2:$A$967,$A61,Pointage!$D$2:$D$967,$B61,Pointage!$E$2:$E$967,$C61)</f>
        <v>0</v>
      </c>
      <c r="M61" s="11" t="n">
        <f aca="false">SUMIFS(Pointage!$L$2:$L$967,Pointage!$A$2:$A$967,$A61,Pointage!$D$2:$D$967,$B61,Pointage!$E$2:$E$967,$C61)</f>
        <v>1.83333333333333</v>
      </c>
      <c r="N61" s="11" t="n">
        <f aca="false">SUMIFS(Pointage!$M$2:$M$967,Pointage!$A$2:$A$967,$A61,Pointage!$D$2:$D$967,$B61,Pointage!$E$2:$E$967,$C61)</f>
        <v>1.83333333333333</v>
      </c>
      <c r="O61" s="10" t="n">
        <f aca="false">IFERROR(F61/(F61+G61),"")</f>
        <v>1</v>
      </c>
      <c r="P61" s="10" t="n">
        <f aca="false">IFERROR(N61/M61,"")</f>
        <v>1</v>
      </c>
    </row>
    <row r="62" customFormat="false" ht="15" hidden="false" customHeight="false" outlineLevel="0" collapsed="false">
      <c r="A62" s="7" t="s">
        <v>26</v>
      </c>
      <c r="B62" s="8" t="n">
        <v>2026</v>
      </c>
      <c r="C62" s="8" t="n">
        <v>38</v>
      </c>
      <c r="D62" s="8" t="s">
        <v>95</v>
      </c>
      <c r="E62" s="8" t="n">
        <f aca="false">F62+G62+H62</f>
        <v>5</v>
      </c>
      <c r="F62" s="8" t="n">
        <f aca="false">COUNTIFS(Pointage!$A$2:$A$967,$A62,Pointage!$D$2:$D$967,$B62,Pointage!$E$2:$E$967,$C62,Pointage!$Q$2:$Q$967,"P")</f>
        <v>5</v>
      </c>
      <c r="G62" s="17" t="n">
        <f aca="false">COUNTIFS(Pointage!$A$2:$A$967,$A62,Pointage!$D$2:$D$967,$B62,Pointage!$E$2:$E$967,$C62,Pointage!$Q$2:$Q$967,"A")</f>
        <v>0</v>
      </c>
      <c r="H62" s="8" t="n">
        <f aca="false">COUNTIFS(Pointage!$A$2:$A$967,$A62,Pointage!$D$2:$D$967,$B62,Pointage!$E$2:$E$967,$C62,Pointage!$Q$2:$Q$967,"NR")</f>
        <v>0</v>
      </c>
      <c r="I62" s="8" t="n">
        <f aca="false">COUNTIFS(Pointage!$A$2:$A$967,$A62,Pointage!$D$2:$D$967,$B62,Pointage!$E$2:$E$967,$C62,Pointage!$Q$2:$Q$967,"CP")</f>
        <v>0</v>
      </c>
      <c r="J62" s="8" t="n">
        <f aca="false">COUNTIFS(Pointage!$A$2:$A$967,$A62,Pointage!$D$2:$D$967,$B62,Pointage!$E$2:$E$967,$C62,Pointage!$Q$2:$Q$967,"F")</f>
        <v>0</v>
      </c>
      <c r="K62" s="8" t="n">
        <f aca="false">COUNTIFS(Pointage!$A$2:$A$967,$A62,Pointage!$D$2:$D$967,$B62,Pointage!$E$2:$E$967,$C62,Pointage!$P$2:$P$967,"&gt;0")</f>
        <v>0</v>
      </c>
      <c r="L62" s="8" t="n">
        <f aca="false">SUMIFS(Pointage!$P$2:$P$967,Pointage!$A$2:$A$967,$A62,Pointage!$D$2:$D$967,$B62,Pointage!$E$2:$E$967,$C62)</f>
        <v>0</v>
      </c>
      <c r="M62" s="11" t="n">
        <f aca="false">SUMIFS(Pointage!$L$2:$L$967,Pointage!$A$2:$A$967,$A62,Pointage!$D$2:$D$967,$B62,Pointage!$E$2:$E$967,$C62)</f>
        <v>1.83333333333333</v>
      </c>
      <c r="N62" s="11" t="n">
        <f aca="false">SUMIFS(Pointage!$M$2:$M$967,Pointage!$A$2:$A$967,$A62,Pointage!$D$2:$D$967,$B62,Pointage!$E$2:$E$967,$C62)</f>
        <v>1.83333333333333</v>
      </c>
      <c r="O62" s="10" t="n">
        <f aca="false">IFERROR(F62/(F62+G62),"")</f>
        <v>1</v>
      </c>
      <c r="P62" s="10" t="n">
        <f aca="false">IFERROR(N62/M62,"")</f>
        <v>1</v>
      </c>
    </row>
    <row r="63" customFormat="false" ht="15" hidden="false" customHeight="false" outlineLevel="0" collapsed="false">
      <c r="A63" s="7" t="s">
        <v>26</v>
      </c>
      <c r="B63" s="8" t="n">
        <v>2026</v>
      </c>
      <c r="C63" s="8" t="n">
        <v>39</v>
      </c>
      <c r="D63" s="8" t="s">
        <v>96</v>
      </c>
      <c r="E63" s="8" t="n">
        <f aca="false">F63+G63+H63</f>
        <v>4</v>
      </c>
      <c r="F63" s="8" t="n">
        <f aca="false">COUNTIFS(Pointage!$A$2:$A$967,$A63,Pointage!$D$2:$D$967,$B63,Pointage!$E$2:$E$967,$C63,Pointage!$Q$2:$Q$967,"P")</f>
        <v>4</v>
      </c>
      <c r="G63" s="17" t="n">
        <f aca="false">COUNTIFS(Pointage!$A$2:$A$967,$A63,Pointage!$D$2:$D$967,$B63,Pointage!$E$2:$E$967,$C63,Pointage!$Q$2:$Q$967,"A")</f>
        <v>0</v>
      </c>
      <c r="H63" s="8" t="n">
        <f aca="false">COUNTIFS(Pointage!$A$2:$A$967,$A63,Pointage!$D$2:$D$967,$B63,Pointage!$E$2:$E$967,$C63,Pointage!$Q$2:$Q$967,"NR")</f>
        <v>0</v>
      </c>
      <c r="I63" s="8" t="n">
        <f aca="false">COUNTIFS(Pointage!$A$2:$A$967,$A63,Pointage!$D$2:$D$967,$B63,Pointage!$E$2:$E$967,$C63,Pointage!$Q$2:$Q$967,"CP")</f>
        <v>1</v>
      </c>
      <c r="J63" s="8" t="n">
        <f aca="false">COUNTIFS(Pointage!$A$2:$A$967,$A63,Pointage!$D$2:$D$967,$B63,Pointage!$E$2:$E$967,$C63,Pointage!$Q$2:$Q$967,"F")</f>
        <v>0</v>
      </c>
      <c r="K63" s="8" t="n">
        <f aca="false">COUNTIFS(Pointage!$A$2:$A$967,$A63,Pointage!$D$2:$D$967,$B63,Pointage!$E$2:$E$967,$C63,Pointage!$P$2:$P$967,"&gt;0")</f>
        <v>0</v>
      </c>
      <c r="L63" s="8" t="n">
        <f aca="false">SUMIFS(Pointage!$P$2:$P$967,Pointage!$A$2:$A$967,$A63,Pointage!$D$2:$D$967,$B63,Pointage!$E$2:$E$967,$C63)</f>
        <v>0</v>
      </c>
      <c r="M63" s="11" t="n">
        <f aca="false">SUMIFS(Pointage!$L$2:$L$967,Pointage!$A$2:$A$967,$A63,Pointage!$D$2:$D$967,$B63,Pointage!$E$2:$E$967,$C63)</f>
        <v>1.45833333333333</v>
      </c>
      <c r="N63" s="11" t="n">
        <f aca="false">SUMIFS(Pointage!$M$2:$M$967,Pointage!$A$2:$A$967,$A63,Pointage!$D$2:$D$967,$B63,Pointage!$E$2:$E$967,$C63)</f>
        <v>1.45833333333333</v>
      </c>
      <c r="O63" s="10" t="n">
        <f aca="false">IFERROR(F63/(F63+G63),"")</f>
        <v>1</v>
      </c>
      <c r="P63" s="10" t="n">
        <f aca="false">IFERROR(N63/M63,"")</f>
        <v>1</v>
      </c>
    </row>
    <row r="64" customFormat="false" ht="15" hidden="false" customHeight="false" outlineLevel="0" collapsed="false">
      <c r="A64" s="7" t="s">
        <v>26</v>
      </c>
      <c r="B64" s="8" t="n">
        <v>2026</v>
      </c>
      <c r="C64" s="8" t="n">
        <v>40</v>
      </c>
      <c r="D64" s="8" t="s">
        <v>97</v>
      </c>
      <c r="E64" s="8" t="n">
        <f aca="false">F64+G64+H64</f>
        <v>5</v>
      </c>
      <c r="F64" s="8" t="n">
        <f aca="false">COUNTIFS(Pointage!$A$2:$A$967,$A64,Pointage!$D$2:$D$967,$B64,Pointage!$E$2:$E$967,$C64,Pointage!$Q$2:$Q$967,"P")</f>
        <v>5</v>
      </c>
      <c r="G64" s="17" t="n">
        <f aca="false">COUNTIFS(Pointage!$A$2:$A$967,$A64,Pointage!$D$2:$D$967,$B64,Pointage!$E$2:$E$967,$C64,Pointage!$Q$2:$Q$967,"A")</f>
        <v>0</v>
      </c>
      <c r="H64" s="8" t="n">
        <f aca="false">COUNTIFS(Pointage!$A$2:$A$967,$A64,Pointage!$D$2:$D$967,$B64,Pointage!$E$2:$E$967,$C64,Pointage!$Q$2:$Q$967,"NR")</f>
        <v>0</v>
      </c>
      <c r="I64" s="8" t="n">
        <f aca="false">COUNTIFS(Pointage!$A$2:$A$967,$A64,Pointage!$D$2:$D$967,$B64,Pointage!$E$2:$E$967,$C64,Pointage!$Q$2:$Q$967,"CP")</f>
        <v>0</v>
      </c>
      <c r="J64" s="8" t="n">
        <f aca="false">COUNTIFS(Pointage!$A$2:$A$967,$A64,Pointage!$D$2:$D$967,$B64,Pointage!$E$2:$E$967,$C64,Pointage!$Q$2:$Q$967,"F")</f>
        <v>0</v>
      </c>
      <c r="K64" s="8" t="n">
        <f aca="false">COUNTIFS(Pointage!$A$2:$A$967,$A64,Pointage!$D$2:$D$967,$B64,Pointage!$E$2:$E$967,$C64,Pointage!$P$2:$P$967,"&gt;0")</f>
        <v>0</v>
      </c>
      <c r="L64" s="8" t="n">
        <f aca="false">SUMIFS(Pointage!$P$2:$P$967,Pointage!$A$2:$A$967,$A64,Pointage!$D$2:$D$967,$B64,Pointage!$E$2:$E$967,$C64)</f>
        <v>0</v>
      </c>
      <c r="M64" s="11" t="n">
        <f aca="false">SUMIFS(Pointage!$L$2:$L$967,Pointage!$A$2:$A$967,$A64,Pointage!$D$2:$D$967,$B64,Pointage!$E$2:$E$967,$C64)</f>
        <v>1.83333333333333</v>
      </c>
      <c r="N64" s="11" t="n">
        <f aca="false">SUMIFS(Pointage!$M$2:$M$967,Pointage!$A$2:$A$967,$A64,Pointage!$D$2:$D$967,$B64,Pointage!$E$2:$E$967,$C64)</f>
        <v>1.83333333333333</v>
      </c>
      <c r="O64" s="10" t="n">
        <f aca="false">IFERROR(F64/(F64+G64),"")</f>
        <v>1</v>
      </c>
      <c r="P64" s="10" t="n">
        <f aca="false">IFERROR(N64/M64,"")</f>
        <v>1</v>
      </c>
    </row>
    <row r="65" customFormat="false" ht="15" hidden="false" customHeight="false" outlineLevel="0" collapsed="false">
      <c r="A65" s="7" t="s">
        <v>26</v>
      </c>
      <c r="B65" s="8" t="n">
        <v>2026</v>
      </c>
      <c r="C65" s="8" t="n">
        <v>41</v>
      </c>
      <c r="D65" s="8" t="s">
        <v>98</v>
      </c>
      <c r="E65" s="8" t="n">
        <f aca="false">F65+G65+H65</f>
        <v>5</v>
      </c>
      <c r="F65" s="8" t="n">
        <f aca="false">COUNTIFS(Pointage!$A$2:$A$967,$A65,Pointage!$D$2:$D$967,$B65,Pointage!$E$2:$E$967,$C65,Pointage!$Q$2:$Q$967,"P")</f>
        <v>5</v>
      </c>
      <c r="G65" s="17" t="n">
        <f aca="false">COUNTIFS(Pointage!$A$2:$A$967,$A65,Pointage!$D$2:$D$967,$B65,Pointage!$E$2:$E$967,$C65,Pointage!$Q$2:$Q$967,"A")</f>
        <v>0</v>
      </c>
      <c r="H65" s="8" t="n">
        <f aca="false">COUNTIFS(Pointage!$A$2:$A$967,$A65,Pointage!$D$2:$D$967,$B65,Pointage!$E$2:$E$967,$C65,Pointage!$Q$2:$Q$967,"NR")</f>
        <v>0</v>
      </c>
      <c r="I65" s="8" t="n">
        <f aca="false">COUNTIFS(Pointage!$A$2:$A$967,$A65,Pointage!$D$2:$D$967,$B65,Pointage!$E$2:$E$967,$C65,Pointage!$Q$2:$Q$967,"CP")</f>
        <v>0</v>
      </c>
      <c r="J65" s="8" t="n">
        <f aca="false">COUNTIFS(Pointage!$A$2:$A$967,$A65,Pointage!$D$2:$D$967,$B65,Pointage!$E$2:$E$967,$C65,Pointage!$Q$2:$Q$967,"F")</f>
        <v>0</v>
      </c>
      <c r="K65" s="8" t="n">
        <f aca="false">COUNTIFS(Pointage!$A$2:$A$967,$A65,Pointage!$D$2:$D$967,$B65,Pointage!$E$2:$E$967,$C65,Pointage!$P$2:$P$967,"&gt;0")</f>
        <v>0</v>
      </c>
      <c r="L65" s="8" t="n">
        <f aca="false">SUMIFS(Pointage!$P$2:$P$967,Pointage!$A$2:$A$967,$A65,Pointage!$D$2:$D$967,$B65,Pointage!$E$2:$E$967,$C65)</f>
        <v>0</v>
      </c>
      <c r="M65" s="11" t="n">
        <f aca="false">SUMIFS(Pointage!$L$2:$L$967,Pointage!$A$2:$A$967,$A65,Pointage!$D$2:$D$967,$B65,Pointage!$E$2:$E$967,$C65)</f>
        <v>1.83333333333333</v>
      </c>
      <c r="N65" s="11" t="n">
        <f aca="false">SUMIFS(Pointage!$M$2:$M$967,Pointage!$A$2:$A$967,$A65,Pointage!$D$2:$D$967,$B65,Pointage!$E$2:$E$967,$C65)</f>
        <v>1.83333333333333</v>
      </c>
      <c r="O65" s="10" t="n">
        <f aca="false">IFERROR(F65/(F65+G65),"")</f>
        <v>1</v>
      </c>
      <c r="P65" s="10" t="n">
        <f aca="false">IFERROR(N65/M65,"")</f>
        <v>1</v>
      </c>
    </row>
    <row r="66" customFormat="false" ht="15" hidden="false" customHeight="false" outlineLevel="0" collapsed="false">
      <c r="A66" s="7" t="s">
        <v>28</v>
      </c>
      <c r="B66" s="8" t="n">
        <v>2025</v>
      </c>
      <c r="C66" s="8" t="n">
        <v>51</v>
      </c>
      <c r="D66" s="8" t="s">
        <v>56</v>
      </c>
      <c r="E66" s="8" t="n">
        <f aca="false">F66+G66+H66</f>
        <v>0</v>
      </c>
      <c r="F66" s="8" t="n">
        <f aca="false">COUNTIFS(Pointage!$A$2:$A$967,$A66,Pointage!$D$2:$D$967,$B66,Pointage!$E$2:$E$967,$C66,Pointage!$Q$2:$Q$967,"P")</f>
        <v>0</v>
      </c>
      <c r="G66" s="17" t="n">
        <f aca="false">COUNTIFS(Pointage!$A$2:$A$967,$A66,Pointage!$D$2:$D$967,$B66,Pointage!$E$2:$E$967,$C66,Pointage!$Q$2:$Q$967,"A")</f>
        <v>0</v>
      </c>
      <c r="H66" s="8" t="n">
        <f aca="false">COUNTIFS(Pointage!$A$2:$A$967,$A66,Pointage!$D$2:$D$967,$B66,Pointage!$E$2:$E$967,$C66,Pointage!$Q$2:$Q$967,"NR")</f>
        <v>0</v>
      </c>
      <c r="I66" s="8" t="n">
        <f aca="false">COUNTIFS(Pointage!$A$2:$A$967,$A66,Pointage!$D$2:$D$967,$B66,Pointage!$E$2:$E$967,$C66,Pointage!$Q$2:$Q$967,"CP")</f>
        <v>0</v>
      </c>
      <c r="J66" s="8" t="n">
        <f aca="false">COUNTIFS(Pointage!$A$2:$A$967,$A66,Pointage!$D$2:$D$967,$B66,Pointage!$E$2:$E$967,$C66,Pointage!$Q$2:$Q$967,"F")</f>
        <v>0</v>
      </c>
      <c r="K66" s="8" t="n">
        <f aca="false">COUNTIFS(Pointage!$A$2:$A$967,$A66,Pointage!$D$2:$D$967,$B66,Pointage!$E$2:$E$967,$C66,Pointage!$P$2:$P$967,"&gt;0")</f>
        <v>0</v>
      </c>
      <c r="L66" s="8" t="n">
        <f aca="false">SUMIFS(Pointage!$P$2:$P$967,Pointage!$A$2:$A$967,$A66,Pointage!$D$2:$D$967,$B66,Pointage!$E$2:$E$967,$C66)</f>
        <v>0</v>
      </c>
      <c r="M66" s="11" t="n">
        <f aca="false">SUMIFS(Pointage!$L$2:$L$967,Pointage!$A$2:$A$967,$A66,Pointage!$D$2:$D$967,$B66,Pointage!$E$2:$E$967,$C66)</f>
        <v>0</v>
      </c>
      <c r="N66" s="11" t="n">
        <f aca="false">SUMIFS(Pointage!$M$2:$M$967,Pointage!$A$2:$A$967,$A66,Pointage!$D$2:$D$967,$B66,Pointage!$E$2:$E$967,$C66)</f>
        <v>0</v>
      </c>
      <c r="O66" s="10" t="str">
        <f aca="false">IFERROR(F66/(F66+G66),"")</f>
        <v/>
      </c>
      <c r="P66" s="10" t="str">
        <f aca="false">IFERROR(N66/M66,"")</f>
        <v/>
      </c>
    </row>
    <row r="67" customFormat="false" ht="15" hidden="false" customHeight="false" outlineLevel="0" collapsed="false">
      <c r="A67" s="7" t="s">
        <v>28</v>
      </c>
      <c r="B67" s="8" t="n">
        <v>2025</v>
      </c>
      <c r="C67" s="8" t="n">
        <v>52</v>
      </c>
      <c r="D67" s="8" t="s">
        <v>57</v>
      </c>
      <c r="E67" s="8" t="n">
        <f aca="false">F67+G67+H67</f>
        <v>4</v>
      </c>
      <c r="F67" s="8" t="n">
        <f aca="false">COUNTIFS(Pointage!$A$2:$A$967,$A67,Pointage!$D$2:$D$967,$B67,Pointage!$E$2:$E$967,$C67,Pointage!$Q$2:$Q$967,"P")</f>
        <v>4</v>
      </c>
      <c r="G67" s="17" t="n">
        <f aca="false">COUNTIFS(Pointage!$A$2:$A$967,$A67,Pointage!$D$2:$D$967,$B67,Pointage!$E$2:$E$967,$C67,Pointage!$Q$2:$Q$967,"A")</f>
        <v>0</v>
      </c>
      <c r="H67" s="8" t="n">
        <f aca="false">COUNTIFS(Pointage!$A$2:$A$967,$A67,Pointage!$D$2:$D$967,$B67,Pointage!$E$2:$E$967,$C67,Pointage!$Q$2:$Q$967,"NR")</f>
        <v>0</v>
      </c>
      <c r="I67" s="8" t="n">
        <f aca="false">COUNTIFS(Pointage!$A$2:$A$967,$A67,Pointage!$D$2:$D$967,$B67,Pointage!$E$2:$E$967,$C67,Pointage!$Q$2:$Q$967,"CP")</f>
        <v>0</v>
      </c>
      <c r="J67" s="8" t="n">
        <f aca="false">COUNTIFS(Pointage!$A$2:$A$967,$A67,Pointage!$D$2:$D$967,$B67,Pointage!$E$2:$E$967,$C67,Pointage!$Q$2:$Q$967,"F")</f>
        <v>0</v>
      </c>
      <c r="K67" s="8" t="n">
        <f aca="false">COUNTIFS(Pointage!$A$2:$A$967,$A67,Pointage!$D$2:$D$967,$B67,Pointage!$E$2:$E$967,$C67,Pointage!$P$2:$P$967,"&gt;0")</f>
        <v>0</v>
      </c>
      <c r="L67" s="8" t="n">
        <f aca="false">SUMIFS(Pointage!$P$2:$P$967,Pointage!$A$2:$A$967,$A67,Pointage!$D$2:$D$967,$B67,Pointage!$E$2:$E$967,$C67)</f>
        <v>0</v>
      </c>
      <c r="M67" s="11" t="n">
        <f aca="false">SUMIFS(Pointage!$L$2:$L$967,Pointage!$A$2:$A$967,$A67,Pointage!$D$2:$D$967,$B67,Pointage!$E$2:$E$967,$C67)</f>
        <v>1.45833333333333</v>
      </c>
      <c r="N67" s="11" t="n">
        <f aca="false">SUMIFS(Pointage!$M$2:$M$967,Pointage!$A$2:$A$967,$A67,Pointage!$D$2:$D$967,$B67,Pointage!$E$2:$E$967,$C67)</f>
        <v>1.45833333333333</v>
      </c>
      <c r="O67" s="10" t="n">
        <f aca="false">IFERROR(F67/(F67+G67),"")</f>
        <v>1</v>
      </c>
      <c r="P67" s="10" t="n">
        <f aca="false">IFERROR(N67/M67,"")</f>
        <v>1</v>
      </c>
    </row>
    <row r="68" customFormat="false" ht="15" hidden="false" customHeight="false" outlineLevel="0" collapsed="false">
      <c r="A68" s="7" t="s">
        <v>28</v>
      </c>
      <c r="B68" s="8" t="n">
        <v>2026</v>
      </c>
      <c r="C68" s="8" t="n">
        <v>1</v>
      </c>
      <c r="D68" s="8" t="s">
        <v>58</v>
      </c>
      <c r="E68" s="8" t="n">
        <f aca="false">F68+G68+H68</f>
        <v>4</v>
      </c>
      <c r="F68" s="8" t="n">
        <f aca="false">COUNTIFS(Pointage!$A$2:$A$967,$A68,Pointage!$D$2:$D$967,$B68,Pointage!$E$2:$E$967,$C68,Pointage!$Q$2:$Q$967,"P")</f>
        <v>4</v>
      </c>
      <c r="G68" s="17" t="n">
        <f aca="false">COUNTIFS(Pointage!$A$2:$A$967,$A68,Pointage!$D$2:$D$967,$B68,Pointage!$E$2:$E$967,$C68,Pointage!$Q$2:$Q$967,"A")</f>
        <v>0</v>
      </c>
      <c r="H68" s="8" t="n">
        <f aca="false">COUNTIFS(Pointage!$A$2:$A$967,$A68,Pointage!$D$2:$D$967,$B68,Pointage!$E$2:$E$967,$C68,Pointage!$Q$2:$Q$967,"NR")</f>
        <v>0</v>
      </c>
      <c r="I68" s="8" t="n">
        <f aca="false">COUNTIFS(Pointage!$A$2:$A$967,$A68,Pointage!$D$2:$D$967,$B68,Pointage!$E$2:$E$967,$C68,Pointage!$Q$2:$Q$967,"CP")</f>
        <v>0</v>
      </c>
      <c r="J68" s="8" t="n">
        <f aca="false">COUNTIFS(Pointage!$A$2:$A$967,$A68,Pointage!$D$2:$D$967,$B68,Pointage!$E$2:$E$967,$C68,Pointage!$Q$2:$Q$967,"F")</f>
        <v>1</v>
      </c>
      <c r="K68" s="8" t="n">
        <f aca="false">COUNTIFS(Pointage!$A$2:$A$967,$A68,Pointage!$D$2:$D$967,$B68,Pointage!$E$2:$E$967,$C68,Pointage!$P$2:$P$967,"&gt;0")</f>
        <v>0</v>
      </c>
      <c r="L68" s="8" t="n">
        <f aca="false">SUMIFS(Pointage!$P$2:$P$967,Pointage!$A$2:$A$967,$A68,Pointage!$D$2:$D$967,$B68,Pointage!$E$2:$E$967,$C68)</f>
        <v>0</v>
      </c>
      <c r="M68" s="11" t="n">
        <f aca="false">SUMIFS(Pointage!$L$2:$L$967,Pointage!$A$2:$A$967,$A68,Pointage!$D$2:$D$967,$B68,Pointage!$E$2:$E$967,$C68)</f>
        <v>1.45833333333333</v>
      </c>
      <c r="N68" s="11" t="n">
        <f aca="false">SUMIFS(Pointage!$M$2:$M$967,Pointage!$A$2:$A$967,$A68,Pointage!$D$2:$D$967,$B68,Pointage!$E$2:$E$967,$C68)</f>
        <v>1.45833333333333</v>
      </c>
      <c r="O68" s="10" t="n">
        <f aca="false">IFERROR(F68/(F68+G68),"")</f>
        <v>1</v>
      </c>
      <c r="P68" s="10" t="n">
        <f aca="false">IFERROR(N68/M68,"")</f>
        <v>1</v>
      </c>
    </row>
    <row r="69" customFormat="false" ht="15" hidden="false" customHeight="false" outlineLevel="0" collapsed="false">
      <c r="A69" s="7" t="s">
        <v>28</v>
      </c>
      <c r="B69" s="8" t="n">
        <v>2026</v>
      </c>
      <c r="C69" s="8" t="n">
        <v>2</v>
      </c>
      <c r="D69" s="8" t="s">
        <v>59</v>
      </c>
      <c r="E69" s="8" t="n">
        <f aca="false">F69+G69+H69</f>
        <v>5</v>
      </c>
      <c r="F69" s="8" t="n">
        <f aca="false">COUNTIFS(Pointage!$A$2:$A$967,$A69,Pointage!$D$2:$D$967,$B69,Pointage!$E$2:$E$967,$C69,Pointage!$Q$2:$Q$967,"P")</f>
        <v>5</v>
      </c>
      <c r="G69" s="17" t="n">
        <f aca="false">COUNTIFS(Pointage!$A$2:$A$967,$A69,Pointage!$D$2:$D$967,$B69,Pointage!$E$2:$E$967,$C69,Pointage!$Q$2:$Q$967,"A")</f>
        <v>0</v>
      </c>
      <c r="H69" s="8" t="n">
        <f aca="false">COUNTIFS(Pointage!$A$2:$A$967,$A69,Pointage!$D$2:$D$967,$B69,Pointage!$E$2:$E$967,$C69,Pointage!$Q$2:$Q$967,"NR")</f>
        <v>0</v>
      </c>
      <c r="I69" s="8" t="n">
        <f aca="false">COUNTIFS(Pointage!$A$2:$A$967,$A69,Pointage!$D$2:$D$967,$B69,Pointage!$E$2:$E$967,$C69,Pointage!$Q$2:$Q$967,"CP")</f>
        <v>0</v>
      </c>
      <c r="J69" s="8" t="n">
        <f aca="false">COUNTIFS(Pointage!$A$2:$A$967,$A69,Pointage!$D$2:$D$967,$B69,Pointage!$E$2:$E$967,$C69,Pointage!$Q$2:$Q$967,"F")</f>
        <v>0</v>
      </c>
      <c r="K69" s="8" t="n">
        <f aca="false">COUNTIFS(Pointage!$A$2:$A$967,$A69,Pointage!$D$2:$D$967,$B69,Pointage!$E$2:$E$967,$C69,Pointage!$P$2:$P$967,"&gt;0")</f>
        <v>0</v>
      </c>
      <c r="L69" s="8" t="n">
        <f aca="false">SUMIFS(Pointage!$P$2:$P$967,Pointage!$A$2:$A$967,$A69,Pointage!$D$2:$D$967,$B69,Pointage!$E$2:$E$967,$C69)</f>
        <v>0</v>
      </c>
      <c r="M69" s="11" t="n">
        <f aca="false">SUMIFS(Pointage!$L$2:$L$967,Pointage!$A$2:$A$967,$A69,Pointage!$D$2:$D$967,$B69,Pointage!$E$2:$E$967,$C69)</f>
        <v>1.83333333333333</v>
      </c>
      <c r="N69" s="11" t="n">
        <f aca="false">SUMIFS(Pointage!$M$2:$M$967,Pointage!$A$2:$A$967,$A69,Pointage!$D$2:$D$967,$B69,Pointage!$E$2:$E$967,$C69)</f>
        <v>1.83333333333333</v>
      </c>
      <c r="O69" s="10" t="n">
        <f aca="false">IFERROR(F69/(F69+G69),"")</f>
        <v>1</v>
      </c>
      <c r="P69" s="10" t="n">
        <f aca="false">IFERROR(N69/M69,"")</f>
        <v>1</v>
      </c>
    </row>
    <row r="70" customFormat="false" ht="15" hidden="false" customHeight="false" outlineLevel="0" collapsed="false">
      <c r="A70" s="7" t="s">
        <v>28</v>
      </c>
      <c r="B70" s="8" t="n">
        <v>2026</v>
      </c>
      <c r="C70" s="8" t="n">
        <v>3</v>
      </c>
      <c r="D70" s="8" t="s">
        <v>60</v>
      </c>
      <c r="E70" s="8" t="n">
        <f aca="false">F70+G70+H70</f>
        <v>5</v>
      </c>
      <c r="F70" s="8" t="n">
        <f aca="false">COUNTIFS(Pointage!$A$2:$A$967,$A70,Pointage!$D$2:$D$967,$B70,Pointage!$E$2:$E$967,$C70,Pointage!$Q$2:$Q$967,"P")</f>
        <v>5</v>
      </c>
      <c r="G70" s="17" t="n">
        <f aca="false">COUNTIFS(Pointage!$A$2:$A$967,$A70,Pointage!$D$2:$D$967,$B70,Pointage!$E$2:$E$967,$C70,Pointage!$Q$2:$Q$967,"A")</f>
        <v>0</v>
      </c>
      <c r="H70" s="8" t="n">
        <f aca="false">COUNTIFS(Pointage!$A$2:$A$967,$A70,Pointage!$D$2:$D$967,$B70,Pointage!$E$2:$E$967,$C70,Pointage!$Q$2:$Q$967,"NR")</f>
        <v>0</v>
      </c>
      <c r="I70" s="8" t="n">
        <f aca="false">COUNTIFS(Pointage!$A$2:$A$967,$A70,Pointage!$D$2:$D$967,$B70,Pointage!$E$2:$E$967,$C70,Pointage!$Q$2:$Q$967,"CP")</f>
        <v>0</v>
      </c>
      <c r="J70" s="8" t="n">
        <f aca="false">COUNTIFS(Pointage!$A$2:$A$967,$A70,Pointage!$D$2:$D$967,$B70,Pointage!$E$2:$E$967,$C70,Pointage!$Q$2:$Q$967,"F")</f>
        <v>0</v>
      </c>
      <c r="K70" s="8" t="n">
        <f aca="false">COUNTIFS(Pointage!$A$2:$A$967,$A70,Pointage!$D$2:$D$967,$B70,Pointage!$E$2:$E$967,$C70,Pointage!$P$2:$P$967,"&gt;0")</f>
        <v>0</v>
      </c>
      <c r="L70" s="8" t="n">
        <f aca="false">SUMIFS(Pointage!$P$2:$P$967,Pointage!$A$2:$A$967,$A70,Pointage!$D$2:$D$967,$B70,Pointage!$E$2:$E$967,$C70)</f>
        <v>0</v>
      </c>
      <c r="M70" s="11" t="n">
        <f aca="false">SUMIFS(Pointage!$L$2:$L$967,Pointage!$A$2:$A$967,$A70,Pointage!$D$2:$D$967,$B70,Pointage!$E$2:$E$967,$C70)</f>
        <v>1.83333333333333</v>
      </c>
      <c r="N70" s="11" t="n">
        <f aca="false">SUMIFS(Pointage!$M$2:$M$967,Pointage!$A$2:$A$967,$A70,Pointage!$D$2:$D$967,$B70,Pointage!$E$2:$E$967,$C70)</f>
        <v>1.83333333333333</v>
      </c>
      <c r="O70" s="10" t="n">
        <f aca="false">IFERROR(F70/(F70+G70),"")</f>
        <v>1</v>
      </c>
      <c r="P70" s="10" t="n">
        <f aca="false">IFERROR(N70/M70,"")</f>
        <v>1</v>
      </c>
    </row>
    <row r="71" customFormat="false" ht="15" hidden="false" customHeight="false" outlineLevel="0" collapsed="false">
      <c r="A71" s="7" t="s">
        <v>28</v>
      </c>
      <c r="B71" s="8" t="n">
        <v>2026</v>
      </c>
      <c r="C71" s="8" t="n">
        <v>4</v>
      </c>
      <c r="D71" s="8" t="s">
        <v>61</v>
      </c>
      <c r="E71" s="8" t="n">
        <f aca="false">F71+G71+H71</f>
        <v>3</v>
      </c>
      <c r="F71" s="8" t="n">
        <f aca="false">COUNTIFS(Pointage!$A$2:$A$967,$A71,Pointage!$D$2:$D$967,$B71,Pointage!$E$2:$E$967,$C71,Pointage!$Q$2:$Q$967,"P")</f>
        <v>3</v>
      </c>
      <c r="G71" s="17" t="n">
        <f aca="false">COUNTIFS(Pointage!$A$2:$A$967,$A71,Pointage!$D$2:$D$967,$B71,Pointage!$E$2:$E$967,$C71,Pointage!$Q$2:$Q$967,"A")</f>
        <v>0</v>
      </c>
      <c r="H71" s="8" t="n">
        <f aca="false">COUNTIFS(Pointage!$A$2:$A$967,$A71,Pointage!$D$2:$D$967,$B71,Pointage!$E$2:$E$967,$C71,Pointage!$Q$2:$Q$967,"NR")</f>
        <v>0</v>
      </c>
      <c r="I71" s="8" t="n">
        <f aca="false">COUNTIFS(Pointage!$A$2:$A$967,$A71,Pointage!$D$2:$D$967,$B71,Pointage!$E$2:$E$967,$C71,Pointage!$Q$2:$Q$967,"CP")</f>
        <v>0</v>
      </c>
      <c r="J71" s="8" t="n">
        <f aca="false">COUNTIFS(Pointage!$A$2:$A$967,$A71,Pointage!$D$2:$D$967,$B71,Pointage!$E$2:$E$967,$C71,Pointage!$Q$2:$Q$967,"F")</f>
        <v>0</v>
      </c>
      <c r="K71" s="8" t="n">
        <f aca="false">COUNTIFS(Pointage!$A$2:$A$967,$A71,Pointage!$D$2:$D$967,$B71,Pointage!$E$2:$E$967,$C71,Pointage!$P$2:$P$967,"&gt;0")</f>
        <v>0</v>
      </c>
      <c r="L71" s="8" t="n">
        <f aca="false">SUMIFS(Pointage!$P$2:$P$967,Pointage!$A$2:$A$967,$A71,Pointage!$D$2:$D$967,$B71,Pointage!$E$2:$E$967,$C71)</f>
        <v>0</v>
      </c>
      <c r="M71" s="11" t="n">
        <f aca="false">SUMIFS(Pointage!$L$2:$L$967,Pointage!$A$2:$A$967,$A71,Pointage!$D$2:$D$967,$B71,Pointage!$E$2:$E$967,$C71)</f>
        <v>1.08333333333333</v>
      </c>
      <c r="N71" s="11" t="n">
        <f aca="false">SUMIFS(Pointage!$M$2:$M$967,Pointage!$A$2:$A$967,$A71,Pointage!$D$2:$D$967,$B71,Pointage!$E$2:$E$967,$C71)</f>
        <v>1.08333333333333</v>
      </c>
      <c r="O71" s="10" t="n">
        <f aca="false">IFERROR(F71/(F71+G71),"")</f>
        <v>1</v>
      </c>
      <c r="P71" s="10" t="n">
        <f aca="false">IFERROR(N71/M71,"")</f>
        <v>1</v>
      </c>
    </row>
    <row r="72" customFormat="false" ht="15" hidden="false" customHeight="false" outlineLevel="0" collapsed="false">
      <c r="A72" s="7" t="s">
        <v>28</v>
      </c>
      <c r="B72" s="8" t="n">
        <v>2026</v>
      </c>
      <c r="C72" s="8" t="n">
        <v>5</v>
      </c>
      <c r="D72" s="8" t="s">
        <v>62</v>
      </c>
      <c r="E72" s="8" t="n">
        <f aca="false">F72+G72+H72</f>
        <v>4</v>
      </c>
      <c r="F72" s="8" t="n">
        <f aca="false">COUNTIFS(Pointage!$A$2:$A$967,$A72,Pointage!$D$2:$D$967,$B72,Pointage!$E$2:$E$967,$C72,Pointage!$Q$2:$Q$967,"P")</f>
        <v>4</v>
      </c>
      <c r="G72" s="17" t="n">
        <f aca="false">COUNTIFS(Pointage!$A$2:$A$967,$A72,Pointage!$D$2:$D$967,$B72,Pointage!$E$2:$E$967,$C72,Pointage!$Q$2:$Q$967,"A")</f>
        <v>0</v>
      </c>
      <c r="H72" s="8" t="n">
        <f aca="false">COUNTIFS(Pointage!$A$2:$A$967,$A72,Pointage!$D$2:$D$967,$B72,Pointage!$E$2:$E$967,$C72,Pointage!$Q$2:$Q$967,"NR")</f>
        <v>0</v>
      </c>
      <c r="I72" s="8" t="n">
        <f aca="false">COUNTIFS(Pointage!$A$2:$A$967,$A72,Pointage!$D$2:$D$967,$B72,Pointage!$E$2:$E$967,$C72,Pointage!$Q$2:$Q$967,"CP")</f>
        <v>1</v>
      </c>
      <c r="J72" s="8" t="n">
        <f aca="false">COUNTIFS(Pointage!$A$2:$A$967,$A72,Pointage!$D$2:$D$967,$B72,Pointage!$E$2:$E$967,$C72,Pointage!$Q$2:$Q$967,"F")</f>
        <v>0</v>
      </c>
      <c r="K72" s="8" t="n">
        <f aca="false">COUNTIFS(Pointage!$A$2:$A$967,$A72,Pointage!$D$2:$D$967,$B72,Pointage!$E$2:$E$967,$C72,Pointage!$P$2:$P$967,"&gt;0")</f>
        <v>0</v>
      </c>
      <c r="L72" s="8" t="n">
        <f aca="false">SUMIFS(Pointage!$P$2:$P$967,Pointage!$A$2:$A$967,$A72,Pointage!$D$2:$D$967,$B72,Pointage!$E$2:$E$967,$C72)</f>
        <v>0</v>
      </c>
      <c r="M72" s="11" t="n">
        <f aca="false">SUMIFS(Pointage!$L$2:$L$967,Pointage!$A$2:$A$967,$A72,Pointage!$D$2:$D$967,$B72,Pointage!$E$2:$E$967,$C72)</f>
        <v>1.45833333333333</v>
      </c>
      <c r="N72" s="11" t="n">
        <f aca="false">SUMIFS(Pointage!$M$2:$M$967,Pointage!$A$2:$A$967,$A72,Pointage!$D$2:$D$967,$B72,Pointage!$E$2:$E$967,$C72)</f>
        <v>1.45833333333333</v>
      </c>
      <c r="O72" s="10" t="n">
        <f aca="false">IFERROR(F72/(F72+G72),"")</f>
        <v>1</v>
      </c>
      <c r="P72" s="10" t="n">
        <f aca="false">IFERROR(N72/M72,"")</f>
        <v>1</v>
      </c>
    </row>
    <row r="73" customFormat="false" ht="15" hidden="false" customHeight="false" outlineLevel="0" collapsed="false">
      <c r="A73" s="7" t="s">
        <v>28</v>
      </c>
      <c r="B73" s="8" t="n">
        <v>2026</v>
      </c>
      <c r="C73" s="8" t="n">
        <v>6</v>
      </c>
      <c r="D73" s="8" t="s">
        <v>63</v>
      </c>
      <c r="E73" s="8" t="n">
        <f aca="false">F73+G73+H73</f>
        <v>5</v>
      </c>
      <c r="F73" s="8" t="n">
        <f aca="false">COUNTIFS(Pointage!$A$2:$A$967,$A73,Pointage!$D$2:$D$967,$B73,Pointage!$E$2:$E$967,$C73,Pointage!$Q$2:$Q$967,"P")</f>
        <v>5</v>
      </c>
      <c r="G73" s="17" t="n">
        <f aca="false">COUNTIFS(Pointage!$A$2:$A$967,$A73,Pointage!$D$2:$D$967,$B73,Pointage!$E$2:$E$967,$C73,Pointage!$Q$2:$Q$967,"A")</f>
        <v>0</v>
      </c>
      <c r="H73" s="8" t="n">
        <f aca="false">COUNTIFS(Pointage!$A$2:$A$967,$A73,Pointage!$D$2:$D$967,$B73,Pointage!$E$2:$E$967,$C73,Pointage!$Q$2:$Q$967,"NR")</f>
        <v>0</v>
      </c>
      <c r="I73" s="8" t="n">
        <f aca="false">COUNTIFS(Pointage!$A$2:$A$967,$A73,Pointage!$D$2:$D$967,$B73,Pointage!$E$2:$E$967,$C73,Pointage!$Q$2:$Q$967,"CP")</f>
        <v>0</v>
      </c>
      <c r="J73" s="8" t="n">
        <f aca="false">COUNTIFS(Pointage!$A$2:$A$967,$A73,Pointage!$D$2:$D$967,$B73,Pointage!$E$2:$E$967,$C73,Pointage!$Q$2:$Q$967,"F")</f>
        <v>0</v>
      </c>
      <c r="K73" s="8" t="n">
        <f aca="false">COUNTIFS(Pointage!$A$2:$A$967,$A73,Pointage!$D$2:$D$967,$B73,Pointage!$E$2:$E$967,$C73,Pointage!$P$2:$P$967,"&gt;0")</f>
        <v>1</v>
      </c>
      <c r="L73" s="8" t="n">
        <f aca="false">SUMIFS(Pointage!$P$2:$P$967,Pointage!$A$2:$A$967,$A73,Pointage!$D$2:$D$967,$B73,Pointage!$E$2:$E$967,$C73)</f>
        <v>23</v>
      </c>
      <c r="M73" s="11" t="n">
        <f aca="false">SUMIFS(Pointage!$L$2:$L$967,Pointage!$A$2:$A$967,$A73,Pointage!$D$2:$D$967,$B73,Pointage!$E$2:$E$967,$C73)</f>
        <v>1.83333333333333</v>
      </c>
      <c r="N73" s="11" t="n">
        <f aca="false">SUMIFS(Pointage!$M$2:$M$967,Pointage!$A$2:$A$967,$A73,Pointage!$D$2:$D$967,$B73,Pointage!$E$2:$E$967,$C73)</f>
        <v>1.83333333333333</v>
      </c>
      <c r="O73" s="10" t="n">
        <f aca="false">IFERROR(F73/(F73+G73),"")</f>
        <v>1</v>
      </c>
      <c r="P73" s="10" t="n">
        <f aca="false">IFERROR(N73/M73,"")</f>
        <v>1</v>
      </c>
    </row>
    <row r="74" customFormat="false" ht="15" hidden="false" customHeight="false" outlineLevel="0" collapsed="false">
      <c r="A74" s="7" t="s">
        <v>28</v>
      </c>
      <c r="B74" s="8" t="n">
        <v>2026</v>
      </c>
      <c r="C74" s="8" t="n">
        <v>7</v>
      </c>
      <c r="D74" s="8" t="s">
        <v>64</v>
      </c>
      <c r="E74" s="8" t="n">
        <f aca="false">F74+G74+H74</f>
        <v>5</v>
      </c>
      <c r="F74" s="8" t="n">
        <f aca="false">COUNTIFS(Pointage!$A$2:$A$967,$A74,Pointage!$D$2:$D$967,$B74,Pointage!$E$2:$E$967,$C74,Pointage!$Q$2:$Q$967,"P")</f>
        <v>5</v>
      </c>
      <c r="G74" s="17" t="n">
        <f aca="false">COUNTIFS(Pointage!$A$2:$A$967,$A74,Pointage!$D$2:$D$967,$B74,Pointage!$E$2:$E$967,$C74,Pointage!$Q$2:$Q$967,"A")</f>
        <v>0</v>
      </c>
      <c r="H74" s="8" t="n">
        <f aca="false">COUNTIFS(Pointage!$A$2:$A$967,$A74,Pointage!$D$2:$D$967,$B74,Pointage!$E$2:$E$967,$C74,Pointage!$Q$2:$Q$967,"NR")</f>
        <v>0</v>
      </c>
      <c r="I74" s="8" t="n">
        <f aca="false">COUNTIFS(Pointage!$A$2:$A$967,$A74,Pointage!$D$2:$D$967,$B74,Pointage!$E$2:$E$967,$C74,Pointage!$Q$2:$Q$967,"CP")</f>
        <v>0</v>
      </c>
      <c r="J74" s="8" t="n">
        <f aca="false">COUNTIFS(Pointage!$A$2:$A$967,$A74,Pointage!$D$2:$D$967,$B74,Pointage!$E$2:$E$967,$C74,Pointage!$Q$2:$Q$967,"F")</f>
        <v>0</v>
      </c>
      <c r="K74" s="8" t="n">
        <f aca="false">COUNTIFS(Pointage!$A$2:$A$967,$A74,Pointage!$D$2:$D$967,$B74,Pointage!$E$2:$E$967,$C74,Pointage!$P$2:$P$967,"&gt;0")</f>
        <v>0</v>
      </c>
      <c r="L74" s="8" t="n">
        <f aca="false">SUMIFS(Pointage!$P$2:$P$967,Pointage!$A$2:$A$967,$A74,Pointage!$D$2:$D$967,$B74,Pointage!$E$2:$E$967,$C74)</f>
        <v>0</v>
      </c>
      <c r="M74" s="11" t="n">
        <f aca="false">SUMIFS(Pointage!$L$2:$L$967,Pointage!$A$2:$A$967,$A74,Pointage!$D$2:$D$967,$B74,Pointage!$E$2:$E$967,$C74)</f>
        <v>1.83333333333333</v>
      </c>
      <c r="N74" s="11" t="n">
        <f aca="false">SUMIFS(Pointage!$M$2:$M$967,Pointage!$A$2:$A$967,$A74,Pointage!$D$2:$D$967,$B74,Pointage!$E$2:$E$967,$C74)</f>
        <v>1.83333333333333</v>
      </c>
      <c r="O74" s="10" t="n">
        <f aca="false">IFERROR(F74/(F74+G74),"")</f>
        <v>1</v>
      </c>
      <c r="P74" s="10" t="n">
        <f aca="false">IFERROR(N74/M74,"")</f>
        <v>1</v>
      </c>
    </row>
    <row r="75" customFormat="false" ht="15" hidden="false" customHeight="false" outlineLevel="0" collapsed="false">
      <c r="A75" s="7" t="s">
        <v>28</v>
      </c>
      <c r="B75" s="8" t="n">
        <v>2026</v>
      </c>
      <c r="C75" s="8" t="n">
        <v>8</v>
      </c>
      <c r="D75" s="8" t="s">
        <v>65</v>
      </c>
      <c r="E75" s="8" t="n">
        <f aca="false">F75+G75+H75</f>
        <v>0</v>
      </c>
      <c r="F75" s="8" t="n">
        <f aca="false">COUNTIFS(Pointage!$A$2:$A$967,$A75,Pointage!$D$2:$D$967,$B75,Pointage!$E$2:$E$967,$C75,Pointage!$Q$2:$Q$967,"P")</f>
        <v>0</v>
      </c>
      <c r="G75" s="17" t="n">
        <f aca="false">COUNTIFS(Pointage!$A$2:$A$967,$A75,Pointage!$D$2:$D$967,$B75,Pointage!$E$2:$E$967,$C75,Pointage!$Q$2:$Q$967,"A")</f>
        <v>0</v>
      </c>
      <c r="H75" s="8" t="n">
        <f aca="false">COUNTIFS(Pointage!$A$2:$A$967,$A75,Pointage!$D$2:$D$967,$B75,Pointage!$E$2:$E$967,$C75,Pointage!$Q$2:$Q$967,"NR")</f>
        <v>0</v>
      </c>
      <c r="I75" s="8" t="n">
        <f aca="false">COUNTIFS(Pointage!$A$2:$A$967,$A75,Pointage!$D$2:$D$967,$B75,Pointage!$E$2:$E$967,$C75,Pointage!$Q$2:$Q$967,"CP")</f>
        <v>0</v>
      </c>
      <c r="J75" s="8" t="n">
        <f aca="false">COUNTIFS(Pointage!$A$2:$A$967,$A75,Pointage!$D$2:$D$967,$B75,Pointage!$E$2:$E$967,$C75,Pointage!$Q$2:$Q$967,"F")</f>
        <v>0</v>
      </c>
      <c r="K75" s="8" t="n">
        <f aca="false">COUNTIFS(Pointage!$A$2:$A$967,$A75,Pointage!$D$2:$D$967,$B75,Pointage!$E$2:$E$967,$C75,Pointage!$P$2:$P$967,"&gt;0")</f>
        <v>0</v>
      </c>
      <c r="L75" s="8" t="n">
        <f aca="false">SUMIFS(Pointage!$P$2:$P$967,Pointage!$A$2:$A$967,$A75,Pointage!$D$2:$D$967,$B75,Pointage!$E$2:$E$967,$C75)</f>
        <v>0</v>
      </c>
      <c r="M75" s="11" t="n">
        <f aca="false">SUMIFS(Pointage!$L$2:$L$967,Pointage!$A$2:$A$967,$A75,Pointage!$D$2:$D$967,$B75,Pointage!$E$2:$E$967,$C75)</f>
        <v>0</v>
      </c>
      <c r="N75" s="11" t="n">
        <f aca="false">SUMIFS(Pointage!$M$2:$M$967,Pointage!$A$2:$A$967,$A75,Pointage!$D$2:$D$967,$B75,Pointage!$E$2:$E$967,$C75)</f>
        <v>0</v>
      </c>
      <c r="O75" s="10" t="str">
        <f aca="false">IFERROR(F75/(F75+G75),"")</f>
        <v/>
      </c>
      <c r="P75" s="10" t="str">
        <f aca="false">IFERROR(N75/M75,"")</f>
        <v/>
      </c>
    </row>
    <row r="76" customFormat="false" ht="15" hidden="false" customHeight="false" outlineLevel="0" collapsed="false">
      <c r="A76" s="7" t="s">
        <v>28</v>
      </c>
      <c r="B76" s="8" t="n">
        <v>2026</v>
      </c>
      <c r="C76" s="8" t="n">
        <v>9</v>
      </c>
      <c r="D76" s="8" t="s">
        <v>66</v>
      </c>
      <c r="E76" s="8" t="n">
        <f aca="false">F76+G76+H76</f>
        <v>5</v>
      </c>
      <c r="F76" s="8" t="n">
        <f aca="false">COUNTIFS(Pointage!$A$2:$A$967,$A76,Pointage!$D$2:$D$967,$B76,Pointage!$E$2:$E$967,$C76,Pointage!$Q$2:$Q$967,"P")</f>
        <v>5</v>
      </c>
      <c r="G76" s="17" t="n">
        <f aca="false">COUNTIFS(Pointage!$A$2:$A$967,$A76,Pointage!$D$2:$D$967,$B76,Pointage!$E$2:$E$967,$C76,Pointage!$Q$2:$Q$967,"A")</f>
        <v>0</v>
      </c>
      <c r="H76" s="8" t="n">
        <f aca="false">COUNTIFS(Pointage!$A$2:$A$967,$A76,Pointage!$D$2:$D$967,$B76,Pointage!$E$2:$E$967,$C76,Pointage!$Q$2:$Q$967,"NR")</f>
        <v>0</v>
      </c>
      <c r="I76" s="8" t="n">
        <f aca="false">COUNTIFS(Pointage!$A$2:$A$967,$A76,Pointage!$D$2:$D$967,$B76,Pointage!$E$2:$E$967,$C76,Pointage!$Q$2:$Q$967,"CP")</f>
        <v>0</v>
      </c>
      <c r="J76" s="8" t="n">
        <f aca="false">COUNTIFS(Pointage!$A$2:$A$967,$A76,Pointage!$D$2:$D$967,$B76,Pointage!$E$2:$E$967,$C76,Pointage!$Q$2:$Q$967,"F")</f>
        <v>0</v>
      </c>
      <c r="K76" s="8" t="n">
        <f aca="false">COUNTIFS(Pointage!$A$2:$A$967,$A76,Pointage!$D$2:$D$967,$B76,Pointage!$E$2:$E$967,$C76,Pointage!$P$2:$P$967,"&gt;0")</f>
        <v>0</v>
      </c>
      <c r="L76" s="8" t="n">
        <f aca="false">SUMIFS(Pointage!$P$2:$P$967,Pointage!$A$2:$A$967,$A76,Pointage!$D$2:$D$967,$B76,Pointage!$E$2:$E$967,$C76)</f>
        <v>0</v>
      </c>
      <c r="M76" s="11" t="n">
        <f aca="false">SUMIFS(Pointage!$L$2:$L$967,Pointage!$A$2:$A$967,$A76,Pointage!$D$2:$D$967,$B76,Pointage!$E$2:$E$967,$C76)</f>
        <v>1.83333333333333</v>
      </c>
      <c r="N76" s="11" t="n">
        <f aca="false">SUMIFS(Pointage!$M$2:$M$967,Pointage!$A$2:$A$967,$A76,Pointage!$D$2:$D$967,$B76,Pointage!$E$2:$E$967,$C76)</f>
        <v>1.83333333333333</v>
      </c>
      <c r="O76" s="10" t="n">
        <f aca="false">IFERROR(F76/(F76+G76),"")</f>
        <v>1</v>
      </c>
      <c r="P76" s="10" t="n">
        <f aca="false">IFERROR(N76/M76,"")</f>
        <v>1</v>
      </c>
    </row>
    <row r="77" customFormat="false" ht="15" hidden="false" customHeight="false" outlineLevel="0" collapsed="false">
      <c r="A77" s="7" t="s">
        <v>28</v>
      </c>
      <c r="B77" s="8" t="n">
        <v>2026</v>
      </c>
      <c r="C77" s="8" t="n">
        <v>10</v>
      </c>
      <c r="D77" s="8" t="s">
        <v>67</v>
      </c>
      <c r="E77" s="8" t="n">
        <f aca="false">F77+G77+H77</f>
        <v>5</v>
      </c>
      <c r="F77" s="8" t="n">
        <f aca="false">COUNTIFS(Pointage!$A$2:$A$967,$A77,Pointage!$D$2:$D$967,$B77,Pointage!$E$2:$E$967,$C77,Pointage!$Q$2:$Q$967,"P")</f>
        <v>5</v>
      </c>
      <c r="G77" s="17" t="n">
        <f aca="false">COUNTIFS(Pointage!$A$2:$A$967,$A77,Pointage!$D$2:$D$967,$B77,Pointage!$E$2:$E$967,$C77,Pointage!$Q$2:$Q$967,"A")</f>
        <v>0</v>
      </c>
      <c r="H77" s="8" t="n">
        <f aca="false">COUNTIFS(Pointage!$A$2:$A$967,$A77,Pointage!$D$2:$D$967,$B77,Pointage!$E$2:$E$967,$C77,Pointage!$Q$2:$Q$967,"NR")</f>
        <v>0</v>
      </c>
      <c r="I77" s="8" t="n">
        <f aca="false">COUNTIFS(Pointage!$A$2:$A$967,$A77,Pointage!$D$2:$D$967,$B77,Pointage!$E$2:$E$967,$C77,Pointage!$Q$2:$Q$967,"CP")</f>
        <v>0</v>
      </c>
      <c r="J77" s="8" t="n">
        <f aca="false">COUNTIFS(Pointage!$A$2:$A$967,$A77,Pointage!$D$2:$D$967,$B77,Pointage!$E$2:$E$967,$C77,Pointage!$Q$2:$Q$967,"F")</f>
        <v>0</v>
      </c>
      <c r="K77" s="8" t="n">
        <f aca="false">COUNTIFS(Pointage!$A$2:$A$967,$A77,Pointage!$D$2:$D$967,$B77,Pointage!$E$2:$E$967,$C77,Pointage!$P$2:$P$967,"&gt;0")</f>
        <v>0</v>
      </c>
      <c r="L77" s="8" t="n">
        <f aca="false">SUMIFS(Pointage!$P$2:$P$967,Pointage!$A$2:$A$967,$A77,Pointage!$D$2:$D$967,$B77,Pointage!$E$2:$E$967,$C77)</f>
        <v>0</v>
      </c>
      <c r="M77" s="11" t="n">
        <f aca="false">SUMIFS(Pointage!$L$2:$L$967,Pointage!$A$2:$A$967,$A77,Pointage!$D$2:$D$967,$B77,Pointage!$E$2:$E$967,$C77)</f>
        <v>1.83333333333333</v>
      </c>
      <c r="N77" s="11" t="n">
        <f aca="false">SUMIFS(Pointage!$M$2:$M$967,Pointage!$A$2:$A$967,$A77,Pointage!$D$2:$D$967,$B77,Pointage!$E$2:$E$967,$C77)</f>
        <v>1.83333333333333</v>
      </c>
      <c r="O77" s="10" t="n">
        <f aca="false">IFERROR(F77/(F77+G77),"")</f>
        <v>1</v>
      </c>
      <c r="P77" s="10" t="n">
        <f aca="false">IFERROR(N77/M77,"")</f>
        <v>1</v>
      </c>
    </row>
    <row r="78" customFormat="false" ht="15" hidden="false" customHeight="false" outlineLevel="0" collapsed="false">
      <c r="A78" s="7" t="s">
        <v>28</v>
      </c>
      <c r="B78" s="8" t="n">
        <v>2026</v>
      </c>
      <c r="C78" s="8" t="n">
        <v>11</v>
      </c>
      <c r="D78" s="8" t="s">
        <v>68</v>
      </c>
      <c r="E78" s="8" t="n">
        <f aca="false">F78+G78+H78</f>
        <v>5</v>
      </c>
      <c r="F78" s="8" t="n">
        <f aca="false">COUNTIFS(Pointage!$A$2:$A$967,$A78,Pointage!$D$2:$D$967,$B78,Pointage!$E$2:$E$967,$C78,Pointage!$Q$2:$Q$967,"P")</f>
        <v>5</v>
      </c>
      <c r="G78" s="17" t="n">
        <f aca="false">COUNTIFS(Pointage!$A$2:$A$967,$A78,Pointage!$D$2:$D$967,$B78,Pointage!$E$2:$E$967,$C78,Pointage!$Q$2:$Q$967,"A")</f>
        <v>0</v>
      </c>
      <c r="H78" s="8" t="n">
        <f aca="false">COUNTIFS(Pointage!$A$2:$A$967,$A78,Pointage!$D$2:$D$967,$B78,Pointage!$E$2:$E$967,$C78,Pointage!$Q$2:$Q$967,"NR")</f>
        <v>0</v>
      </c>
      <c r="I78" s="8" t="n">
        <f aca="false">COUNTIFS(Pointage!$A$2:$A$967,$A78,Pointage!$D$2:$D$967,$B78,Pointage!$E$2:$E$967,$C78,Pointage!$Q$2:$Q$967,"CP")</f>
        <v>0</v>
      </c>
      <c r="J78" s="8" t="n">
        <f aca="false">COUNTIFS(Pointage!$A$2:$A$967,$A78,Pointage!$D$2:$D$967,$B78,Pointage!$E$2:$E$967,$C78,Pointage!$Q$2:$Q$967,"F")</f>
        <v>0</v>
      </c>
      <c r="K78" s="8" t="n">
        <f aca="false">COUNTIFS(Pointage!$A$2:$A$967,$A78,Pointage!$D$2:$D$967,$B78,Pointage!$E$2:$E$967,$C78,Pointage!$P$2:$P$967,"&gt;0")</f>
        <v>0</v>
      </c>
      <c r="L78" s="8" t="n">
        <f aca="false">SUMIFS(Pointage!$P$2:$P$967,Pointage!$A$2:$A$967,$A78,Pointage!$D$2:$D$967,$B78,Pointage!$E$2:$E$967,$C78)</f>
        <v>0</v>
      </c>
      <c r="M78" s="11" t="n">
        <f aca="false">SUMIFS(Pointage!$L$2:$L$967,Pointage!$A$2:$A$967,$A78,Pointage!$D$2:$D$967,$B78,Pointage!$E$2:$E$967,$C78)</f>
        <v>1.83333333333333</v>
      </c>
      <c r="N78" s="11" t="n">
        <f aca="false">SUMIFS(Pointage!$M$2:$M$967,Pointage!$A$2:$A$967,$A78,Pointage!$D$2:$D$967,$B78,Pointage!$E$2:$E$967,$C78)</f>
        <v>1.83333333333333</v>
      </c>
      <c r="O78" s="10" t="n">
        <f aca="false">IFERROR(F78/(F78+G78),"")</f>
        <v>1</v>
      </c>
      <c r="P78" s="10" t="n">
        <f aca="false">IFERROR(N78/M78,"")</f>
        <v>1</v>
      </c>
    </row>
    <row r="79" customFormat="false" ht="15" hidden="false" customHeight="false" outlineLevel="0" collapsed="false">
      <c r="A79" s="7" t="s">
        <v>28</v>
      </c>
      <c r="B79" s="8" t="n">
        <v>2026</v>
      </c>
      <c r="C79" s="8" t="n">
        <v>12</v>
      </c>
      <c r="D79" s="8" t="s">
        <v>69</v>
      </c>
      <c r="E79" s="8" t="n">
        <f aca="false">F79+G79+H79</f>
        <v>0</v>
      </c>
      <c r="F79" s="8" t="n">
        <f aca="false">COUNTIFS(Pointage!$A$2:$A$967,$A79,Pointage!$D$2:$D$967,$B79,Pointage!$E$2:$E$967,$C79,Pointage!$Q$2:$Q$967,"P")</f>
        <v>0</v>
      </c>
      <c r="G79" s="17" t="n">
        <f aca="false">COUNTIFS(Pointage!$A$2:$A$967,$A79,Pointage!$D$2:$D$967,$B79,Pointage!$E$2:$E$967,$C79,Pointage!$Q$2:$Q$967,"A")</f>
        <v>0</v>
      </c>
      <c r="H79" s="8" t="n">
        <f aca="false">COUNTIFS(Pointage!$A$2:$A$967,$A79,Pointage!$D$2:$D$967,$B79,Pointage!$E$2:$E$967,$C79,Pointage!$Q$2:$Q$967,"NR")</f>
        <v>0</v>
      </c>
      <c r="I79" s="8" t="n">
        <f aca="false">COUNTIFS(Pointage!$A$2:$A$967,$A79,Pointage!$D$2:$D$967,$B79,Pointage!$E$2:$E$967,$C79,Pointage!$Q$2:$Q$967,"CP")</f>
        <v>0</v>
      </c>
      <c r="J79" s="8" t="n">
        <f aca="false">COUNTIFS(Pointage!$A$2:$A$967,$A79,Pointage!$D$2:$D$967,$B79,Pointage!$E$2:$E$967,$C79,Pointage!$Q$2:$Q$967,"F")</f>
        <v>0</v>
      </c>
      <c r="K79" s="8" t="n">
        <f aca="false">COUNTIFS(Pointage!$A$2:$A$967,$A79,Pointage!$D$2:$D$967,$B79,Pointage!$E$2:$E$967,$C79,Pointage!$P$2:$P$967,"&gt;0")</f>
        <v>0</v>
      </c>
      <c r="L79" s="8" t="n">
        <f aca="false">SUMIFS(Pointage!$P$2:$P$967,Pointage!$A$2:$A$967,$A79,Pointage!$D$2:$D$967,$B79,Pointage!$E$2:$E$967,$C79)</f>
        <v>0</v>
      </c>
      <c r="M79" s="11" t="n">
        <f aca="false">SUMIFS(Pointage!$L$2:$L$967,Pointage!$A$2:$A$967,$A79,Pointage!$D$2:$D$967,$B79,Pointage!$E$2:$E$967,$C79)</f>
        <v>0</v>
      </c>
      <c r="N79" s="11" t="n">
        <f aca="false">SUMIFS(Pointage!$M$2:$M$967,Pointage!$A$2:$A$967,$A79,Pointage!$D$2:$D$967,$B79,Pointage!$E$2:$E$967,$C79)</f>
        <v>0</v>
      </c>
      <c r="O79" s="10" t="str">
        <f aca="false">IFERROR(F79/(F79+G79),"")</f>
        <v/>
      </c>
      <c r="P79" s="10" t="str">
        <f aca="false">IFERROR(N79/M79,"")</f>
        <v/>
      </c>
    </row>
    <row r="80" customFormat="false" ht="15" hidden="false" customHeight="false" outlineLevel="0" collapsed="false">
      <c r="A80" s="7" t="s">
        <v>28</v>
      </c>
      <c r="B80" s="8" t="n">
        <v>2026</v>
      </c>
      <c r="C80" s="8" t="n">
        <v>13</v>
      </c>
      <c r="D80" s="8" t="s">
        <v>70</v>
      </c>
      <c r="E80" s="8" t="n">
        <f aca="false">F80+G80+H80</f>
        <v>5</v>
      </c>
      <c r="F80" s="8" t="n">
        <f aca="false">COUNTIFS(Pointage!$A$2:$A$967,$A80,Pointage!$D$2:$D$967,$B80,Pointage!$E$2:$E$967,$C80,Pointage!$Q$2:$Q$967,"P")</f>
        <v>5</v>
      </c>
      <c r="G80" s="17" t="n">
        <f aca="false">COUNTIFS(Pointage!$A$2:$A$967,$A80,Pointage!$D$2:$D$967,$B80,Pointage!$E$2:$E$967,$C80,Pointage!$Q$2:$Q$967,"A")</f>
        <v>0</v>
      </c>
      <c r="H80" s="8" t="n">
        <f aca="false">COUNTIFS(Pointage!$A$2:$A$967,$A80,Pointage!$D$2:$D$967,$B80,Pointage!$E$2:$E$967,$C80,Pointage!$Q$2:$Q$967,"NR")</f>
        <v>0</v>
      </c>
      <c r="I80" s="8" t="n">
        <f aca="false">COUNTIFS(Pointage!$A$2:$A$967,$A80,Pointage!$D$2:$D$967,$B80,Pointage!$E$2:$E$967,$C80,Pointage!$Q$2:$Q$967,"CP")</f>
        <v>0</v>
      </c>
      <c r="J80" s="8" t="n">
        <f aca="false">COUNTIFS(Pointage!$A$2:$A$967,$A80,Pointage!$D$2:$D$967,$B80,Pointage!$E$2:$E$967,$C80,Pointage!$Q$2:$Q$967,"F")</f>
        <v>0</v>
      </c>
      <c r="K80" s="8" t="n">
        <f aca="false">COUNTIFS(Pointage!$A$2:$A$967,$A80,Pointage!$D$2:$D$967,$B80,Pointage!$E$2:$E$967,$C80,Pointage!$P$2:$P$967,"&gt;0")</f>
        <v>0</v>
      </c>
      <c r="L80" s="8" t="n">
        <f aca="false">SUMIFS(Pointage!$P$2:$P$967,Pointage!$A$2:$A$967,$A80,Pointage!$D$2:$D$967,$B80,Pointage!$E$2:$E$967,$C80)</f>
        <v>0</v>
      </c>
      <c r="M80" s="11" t="n">
        <f aca="false">SUMIFS(Pointage!$L$2:$L$967,Pointage!$A$2:$A$967,$A80,Pointage!$D$2:$D$967,$B80,Pointage!$E$2:$E$967,$C80)</f>
        <v>1.83333333333333</v>
      </c>
      <c r="N80" s="11" t="n">
        <f aca="false">SUMIFS(Pointage!$M$2:$M$967,Pointage!$A$2:$A$967,$A80,Pointage!$D$2:$D$967,$B80,Pointage!$E$2:$E$967,$C80)</f>
        <v>1.83333333333333</v>
      </c>
      <c r="O80" s="10" t="n">
        <f aca="false">IFERROR(F80/(F80+G80),"")</f>
        <v>1</v>
      </c>
      <c r="P80" s="10" t="n">
        <f aca="false">IFERROR(N80/M80,"")</f>
        <v>1</v>
      </c>
    </row>
    <row r="81" customFormat="false" ht="15" hidden="false" customHeight="false" outlineLevel="0" collapsed="false">
      <c r="A81" s="7" t="s">
        <v>28</v>
      </c>
      <c r="B81" s="8" t="n">
        <v>2026</v>
      </c>
      <c r="C81" s="8" t="n">
        <v>14</v>
      </c>
      <c r="D81" s="8" t="s">
        <v>71</v>
      </c>
      <c r="E81" s="8" t="n">
        <f aca="false">F81+G81+H81</f>
        <v>5</v>
      </c>
      <c r="F81" s="8" t="n">
        <f aca="false">COUNTIFS(Pointage!$A$2:$A$967,$A81,Pointage!$D$2:$D$967,$B81,Pointage!$E$2:$E$967,$C81,Pointage!$Q$2:$Q$967,"P")</f>
        <v>5</v>
      </c>
      <c r="G81" s="17" t="n">
        <f aca="false">COUNTIFS(Pointage!$A$2:$A$967,$A81,Pointage!$D$2:$D$967,$B81,Pointage!$E$2:$E$967,$C81,Pointage!$Q$2:$Q$967,"A")</f>
        <v>0</v>
      </c>
      <c r="H81" s="8" t="n">
        <f aca="false">COUNTIFS(Pointage!$A$2:$A$967,$A81,Pointage!$D$2:$D$967,$B81,Pointage!$E$2:$E$967,$C81,Pointage!$Q$2:$Q$967,"NR")</f>
        <v>0</v>
      </c>
      <c r="I81" s="8" t="n">
        <f aca="false">COUNTIFS(Pointage!$A$2:$A$967,$A81,Pointage!$D$2:$D$967,$B81,Pointage!$E$2:$E$967,$C81,Pointage!$Q$2:$Q$967,"CP")</f>
        <v>0</v>
      </c>
      <c r="J81" s="8" t="n">
        <f aca="false">COUNTIFS(Pointage!$A$2:$A$967,$A81,Pointage!$D$2:$D$967,$B81,Pointage!$E$2:$E$967,$C81,Pointage!$Q$2:$Q$967,"F")</f>
        <v>0</v>
      </c>
      <c r="K81" s="8" t="n">
        <f aca="false">COUNTIFS(Pointage!$A$2:$A$967,$A81,Pointage!$D$2:$D$967,$B81,Pointage!$E$2:$E$967,$C81,Pointage!$P$2:$P$967,"&gt;0")</f>
        <v>0</v>
      </c>
      <c r="L81" s="8" t="n">
        <f aca="false">SUMIFS(Pointage!$P$2:$P$967,Pointage!$A$2:$A$967,$A81,Pointage!$D$2:$D$967,$B81,Pointage!$E$2:$E$967,$C81)</f>
        <v>0</v>
      </c>
      <c r="M81" s="11" t="n">
        <f aca="false">SUMIFS(Pointage!$L$2:$L$967,Pointage!$A$2:$A$967,$A81,Pointage!$D$2:$D$967,$B81,Pointage!$E$2:$E$967,$C81)</f>
        <v>1.83333333333333</v>
      </c>
      <c r="N81" s="11" t="n">
        <f aca="false">SUMIFS(Pointage!$M$2:$M$967,Pointage!$A$2:$A$967,$A81,Pointage!$D$2:$D$967,$B81,Pointage!$E$2:$E$967,$C81)</f>
        <v>1.83333333333333</v>
      </c>
      <c r="O81" s="10" t="n">
        <f aca="false">IFERROR(F81/(F81+G81),"")</f>
        <v>1</v>
      </c>
      <c r="P81" s="10" t="n">
        <f aca="false">IFERROR(N81/M81,"")</f>
        <v>1</v>
      </c>
    </row>
    <row r="82" customFormat="false" ht="15" hidden="false" customHeight="false" outlineLevel="0" collapsed="false">
      <c r="A82" s="7" t="s">
        <v>28</v>
      </c>
      <c r="B82" s="8" t="n">
        <v>2026</v>
      </c>
      <c r="C82" s="8" t="n">
        <v>15</v>
      </c>
      <c r="D82" s="8" t="s">
        <v>72</v>
      </c>
      <c r="E82" s="8" t="n">
        <f aca="false">F82+G82+H82</f>
        <v>4</v>
      </c>
      <c r="F82" s="8" t="n">
        <f aca="false">COUNTIFS(Pointage!$A$2:$A$967,$A82,Pointage!$D$2:$D$967,$B82,Pointage!$E$2:$E$967,$C82,Pointage!$Q$2:$Q$967,"P")</f>
        <v>0</v>
      </c>
      <c r="G82" s="17" t="n">
        <f aca="false">COUNTIFS(Pointage!$A$2:$A$967,$A82,Pointage!$D$2:$D$967,$B82,Pointage!$E$2:$E$967,$C82,Pointage!$Q$2:$Q$967,"A")</f>
        <v>4</v>
      </c>
      <c r="H82" s="8" t="n">
        <f aca="false">COUNTIFS(Pointage!$A$2:$A$967,$A82,Pointage!$D$2:$D$967,$B82,Pointage!$E$2:$E$967,$C82,Pointage!$Q$2:$Q$967,"NR")</f>
        <v>0</v>
      </c>
      <c r="I82" s="8" t="n">
        <f aca="false">COUNTIFS(Pointage!$A$2:$A$967,$A82,Pointage!$D$2:$D$967,$B82,Pointage!$E$2:$E$967,$C82,Pointage!$Q$2:$Q$967,"CP")</f>
        <v>0</v>
      </c>
      <c r="J82" s="8" t="n">
        <f aca="false">COUNTIFS(Pointage!$A$2:$A$967,$A82,Pointage!$D$2:$D$967,$B82,Pointage!$E$2:$E$967,$C82,Pointage!$Q$2:$Q$967,"F")</f>
        <v>0</v>
      </c>
      <c r="K82" s="8" t="n">
        <f aca="false">COUNTIFS(Pointage!$A$2:$A$967,$A82,Pointage!$D$2:$D$967,$B82,Pointage!$E$2:$E$967,$C82,Pointage!$P$2:$P$967,"&gt;0")</f>
        <v>0</v>
      </c>
      <c r="L82" s="8" t="n">
        <f aca="false">SUMIFS(Pointage!$P$2:$P$967,Pointage!$A$2:$A$967,$A82,Pointage!$D$2:$D$967,$B82,Pointage!$E$2:$E$967,$C82)</f>
        <v>0</v>
      </c>
      <c r="M82" s="11" t="n">
        <f aca="false">SUMIFS(Pointage!$L$2:$L$967,Pointage!$A$2:$A$967,$A82,Pointage!$D$2:$D$967,$B82,Pointage!$E$2:$E$967,$C82)</f>
        <v>1.45833333333333</v>
      </c>
      <c r="N82" s="11" t="n">
        <f aca="false">SUMIFS(Pointage!$M$2:$M$967,Pointage!$A$2:$A$967,$A82,Pointage!$D$2:$D$967,$B82,Pointage!$E$2:$E$967,$C82)</f>
        <v>0</v>
      </c>
      <c r="O82" s="10" t="n">
        <f aca="false">IFERROR(F82/(F82+G82),"")</f>
        <v>0</v>
      </c>
      <c r="P82" s="10" t="n">
        <f aca="false">IFERROR(N82/M82,"")</f>
        <v>0</v>
      </c>
    </row>
    <row r="83" customFormat="false" ht="15" hidden="false" customHeight="false" outlineLevel="0" collapsed="false">
      <c r="A83" s="7" t="s">
        <v>28</v>
      </c>
      <c r="B83" s="8" t="n">
        <v>2026</v>
      </c>
      <c r="C83" s="8" t="n">
        <v>16</v>
      </c>
      <c r="D83" s="8" t="s">
        <v>73</v>
      </c>
      <c r="E83" s="8" t="n">
        <f aca="false">F83+G83+H83</f>
        <v>5</v>
      </c>
      <c r="F83" s="8" t="n">
        <f aca="false">COUNTIFS(Pointage!$A$2:$A$967,$A83,Pointage!$D$2:$D$967,$B83,Pointage!$E$2:$E$967,$C83,Pointage!$Q$2:$Q$967,"P")</f>
        <v>5</v>
      </c>
      <c r="G83" s="17" t="n">
        <f aca="false">COUNTIFS(Pointage!$A$2:$A$967,$A83,Pointage!$D$2:$D$967,$B83,Pointage!$E$2:$E$967,$C83,Pointage!$Q$2:$Q$967,"A")</f>
        <v>0</v>
      </c>
      <c r="H83" s="8" t="n">
        <f aca="false">COUNTIFS(Pointage!$A$2:$A$967,$A83,Pointage!$D$2:$D$967,$B83,Pointage!$E$2:$E$967,$C83,Pointage!$Q$2:$Q$967,"NR")</f>
        <v>0</v>
      </c>
      <c r="I83" s="8" t="n">
        <f aca="false">COUNTIFS(Pointage!$A$2:$A$967,$A83,Pointage!$D$2:$D$967,$B83,Pointage!$E$2:$E$967,$C83,Pointage!$Q$2:$Q$967,"CP")</f>
        <v>0</v>
      </c>
      <c r="J83" s="8" t="n">
        <f aca="false">COUNTIFS(Pointage!$A$2:$A$967,$A83,Pointage!$D$2:$D$967,$B83,Pointage!$E$2:$E$967,$C83,Pointage!$Q$2:$Q$967,"F")</f>
        <v>0</v>
      </c>
      <c r="K83" s="8" t="n">
        <f aca="false">COUNTIFS(Pointage!$A$2:$A$967,$A83,Pointage!$D$2:$D$967,$B83,Pointage!$E$2:$E$967,$C83,Pointage!$P$2:$P$967,"&gt;0")</f>
        <v>0</v>
      </c>
      <c r="L83" s="8" t="n">
        <f aca="false">SUMIFS(Pointage!$P$2:$P$967,Pointage!$A$2:$A$967,$A83,Pointage!$D$2:$D$967,$B83,Pointage!$E$2:$E$967,$C83)</f>
        <v>0</v>
      </c>
      <c r="M83" s="11" t="n">
        <f aca="false">SUMIFS(Pointage!$L$2:$L$967,Pointage!$A$2:$A$967,$A83,Pointage!$D$2:$D$967,$B83,Pointage!$E$2:$E$967,$C83)</f>
        <v>1.83333333333333</v>
      </c>
      <c r="N83" s="11" t="n">
        <f aca="false">SUMIFS(Pointage!$M$2:$M$967,Pointage!$A$2:$A$967,$A83,Pointage!$D$2:$D$967,$B83,Pointage!$E$2:$E$967,$C83)</f>
        <v>1.83333333333333</v>
      </c>
      <c r="O83" s="10" t="n">
        <f aca="false">IFERROR(F83/(F83+G83),"")</f>
        <v>1</v>
      </c>
      <c r="P83" s="10" t="n">
        <f aca="false">IFERROR(N83/M83,"")</f>
        <v>1</v>
      </c>
    </row>
    <row r="84" customFormat="false" ht="15" hidden="false" customHeight="false" outlineLevel="0" collapsed="false">
      <c r="A84" s="7" t="s">
        <v>28</v>
      </c>
      <c r="B84" s="8" t="n">
        <v>2026</v>
      </c>
      <c r="C84" s="8" t="n">
        <v>17</v>
      </c>
      <c r="D84" s="8" t="s">
        <v>74</v>
      </c>
      <c r="E84" s="8" t="n">
        <f aca="false">F84+G84+H84</f>
        <v>4</v>
      </c>
      <c r="F84" s="8" t="n">
        <f aca="false">COUNTIFS(Pointage!$A$2:$A$967,$A84,Pointage!$D$2:$D$967,$B84,Pointage!$E$2:$E$967,$C84,Pointage!$Q$2:$Q$967,"P")</f>
        <v>3</v>
      </c>
      <c r="G84" s="17" t="n">
        <f aca="false">COUNTIFS(Pointage!$A$2:$A$967,$A84,Pointage!$D$2:$D$967,$B84,Pointage!$E$2:$E$967,$C84,Pointage!$Q$2:$Q$967,"A")</f>
        <v>1</v>
      </c>
      <c r="H84" s="8" t="n">
        <f aca="false">COUNTIFS(Pointage!$A$2:$A$967,$A84,Pointage!$D$2:$D$967,$B84,Pointage!$E$2:$E$967,$C84,Pointage!$Q$2:$Q$967,"NR")</f>
        <v>0</v>
      </c>
      <c r="I84" s="8" t="n">
        <f aca="false">COUNTIFS(Pointage!$A$2:$A$967,$A84,Pointage!$D$2:$D$967,$B84,Pointage!$E$2:$E$967,$C84,Pointage!$Q$2:$Q$967,"CP")</f>
        <v>1</v>
      </c>
      <c r="J84" s="8" t="n">
        <f aca="false">COUNTIFS(Pointage!$A$2:$A$967,$A84,Pointage!$D$2:$D$967,$B84,Pointage!$E$2:$E$967,$C84,Pointage!$Q$2:$Q$967,"F")</f>
        <v>0</v>
      </c>
      <c r="K84" s="8" t="n">
        <f aca="false">COUNTIFS(Pointage!$A$2:$A$967,$A84,Pointage!$D$2:$D$967,$B84,Pointage!$E$2:$E$967,$C84,Pointage!$P$2:$P$967,"&gt;0")</f>
        <v>0</v>
      </c>
      <c r="L84" s="8" t="n">
        <f aca="false">SUMIFS(Pointage!$P$2:$P$967,Pointage!$A$2:$A$967,$A84,Pointage!$D$2:$D$967,$B84,Pointage!$E$2:$E$967,$C84)</f>
        <v>0</v>
      </c>
      <c r="M84" s="11" t="n">
        <f aca="false">SUMIFS(Pointage!$L$2:$L$967,Pointage!$A$2:$A$967,$A84,Pointage!$D$2:$D$967,$B84,Pointage!$E$2:$E$967,$C84)</f>
        <v>1.45833333333333</v>
      </c>
      <c r="N84" s="11" t="n">
        <f aca="false">SUMIFS(Pointage!$M$2:$M$967,Pointage!$A$2:$A$967,$A84,Pointage!$D$2:$D$967,$B84,Pointage!$E$2:$E$967,$C84)</f>
        <v>1.08333333333333</v>
      </c>
      <c r="O84" s="10" t="n">
        <f aca="false">IFERROR(F84/(F84+G84),"")</f>
        <v>0.75</v>
      </c>
      <c r="P84" s="10" t="n">
        <f aca="false">IFERROR(N84/M84,"")</f>
        <v>0.742857142857143</v>
      </c>
    </row>
    <row r="85" customFormat="false" ht="15" hidden="false" customHeight="false" outlineLevel="0" collapsed="false">
      <c r="A85" s="7" t="s">
        <v>28</v>
      </c>
      <c r="B85" s="8" t="n">
        <v>2026</v>
      </c>
      <c r="C85" s="8" t="n">
        <v>18</v>
      </c>
      <c r="D85" s="8" t="s">
        <v>75</v>
      </c>
      <c r="E85" s="8" t="n">
        <f aca="false">F85+G85+H85</f>
        <v>4</v>
      </c>
      <c r="F85" s="8" t="n">
        <f aca="false">COUNTIFS(Pointage!$A$2:$A$967,$A85,Pointage!$D$2:$D$967,$B85,Pointage!$E$2:$E$967,$C85,Pointage!$Q$2:$Q$967,"P")</f>
        <v>4</v>
      </c>
      <c r="G85" s="17" t="n">
        <f aca="false">COUNTIFS(Pointage!$A$2:$A$967,$A85,Pointage!$D$2:$D$967,$B85,Pointage!$E$2:$E$967,$C85,Pointage!$Q$2:$Q$967,"A")</f>
        <v>0</v>
      </c>
      <c r="H85" s="8" t="n">
        <f aca="false">COUNTIFS(Pointage!$A$2:$A$967,$A85,Pointage!$D$2:$D$967,$B85,Pointage!$E$2:$E$967,$C85,Pointage!$Q$2:$Q$967,"NR")</f>
        <v>0</v>
      </c>
      <c r="I85" s="8" t="n">
        <f aca="false">COUNTIFS(Pointage!$A$2:$A$967,$A85,Pointage!$D$2:$D$967,$B85,Pointage!$E$2:$E$967,$C85,Pointage!$Q$2:$Q$967,"CP")</f>
        <v>0</v>
      </c>
      <c r="J85" s="8" t="n">
        <f aca="false">COUNTIFS(Pointage!$A$2:$A$967,$A85,Pointage!$D$2:$D$967,$B85,Pointage!$E$2:$E$967,$C85,Pointage!$Q$2:$Q$967,"F")</f>
        <v>1</v>
      </c>
      <c r="K85" s="8" t="n">
        <f aca="false">COUNTIFS(Pointage!$A$2:$A$967,$A85,Pointage!$D$2:$D$967,$B85,Pointage!$E$2:$E$967,$C85,Pointage!$P$2:$P$967,"&gt;0")</f>
        <v>0</v>
      </c>
      <c r="L85" s="8" t="n">
        <f aca="false">SUMIFS(Pointage!$P$2:$P$967,Pointage!$A$2:$A$967,$A85,Pointage!$D$2:$D$967,$B85,Pointage!$E$2:$E$967,$C85)</f>
        <v>0</v>
      </c>
      <c r="M85" s="11" t="n">
        <f aca="false">SUMIFS(Pointage!$L$2:$L$967,Pointage!$A$2:$A$967,$A85,Pointage!$D$2:$D$967,$B85,Pointage!$E$2:$E$967,$C85)</f>
        <v>1.5</v>
      </c>
      <c r="N85" s="11" t="n">
        <f aca="false">SUMIFS(Pointage!$M$2:$M$967,Pointage!$A$2:$A$967,$A85,Pointage!$D$2:$D$967,$B85,Pointage!$E$2:$E$967,$C85)</f>
        <v>1.5</v>
      </c>
      <c r="O85" s="10" t="n">
        <f aca="false">IFERROR(F85/(F85+G85),"")</f>
        <v>1</v>
      </c>
      <c r="P85" s="10" t="n">
        <f aca="false">IFERROR(N85/M85,"")</f>
        <v>1</v>
      </c>
    </row>
    <row r="86" customFormat="false" ht="15" hidden="false" customHeight="false" outlineLevel="0" collapsed="false">
      <c r="A86" s="7" t="s">
        <v>28</v>
      </c>
      <c r="B86" s="8" t="n">
        <v>2026</v>
      </c>
      <c r="C86" s="8" t="n">
        <v>19</v>
      </c>
      <c r="D86" s="8" t="s">
        <v>76</v>
      </c>
      <c r="E86" s="8" t="n">
        <f aca="false">F86+G86+H86</f>
        <v>4</v>
      </c>
      <c r="F86" s="8" t="n">
        <f aca="false">COUNTIFS(Pointage!$A$2:$A$967,$A86,Pointage!$D$2:$D$967,$B86,Pointage!$E$2:$E$967,$C86,Pointage!$Q$2:$Q$967,"P")</f>
        <v>4</v>
      </c>
      <c r="G86" s="17" t="n">
        <f aca="false">COUNTIFS(Pointage!$A$2:$A$967,$A86,Pointage!$D$2:$D$967,$B86,Pointage!$E$2:$E$967,$C86,Pointage!$Q$2:$Q$967,"A")</f>
        <v>0</v>
      </c>
      <c r="H86" s="8" t="n">
        <f aca="false">COUNTIFS(Pointage!$A$2:$A$967,$A86,Pointage!$D$2:$D$967,$B86,Pointage!$E$2:$E$967,$C86,Pointage!$Q$2:$Q$967,"NR")</f>
        <v>0</v>
      </c>
      <c r="I86" s="8" t="n">
        <f aca="false">COUNTIFS(Pointage!$A$2:$A$967,$A86,Pointage!$D$2:$D$967,$B86,Pointage!$E$2:$E$967,$C86,Pointage!$Q$2:$Q$967,"CP")</f>
        <v>0</v>
      </c>
      <c r="J86" s="8" t="n">
        <f aca="false">COUNTIFS(Pointage!$A$2:$A$967,$A86,Pointage!$D$2:$D$967,$B86,Pointage!$E$2:$E$967,$C86,Pointage!$Q$2:$Q$967,"F")</f>
        <v>0</v>
      </c>
      <c r="K86" s="8" t="n">
        <f aca="false">COUNTIFS(Pointage!$A$2:$A$967,$A86,Pointage!$D$2:$D$967,$B86,Pointage!$E$2:$E$967,$C86,Pointage!$P$2:$P$967,"&gt;0")</f>
        <v>0</v>
      </c>
      <c r="L86" s="8" t="n">
        <f aca="false">SUMIFS(Pointage!$P$2:$P$967,Pointage!$A$2:$A$967,$A86,Pointage!$D$2:$D$967,$B86,Pointage!$E$2:$E$967,$C86)</f>
        <v>0</v>
      </c>
      <c r="M86" s="11" t="n">
        <f aca="false">SUMIFS(Pointage!$L$2:$L$967,Pointage!$A$2:$A$967,$A86,Pointage!$D$2:$D$967,$B86,Pointage!$E$2:$E$967,$C86)</f>
        <v>1.5</v>
      </c>
      <c r="N86" s="11" t="n">
        <f aca="false">SUMIFS(Pointage!$M$2:$M$967,Pointage!$A$2:$A$967,$A86,Pointage!$D$2:$D$967,$B86,Pointage!$E$2:$E$967,$C86)</f>
        <v>1.5</v>
      </c>
      <c r="O86" s="10" t="n">
        <f aca="false">IFERROR(F86/(F86+G86),"")</f>
        <v>1</v>
      </c>
      <c r="P86" s="10" t="n">
        <f aca="false">IFERROR(N86/M86,"")</f>
        <v>1</v>
      </c>
    </row>
    <row r="87" customFormat="false" ht="15" hidden="false" customHeight="false" outlineLevel="0" collapsed="false">
      <c r="A87" s="7" t="s">
        <v>28</v>
      </c>
      <c r="B87" s="8" t="n">
        <v>2026</v>
      </c>
      <c r="C87" s="8" t="n">
        <v>20</v>
      </c>
      <c r="D87" s="8" t="s">
        <v>77</v>
      </c>
      <c r="E87" s="8" t="n">
        <f aca="false">F87+G87+H87</f>
        <v>2</v>
      </c>
      <c r="F87" s="8" t="n">
        <f aca="false">COUNTIFS(Pointage!$A$2:$A$967,$A87,Pointage!$D$2:$D$967,$B87,Pointage!$E$2:$E$967,$C87,Pointage!$Q$2:$Q$967,"P")</f>
        <v>2</v>
      </c>
      <c r="G87" s="17" t="n">
        <f aca="false">COUNTIFS(Pointage!$A$2:$A$967,$A87,Pointage!$D$2:$D$967,$B87,Pointage!$E$2:$E$967,$C87,Pointage!$Q$2:$Q$967,"A")</f>
        <v>0</v>
      </c>
      <c r="H87" s="8" t="n">
        <f aca="false">COUNTIFS(Pointage!$A$2:$A$967,$A87,Pointage!$D$2:$D$967,$B87,Pointage!$E$2:$E$967,$C87,Pointage!$Q$2:$Q$967,"NR")</f>
        <v>0</v>
      </c>
      <c r="I87" s="8" t="n">
        <f aca="false">COUNTIFS(Pointage!$A$2:$A$967,$A87,Pointage!$D$2:$D$967,$B87,Pointage!$E$2:$E$967,$C87,Pointage!$Q$2:$Q$967,"CP")</f>
        <v>2</v>
      </c>
      <c r="J87" s="8" t="n">
        <f aca="false">COUNTIFS(Pointage!$A$2:$A$967,$A87,Pointage!$D$2:$D$967,$B87,Pointage!$E$2:$E$967,$C87,Pointage!$Q$2:$Q$967,"F")</f>
        <v>0</v>
      </c>
      <c r="K87" s="8" t="n">
        <f aca="false">COUNTIFS(Pointage!$A$2:$A$967,$A87,Pointage!$D$2:$D$967,$B87,Pointage!$E$2:$E$967,$C87,Pointage!$P$2:$P$967,"&gt;0")</f>
        <v>0</v>
      </c>
      <c r="L87" s="8" t="n">
        <f aca="false">SUMIFS(Pointage!$P$2:$P$967,Pointage!$A$2:$A$967,$A87,Pointage!$D$2:$D$967,$B87,Pointage!$E$2:$E$967,$C87)</f>
        <v>0</v>
      </c>
      <c r="M87" s="11" t="n">
        <f aca="false">SUMIFS(Pointage!$L$2:$L$967,Pointage!$A$2:$A$967,$A87,Pointage!$D$2:$D$967,$B87,Pointage!$E$2:$E$967,$C87)</f>
        <v>0.75</v>
      </c>
      <c r="N87" s="11" t="n">
        <f aca="false">SUMIFS(Pointage!$M$2:$M$967,Pointage!$A$2:$A$967,$A87,Pointage!$D$2:$D$967,$B87,Pointage!$E$2:$E$967,$C87)</f>
        <v>0.75</v>
      </c>
      <c r="O87" s="10" t="n">
        <f aca="false">IFERROR(F87/(F87+G87),"")</f>
        <v>1</v>
      </c>
      <c r="P87" s="10" t="n">
        <f aca="false">IFERROR(N87/M87,"")</f>
        <v>1</v>
      </c>
    </row>
    <row r="88" customFormat="false" ht="15" hidden="false" customHeight="false" outlineLevel="0" collapsed="false">
      <c r="A88" s="7" t="s">
        <v>28</v>
      </c>
      <c r="B88" s="8" t="n">
        <v>2026</v>
      </c>
      <c r="C88" s="8" t="n">
        <v>21</v>
      </c>
      <c r="D88" s="8" t="s">
        <v>78</v>
      </c>
      <c r="E88" s="8" t="n">
        <f aca="false">F88+G88+H88</f>
        <v>5</v>
      </c>
      <c r="F88" s="8" t="n">
        <f aca="false">COUNTIFS(Pointage!$A$2:$A$967,$A88,Pointage!$D$2:$D$967,$B88,Pointage!$E$2:$E$967,$C88,Pointage!$Q$2:$Q$967,"P")</f>
        <v>5</v>
      </c>
      <c r="G88" s="17" t="n">
        <f aca="false">COUNTIFS(Pointage!$A$2:$A$967,$A88,Pointage!$D$2:$D$967,$B88,Pointage!$E$2:$E$967,$C88,Pointage!$Q$2:$Q$967,"A")</f>
        <v>0</v>
      </c>
      <c r="H88" s="8" t="n">
        <f aca="false">COUNTIFS(Pointage!$A$2:$A$967,$A88,Pointage!$D$2:$D$967,$B88,Pointage!$E$2:$E$967,$C88,Pointage!$Q$2:$Q$967,"NR")</f>
        <v>0</v>
      </c>
      <c r="I88" s="8" t="n">
        <f aca="false">COUNTIFS(Pointage!$A$2:$A$967,$A88,Pointage!$D$2:$D$967,$B88,Pointage!$E$2:$E$967,$C88,Pointage!$Q$2:$Q$967,"CP")</f>
        <v>0</v>
      </c>
      <c r="J88" s="8" t="n">
        <f aca="false">COUNTIFS(Pointage!$A$2:$A$967,$A88,Pointage!$D$2:$D$967,$B88,Pointage!$E$2:$E$967,$C88,Pointage!$Q$2:$Q$967,"F")</f>
        <v>0</v>
      </c>
      <c r="K88" s="8" t="n">
        <f aca="false">COUNTIFS(Pointage!$A$2:$A$967,$A88,Pointage!$D$2:$D$967,$B88,Pointage!$E$2:$E$967,$C88,Pointage!$P$2:$P$967,"&gt;0")</f>
        <v>0</v>
      </c>
      <c r="L88" s="8" t="n">
        <f aca="false">SUMIFS(Pointage!$P$2:$P$967,Pointage!$A$2:$A$967,$A88,Pointage!$D$2:$D$967,$B88,Pointage!$E$2:$E$967,$C88)</f>
        <v>0</v>
      </c>
      <c r="M88" s="11" t="n">
        <f aca="false">SUMIFS(Pointage!$L$2:$L$967,Pointage!$A$2:$A$967,$A88,Pointage!$D$2:$D$967,$B88,Pointage!$E$2:$E$967,$C88)</f>
        <v>1.83333333333333</v>
      </c>
      <c r="N88" s="11" t="n">
        <f aca="false">SUMIFS(Pointage!$M$2:$M$967,Pointage!$A$2:$A$967,$A88,Pointage!$D$2:$D$967,$B88,Pointage!$E$2:$E$967,$C88)</f>
        <v>1.83333333333333</v>
      </c>
      <c r="O88" s="10" t="n">
        <f aca="false">IFERROR(F88/(F88+G88),"")</f>
        <v>1</v>
      </c>
      <c r="P88" s="10" t="n">
        <f aca="false">IFERROR(N88/M88,"")</f>
        <v>1</v>
      </c>
    </row>
    <row r="89" customFormat="false" ht="15" hidden="false" customHeight="false" outlineLevel="0" collapsed="false">
      <c r="A89" s="7" t="s">
        <v>28</v>
      </c>
      <c r="B89" s="8" t="n">
        <v>2026</v>
      </c>
      <c r="C89" s="8" t="n">
        <v>22</v>
      </c>
      <c r="D89" s="8" t="s">
        <v>79</v>
      </c>
      <c r="E89" s="8" t="n">
        <f aca="false">F89+G89+H89</f>
        <v>4</v>
      </c>
      <c r="F89" s="8" t="n">
        <f aca="false">COUNTIFS(Pointage!$A$2:$A$967,$A89,Pointage!$D$2:$D$967,$B89,Pointage!$E$2:$E$967,$C89,Pointage!$Q$2:$Q$967,"P")</f>
        <v>4</v>
      </c>
      <c r="G89" s="17" t="n">
        <f aca="false">COUNTIFS(Pointage!$A$2:$A$967,$A89,Pointage!$D$2:$D$967,$B89,Pointage!$E$2:$E$967,$C89,Pointage!$Q$2:$Q$967,"A")</f>
        <v>0</v>
      </c>
      <c r="H89" s="8" t="n">
        <f aca="false">COUNTIFS(Pointage!$A$2:$A$967,$A89,Pointage!$D$2:$D$967,$B89,Pointage!$E$2:$E$967,$C89,Pointage!$Q$2:$Q$967,"NR")</f>
        <v>0</v>
      </c>
      <c r="I89" s="8" t="n">
        <f aca="false">COUNTIFS(Pointage!$A$2:$A$967,$A89,Pointage!$D$2:$D$967,$B89,Pointage!$E$2:$E$967,$C89,Pointage!$Q$2:$Q$967,"CP")</f>
        <v>0</v>
      </c>
      <c r="J89" s="8" t="n">
        <f aca="false">COUNTIFS(Pointage!$A$2:$A$967,$A89,Pointage!$D$2:$D$967,$B89,Pointage!$E$2:$E$967,$C89,Pointage!$Q$2:$Q$967,"F")</f>
        <v>0</v>
      </c>
      <c r="K89" s="8" t="n">
        <f aca="false">COUNTIFS(Pointage!$A$2:$A$967,$A89,Pointage!$D$2:$D$967,$B89,Pointage!$E$2:$E$967,$C89,Pointage!$P$2:$P$967,"&gt;0")</f>
        <v>1</v>
      </c>
      <c r="L89" s="8" t="n">
        <f aca="false">SUMIFS(Pointage!$P$2:$P$967,Pointage!$A$2:$A$967,$A89,Pointage!$D$2:$D$967,$B89,Pointage!$E$2:$E$967,$C89)</f>
        <v>2</v>
      </c>
      <c r="M89" s="11" t="n">
        <f aca="false">SUMIFS(Pointage!$L$2:$L$967,Pointage!$A$2:$A$967,$A89,Pointage!$D$2:$D$967,$B89,Pointage!$E$2:$E$967,$C89)</f>
        <v>1.45833333333333</v>
      </c>
      <c r="N89" s="11" t="n">
        <f aca="false">SUMIFS(Pointage!$M$2:$M$967,Pointage!$A$2:$A$967,$A89,Pointage!$D$2:$D$967,$B89,Pointage!$E$2:$E$967,$C89)</f>
        <v>1.45833333333333</v>
      </c>
      <c r="O89" s="10" t="n">
        <f aca="false">IFERROR(F89/(F89+G89),"")</f>
        <v>1</v>
      </c>
      <c r="P89" s="10" t="n">
        <f aca="false">IFERROR(N89/M89,"")</f>
        <v>1</v>
      </c>
    </row>
    <row r="90" customFormat="false" ht="15" hidden="false" customHeight="false" outlineLevel="0" collapsed="false">
      <c r="A90" s="7" t="s">
        <v>28</v>
      </c>
      <c r="B90" s="8" t="n">
        <v>2026</v>
      </c>
      <c r="C90" s="8" t="n">
        <v>23</v>
      </c>
      <c r="D90" s="8" t="s">
        <v>80</v>
      </c>
      <c r="E90" s="8" t="n">
        <f aca="false">F90+G90+H90</f>
        <v>5</v>
      </c>
      <c r="F90" s="8" t="n">
        <f aca="false">COUNTIFS(Pointage!$A$2:$A$967,$A90,Pointage!$D$2:$D$967,$B90,Pointage!$E$2:$E$967,$C90,Pointage!$Q$2:$Q$967,"P")</f>
        <v>5</v>
      </c>
      <c r="G90" s="17" t="n">
        <f aca="false">COUNTIFS(Pointage!$A$2:$A$967,$A90,Pointage!$D$2:$D$967,$B90,Pointage!$E$2:$E$967,$C90,Pointage!$Q$2:$Q$967,"A")</f>
        <v>0</v>
      </c>
      <c r="H90" s="8" t="n">
        <f aca="false">COUNTIFS(Pointage!$A$2:$A$967,$A90,Pointage!$D$2:$D$967,$B90,Pointage!$E$2:$E$967,$C90,Pointage!$Q$2:$Q$967,"NR")</f>
        <v>0</v>
      </c>
      <c r="I90" s="8" t="n">
        <f aca="false">COUNTIFS(Pointage!$A$2:$A$967,$A90,Pointage!$D$2:$D$967,$B90,Pointage!$E$2:$E$967,$C90,Pointage!$Q$2:$Q$967,"CP")</f>
        <v>0</v>
      </c>
      <c r="J90" s="8" t="n">
        <f aca="false">COUNTIFS(Pointage!$A$2:$A$967,$A90,Pointage!$D$2:$D$967,$B90,Pointage!$E$2:$E$967,$C90,Pointage!$Q$2:$Q$967,"F")</f>
        <v>0</v>
      </c>
      <c r="K90" s="8" t="n">
        <f aca="false">COUNTIFS(Pointage!$A$2:$A$967,$A90,Pointage!$D$2:$D$967,$B90,Pointage!$E$2:$E$967,$C90,Pointage!$P$2:$P$967,"&gt;0")</f>
        <v>1</v>
      </c>
      <c r="L90" s="8" t="n">
        <f aca="false">SUMIFS(Pointage!$P$2:$P$967,Pointage!$A$2:$A$967,$A90,Pointage!$D$2:$D$967,$B90,Pointage!$E$2:$E$967,$C90)</f>
        <v>6</v>
      </c>
      <c r="M90" s="11" t="n">
        <f aca="false">SUMIFS(Pointage!$L$2:$L$967,Pointage!$A$2:$A$967,$A90,Pointage!$D$2:$D$967,$B90,Pointage!$E$2:$E$967,$C90)</f>
        <v>1.83333333333333</v>
      </c>
      <c r="N90" s="11" t="n">
        <f aca="false">SUMIFS(Pointage!$M$2:$M$967,Pointage!$A$2:$A$967,$A90,Pointage!$D$2:$D$967,$B90,Pointage!$E$2:$E$967,$C90)</f>
        <v>1.83333333333333</v>
      </c>
      <c r="O90" s="10" t="n">
        <f aca="false">IFERROR(F90/(F90+G90),"")</f>
        <v>1</v>
      </c>
      <c r="P90" s="10" t="n">
        <f aca="false">IFERROR(N90/M90,"")</f>
        <v>1</v>
      </c>
    </row>
    <row r="91" customFormat="false" ht="15" hidden="false" customHeight="false" outlineLevel="0" collapsed="false">
      <c r="A91" s="7" t="s">
        <v>28</v>
      </c>
      <c r="B91" s="8" t="n">
        <v>2026</v>
      </c>
      <c r="C91" s="8" t="n">
        <v>24</v>
      </c>
      <c r="D91" s="8" t="s">
        <v>81</v>
      </c>
      <c r="E91" s="8" t="n">
        <f aca="false">F91+G91+H91</f>
        <v>5</v>
      </c>
      <c r="F91" s="8" t="n">
        <f aca="false">COUNTIFS(Pointage!$A$2:$A$967,$A91,Pointage!$D$2:$D$967,$B91,Pointage!$E$2:$E$967,$C91,Pointage!$Q$2:$Q$967,"P")</f>
        <v>5</v>
      </c>
      <c r="G91" s="17" t="n">
        <f aca="false">COUNTIFS(Pointage!$A$2:$A$967,$A91,Pointage!$D$2:$D$967,$B91,Pointage!$E$2:$E$967,$C91,Pointage!$Q$2:$Q$967,"A")</f>
        <v>0</v>
      </c>
      <c r="H91" s="8" t="n">
        <f aca="false">COUNTIFS(Pointage!$A$2:$A$967,$A91,Pointage!$D$2:$D$967,$B91,Pointage!$E$2:$E$967,$C91,Pointage!$Q$2:$Q$967,"NR")</f>
        <v>0</v>
      </c>
      <c r="I91" s="8" t="n">
        <f aca="false">COUNTIFS(Pointage!$A$2:$A$967,$A91,Pointage!$D$2:$D$967,$B91,Pointage!$E$2:$E$967,$C91,Pointage!$Q$2:$Q$967,"CP")</f>
        <v>0</v>
      </c>
      <c r="J91" s="8" t="n">
        <f aca="false">COUNTIFS(Pointage!$A$2:$A$967,$A91,Pointage!$D$2:$D$967,$B91,Pointage!$E$2:$E$967,$C91,Pointage!$Q$2:$Q$967,"F")</f>
        <v>0</v>
      </c>
      <c r="K91" s="8" t="n">
        <f aca="false">COUNTIFS(Pointage!$A$2:$A$967,$A91,Pointage!$D$2:$D$967,$B91,Pointage!$E$2:$E$967,$C91,Pointage!$P$2:$P$967,"&gt;0")</f>
        <v>0</v>
      </c>
      <c r="L91" s="8" t="n">
        <f aca="false">SUMIFS(Pointage!$P$2:$P$967,Pointage!$A$2:$A$967,$A91,Pointage!$D$2:$D$967,$B91,Pointage!$E$2:$E$967,$C91)</f>
        <v>0</v>
      </c>
      <c r="M91" s="11" t="n">
        <f aca="false">SUMIFS(Pointage!$L$2:$L$967,Pointage!$A$2:$A$967,$A91,Pointage!$D$2:$D$967,$B91,Pointage!$E$2:$E$967,$C91)</f>
        <v>1.83333333333333</v>
      </c>
      <c r="N91" s="11" t="n">
        <f aca="false">SUMIFS(Pointage!$M$2:$M$967,Pointage!$A$2:$A$967,$A91,Pointage!$D$2:$D$967,$B91,Pointage!$E$2:$E$967,$C91)</f>
        <v>1.83333333333333</v>
      </c>
      <c r="O91" s="10" t="n">
        <f aca="false">IFERROR(F91/(F91+G91),"")</f>
        <v>1</v>
      </c>
      <c r="P91" s="10" t="n">
        <f aca="false">IFERROR(N91/M91,"")</f>
        <v>1</v>
      </c>
    </row>
    <row r="92" customFormat="false" ht="15" hidden="false" customHeight="false" outlineLevel="0" collapsed="false">
      <c r="A92" s="7" t="s">
        <v>28</v>
      </c>
      <c r="B92" s="8" t="n">
        <v>2026</v>
      </c>
      <c r="C92" s="8" t="n">
        <v>25</v>
      </c>
      <c r="D92" s="8" t="s">
        <v>82</v>
      </c>
      <c r="E92" s="8" t="n">
        <f aca="false">F92+G92+H92</f>
        <v>4</v>
      </c>
      <c r="F92" s="8" t="n">
        <f aca="false">COUNTIFS(Pointage!$A$2:$A$967,$A92,Pointage!$D$2:$D$967,$B92,Pointage!$E$2:$E$967,$C92,Pointage!$Q$2:$Q$967,"P")</f>
        <v>4</v>
      </c>
      <c r="G92" s="17" t="n">
        <f aca="false">COUNTIFS(Pointage!$A$2:$A$967,$A92,Pointage!$D$2:$D$967,$B92,Pointage!$E$2:$E$967,$C92,Pointage!$Q$2:$Q$967,"A")</f>
        <v>0</v>
      </c>
      <c r="H92" s="8" t="n">
        <f aca="false">COUNTIFS(Pointage!$A$2:$A$967,$A92,Pointage!$D$2:$D$967,$B92,Pointage!$E$2:$E$967,$C92,Pointage!$Q$2:$Q$967,"NR")</f>
        <v>0</v>
      </c>
      <c r="I92" s="8" t="n">
        <f aca="false">COUNTIFS(Pointage!$A$2:$A$967,$A92,Pointage!$D$2:$D$967,$B92,Pointage!$E$2:$E$967,$C92,Pointage!$Q$2:$Q$967,"CP")</f>
        <v>1</v>
      </c>
      <c r="J92" s="8" t="n">
        <f aca="false">COUNTIFS(Pointage!$A$2:$A$967,$A92,Pointage!$D$2:$D$967,$B92,Pointage!$E$2:$E$967,$C92,Pointage!$Q$2:$Q$967,"F")</f>
        <v>0</v>
      </c>
      <c r="K92" s="8" t="n">
        <f aca="false">COUNTIFS(Pointage!$A$2:$A$967,$A92,Pointage!$D$2:$D$967,$B92,Pointage!$E$2:$E$967,$C92,Pointage!$P$2:$P$967,"&gt;0")</f>
        <v>0</v>
      </c>
      <c r="L92" s="8" t="n">
        <f aca="false">SUMIFS(Pointage!$P$2:$P$967,Pointage!$A$2:$A$967,$A92,Pointage!$D$2:$D$967,$B92,Pointage!$E$2:$E$967,$C92)</f>
        <v>0</v>
      </c>
      <c r="M92" s="11" t="n">
        <f aca="false">SUMIFS(Pointage!$L$2:$L$967,Pointage!$A$2:$A$967,$A92,Pointage!$D$2:$D$967,$B92,Pointage!$E$2:$E$967,$C92)</f>
        <v>1.5</v>
      </c>
      <c r="N92" s="11" t="n">
        <f aca="false">SUMIFS(Pointage!$M$2:$M$967,Pointage!$A$2:$A$967,$A92,Pointage!$D$2:$D$967,$B92,Pointage!$E$2:$E$967,$C92)</f>
        <v>1.5</v>
      </c>
      <c r="O92" s="10" t="n">
        <f aca="false">IFERROR(F92/(F92+G92),"")</f>
        <v>1</v>
      </c>
      <c r="P92" s="10" t="n">
        <f aca="false">IFERROR(N92/M92,"")</f>
        <v>1</v>
      </c>
    </row>
    <row r="93" customFormat="false" ht="15" hidden="false" customHeight="false" outlineLevel="0" collapsed="false">
      <c r="A93" s="7" t="s">
        <v>28</v>
      </c>
      <c r="B93" s="8" t="n">
        <v>2026</v>
      </c>
      <c r="C93" s="8" t="n">
        <v>26</v>
      </c>
      <c r="D93" s="8" t="s">
        <v>83</v>
      </c>
      <c r="E93" s="8" t="n">
        <f aca="false">F93+G93+H93</f>
        <v>5</v>
      </c>
      <c r="F93" s="8" t="n">
        <f aca="false">COUNTIFS(Pointage!$A$2:$A$967,$A93,Pointage!$D$2:$D$967,$B93,Pointage!$E$2:$E$967,$C93,Pointage!$Q$2:$Q$967,"P")</f>
        <v>5</v>
      </c>
      <c r="G93" s="17" t="n">
        <f aca="false">COUNTIFS(Pointage!$A$2:$A$967,$A93,Pointage!$D$2:$D$967,$B93,Pointage!$E$2:$E$967,$C93,Pointage!$Q$2:$Q$967,"A")</f>
        <v>0</v>
      </c>
      <c r="H93" s="8" t="n">
        <f aca="false">COUNTIFS(Pointage!$A$2:$A$967,$A93,Pointage!$D$2:$D$967,$B93,Pointage!$E$2:$E$967,$C93,Pointage!$Q$2:$Q$967,"NR")</f>
        <v>0</v>
      </c>
      <c r="I93" s="8" t="n">
        <f aca="false">COUNTIFS(Pointage!$A$2:$A$967,$A93,Pointage!$D$2:$D$967,$B93,Pointage!$E$2:$E$967,$C93,Pointage!$Q$2:$Q$967,"CP")</f>
        <v>0</v>
      </c>
      <c r="J93" s="8" t="n">
        <f aca="false">COUNTIFS(Pointage!$A$2:$A$967,$A93,Pointage!$D$2:$D$967,$B93,Pointage!$E$2:$E$967,$C93,Pointage!$Q$2:$Q$967,"F")</f>
        <v>0</v>
      </c>
      <c r="K93" s="8" t="n">
        <f aca="false">COUNTIFS(Pointage!$A$2:$A$967,$A93,Pointage!$D$2:$D$967,$B93,Pointage!$E$2:$E$967,$C93,Pointage!$P$2:$P$967,"&gt;0")</f>
        <v>0</v>
      </c>
      <c r="L93" s="8" t="n">
        <f aca="false">SUMIFS(Pointage!$P$2:$P$967,Pointage!$A$2:$A$967,$A93,Pointage!$D$2:$D$967,$B93,Pointage!$E$2:$E$967,$C93)</f>
        <v>0</v>
      </c>
      <c r="M93" s="11" t="n">
        <f aca="false">SUMIFS(Pointage!$L$2:$L$967,Pointage!$A$2:$A$967,$A93,Pointage!$D$2:$D$967,$B93,Pointage!$E$2:$E$967,$C93)</f>
        <v>1.83333333333333</v>
      </c>
      <c r="N93" s="11" t="n">
        <f aca="false">SUMIFS(Pointage!$M$2:$M$967,Pointage!$A$2:$A$967,$A93,Pointage!$D$2:$D$967,$B93,Pointage!$E$2:$E$967,$C93)</f>
        <v>1.83333333333333</v>
      </c>
      <c r="O93" s="10" t="n">
        <f aca="false">IFERROR(F93/(F93+G93),"")</f>
        <v>1</v>
      </c>
      <c r="P93" s="10" t="n">
        <f aca="false">IFERROR(N93/M93,"")</f>
        <v>1</v>
      </c>
    </row>
    <row r="94" customFormat="false" ht="15" hidden="false" customHeight="false" outlineLevel="0" collapsed="false">
      <c r="A94" s="7" t="s">
        <v>28</v>
      </c>
      <c r="B94" s="8" t="n">
        <v>2026</v>
      </c>
      <c r="C94" s="8" t="n">
        <v>27</v>
      </c>
      <c r="D94" s="8" t="s">
        <v>84</v>
      </c>
      <c r="E94" s="8" t="n">
        <f aca="false">F94+G94+H94</f>
        <v>5</v>
      </c>
      <c r="F94" s="8" t="n">
        <f aca="false">COUNTIFS(Pointage!$A$2:$A$967,$A94,Pointage!$D$2:$D$967,$B94,Pointage!$E$2:$E$967,$C94,Pointage!$Q$2:$Q$967,"P")</f>
        <v>5</v>
      </c>
      <c r="G94" s="17" t="n">
        <f aca="false">COUNTIFS(Pointage!$A$2:$A$967,$A94,Pointage!$D$2:$D$967,$B94,Pointage!$E$2:$E$967,$C94,Pointage!$Q$2:$Q$967,"A")</f>
        <v>0</v>
      </c>
      <c r="H94" s="8" t="n">
        <f aca="false">COUNTIFS(Pointage!$A$2:$A$967,$A94,Pointage!$D$2:$D$967,$B94,Pointage!$E$2:$E$967,$C94,Pointage!$Q$2:$Q$967,"NR")</f>
        <v>0</v>
      </c>
      <c r="I94" s="8" t="n">
        <f aca="false">COUNTIFS(Pointage!$A$2:$A$967,$A94,Pointage!$D$2:$D$967,$B94,Pointage!$E$2:$E$967,$C94,Pointage!$Q$2:$Q$967,"CP")</f>
        <v>0</v>
      </c>
      <c r="J94" s="8" t="n">
        <f aca="false">COUNTIFS(Pointage!$A$2:$A$967,$A94,Pointage!$D$2:$D$967,$B94,Pointage!$E$2:$E$967,$C94,Pointage!$Q$2:$Q$967,"F")</f>
        <v>0</v>
      </c>
      <c r="K94" s="8" t="n">
        <f aca="false">COUNTIFS(Pointage!$A$2:$A$967,$A94,Pointage!$D$2:$D$967,$B94,Pointage!$E$2:$E$967,$C94,Pointage!$P$2:$P$967,"&gt;0")</f>
        <v>0</v>
      </c>
      <c r="L94" s="8" t="n">
        <f aca="false">SUMIFS(Pointage!$P$2:$P$967,Pointage!$A$2:$A$967,$A94,Pointage!$D$2:$D$967,$B94,Pointage!$E$2:$E$967,$C94)</f>
        <v>0</v>
      </c>
      <c r="M94" s="11" t="n">
        <f aca="false">SUMIFS(Pointage!$L$2:$L$967,Pointage!$A$2:$A$967,$A94,Pointage!$D$2:$D$967,$B94,Pointage!$E$2:$E$967,$C94)</f>
        <v>1.83333333333333</v>
      </c>
      <c r="N94" s="11" t="n">
        <f aca="false">SUMIFS(Pointage!$M$2:$M$967,Pointage!$A$2:$A$967,$A94,Pointage!$D$2:$D$967,$B94,Pointage!$E$2:$E$967,$C94)</f>
        <v>1.83333333333333</v>
      </c>
      <c r="O94" s="10" t="n">
        <f aca="false">IFERROR(F94/(F94+G94),"")</f>
        <v>1</v>
      </c>
      <c r="P94" s="10" t="n">
        <f aca="false">IFERROR(N94/M94,"")</f>
        <v>1</v>
      </c>
    </row>
    <row r="95" customFormat="false" ht="15" hidden="false" customHeight="false" outlineLevel="0" collapsed="false">
      <c r="A95" s="7" t="s">
        <v>28</v>
      </c>
      <c r="B95" s="8" t="n">
        <v>2026</v>
      </c>
      <c r="C95" s="8" t="n">
        <v>28</v>
      </c>
      <c r="D95" s="8" t="s">
        <v>85</v>
      </c>
      <c r="E95" s="8" t="n">
        <f aca="false">F95+G95+H95</f>
        <v>5</v>
      </c>
      <c r="F95" s="8" t="n">
        <f aca="false">COUNTIFS(Pointage!$A$2:$A$967,$A95,Pointage!$D$2:$D$967,$B95,Pointage!$E$2:$E$967,$C95,Pointage!$Q$2:$Q$967,"P")</f>
        <v>5</v>
      </c>
      <c r="G95" s="17" t="n">
        <f aca="false">COUNTIFS(Pointage!$A$2:$A$967,$A95,Pointage!$D$2:$D$967,$B95,Pointage!$E$2:$E$967,$C95,Pointage!$Q$2:$Q$967,"A")</f>
        <v>0</v>
      </c>
      <c r="H95" s="8" t="n">
        <f aca="false">COUNTIFS(Pointage!$A$2:$A$967,$A95,Pointage!$D$2:$D$967,$B95,Pointage!$E$2:$E$967,$C95,Pointage!$Q$2:$Q$967,"NR")</f>
        <v>0</v>
      </c>
      <c r="I95" s="8" t="n">
        <f aca="false">COUNTIFS(Pointage!$A$2:$A$967,$A95,Pointage!$D$2:$D$967,$B95,Pointage!$E$2:$E$967,$C95,Pointage!$Q$2:$Q$967,"CP")</f>
        <v>0</v>
      </c>
      <c r="J95" s="8" t="n">
        <f aca="false">COUNTIFS(Pointage!$A$2:$A$967,$A95,Pointage!$D$2:$D$967,$B95,Pointage!$E$2:$E$967,$C95,Pointage!$Q$2:$Q$967,"F")</f>
        <v>0</v>
      </c>
      <c r="K95" s="8" t="n">
        <f aca="false">COUNTIFS(Pointage!$A$2:$A$967,$A95,Pointage!$D$2:$D$967,$B95,Pointage!$E$2:$E$967,$C95,Pointage!$P$2:$P$967,"&gt;0")</f>
        <v>0</v>
      </c>
      <c r="L95" s="8" t="n">
        <f aca="false">SUMIFS(Pointage!$P$2:$P$967,Pointage!$A$2:$A$967,$A95,Pointage!$D$2:$D$967,$B95,Pointage!$E$2:$E$967,$C95)</f>
        <v>0</v>
      </c>
      <c r="M95" s="11" t="n">
        <f aca="false">SUMIFS(Pointage!$L$2:$L$967,Pointage!$A$2:$A$967,$A95,Pointage!$D$2:$D$967,$B95,Pointage!$E$2:$E$967,$C95)</f>
        <v>1.83333333333333</v>
      </c>
      <c r="N95" s="11" t="n">
        <f aca="false">SUMIFS(Pointage!$M$2:$M$967,Pointage!$A$2:$A$967,$A95,Pointage!$D$2:$D$967,$B95,Pointage!$E$2:$E$967,$C95)</f>
        <v>1.83333333333333</v>
      </c>
      <c r="O95" s="10" t="n">
        <f aca="false">IFERROR(F95/(F95+G95),"")</f>
        <v>1</v>
      </c>
      <c r="P95" s="10" t="n">
        <f aca="false">IFERROR(N95/M95,"")</f>
        <v>1</v>
      </c>
    </row>
    <row r="96" customFormat="false" ht="15" hidden="false" customHeight="false" outlineLevel="0" collapsed="false">
      <c r="A96" s="7" t="s">
        <v>28</v>
      </c>
      <c r="B96" s="8" t="n">
        <v>2026</v>
      </c>
      <c r="C96" s="8" t="n">
        <v>29</v>
      </c>
      <c r="D96" s="8" t="s">
        <v>86</v>
      </c>
      <c r="E96" s="8" t="n">
        <f aca="false">F96+G96+H96</f>
        <v>4</v>
      </c>
      <c r="F96" s="8" t="n">
        <f aca="false">COUNTIFS(Pointage!$A$2:$A$967,$A96,Pointage!$D$2:$D$967,$B96,Pointage!$E$2:$E$967,$C96,Pointage!$Q$2:$Q$967,"P")</f>
        <v>4</v>
      </c>
      <c r="G96" s="17" t="n">
        <f aca="false">COUNTIFS(Pointage!$A$2:$A$967,$A96,Pointage!$D$2:$D$967,$B96,Pointage!$E$2:$E$967,$C96,Pointage!$Q$2:$Q$967,"A")</f>
        <v>0</v>
      </c>
      <c r="H96" s="8" t="n">
        <f aca="false">COUNTIFS(Pointage!$A$2:$A$967,$A96,Pointage!$D$2:$D$967,$B96,Pointage!$E$2:$E$967,$C96,Pointage!$Q$2:$Q$967,"NR")</f>
        <v>0</v>
      </c>
      <c r="I96" s="8" t="n">
        <f aca="false">COUNTIFS(Pointage!$A$2:$A$967,$A96,Pointage!$D$2:$D$967,$B96,Pointage!$E$2:$E$967,$C96,Pointage!$Q$2:$Q$967,"CP")</f>
        <v>0</v>
      </c>
      <c r="J96" s="8" t="n">
        <f aca="false">COUNTIFS(Pointage!$A$2:$A$967,$A96,Pointage!$D$2:$D$967,$B96,Pointage!$E$2:$E$967,$C96,Pointage!$Q$2:$Q$967,"F")</f>
        <v>0</v>
      </c>
      <c r="K96" s="8" t="n">
        <f aca="false">COUNTIFS(Pointage!$A$2:$A$967,$A96,Pointage!$D$2:$D$967,$B96,Pointage!$E$2:$E$967,$C96,Pointage!$P$2:$P$967,"&gt;0")</f>
        <v>0</v>
      </c>
      <c r="L96" s="8" t="n">
        <f aca="false">SUMIFS(Pointage!$P$2:$P$967,Pointage!$A$2:$A$967,$A96,Pointage!$D$2:$D$967,$B96,Pointage!$E$2:$E$967,$C96)</f>
        <v>0</v>
      </c>
      <c r="M96" s="11" t="n">
        <f aca="false">SUMIFS(Pointage!$L$2:$L$967,Pointage!$A$2:$A$967,$A96,Pointage!$D$2:$D$967,$B96,Pointage!$E$2:$E$967,$C96)</f>
        <v>1.45833333333333</v>
      </c>
      <c r="N96" s="11" t="n">
        <f aca="false">SUMIFS(Pointage!$M$2:$M$967,Pointage!$A$2:$A$967,$A96,Pointage!$D$2:$D$967,$B96,Pointage!$E$2:$E$967,$C96)</f>
        <v>1.45833333333333</v>
      </c>
      <c r="O96" s="10" t="n">
        <f aca="false">IFERROR(F96/(F96+G96),"")</f>
        <v>1</v>
      </c>
      <c r="P96" s="10" t="n">
        <f aca="false">IFERROR(N96/M96,"")</f>
        <v>1</v>
      </c>
    </row>
    <row r="97" customFormat="false" ht="15" hidden="false" customHeight="false" outlineLevel="0" collapsed="false">
      <c r="A97" s="7" t="s">
        <v>28</v>
      </c>
      <c r="B97" s="8" t="n">
        <v>2026</v>
      </c>
      <c r="C97" s="8" t="n">
        <v>30</v>
      </c>
      <c r="D97" s="8" t="s">
        <v>87</v>
      </c>
      <c r="E97" s="8" t="n">
        <f aca="false">F97+G97+H97</f>
        <v>5</v>
      </c>
      <c r="F97" s="8" t="n">
        <f aca="false">COUNTIFS(Pointage!$A$2:$A$967,$A97,Pointage!$D$2:$D$967,$B97,Pointage!$E$2:$E$967,$C97,Pointage!$Q$2:$Q$967,"P")</f>
        <v>5</v>
      </c>
      <c r="G97" s="17" t="n">
        <f aca="false">COUNTIFS(Pointage!$A$2:$A$967,$A97,Pointage!$D$2:$D$967,$B97,Pointage!$E$2:$E$967,$C97,Pointage!$Q$2:$Q$967,"A")</f>
        <v>0</v>
      </c>
      <c r="H97" s="8" t="n">
        <f aca="false">COUNTIFS(Pointage!$A$2:$A$967,$A97,Pointage!$D$2:$D$967,$B97,Pointage!$E$2:$E$967,$C97,Pointage!$Q$2:$Q$967,"NR")</f>
        <v>0</v>
      </c>
      <c r="I97" s="8" t="n">
        <f aca="false">COUNTIFS(Pointage!$A$2:$A$967,$A97,Pointage!$D$2:$D$967,$B97,Pointage!$E$2:$E$967,$C97,Pointage!$Q$2:$Q$967,"CP")</f>
        <v>0</v>
      </c>
      <c r="J97" s="8" t="n">
        <f aca="false">COUNTIFS(Pointage!$A$2:$A$967,$A97,Pointage!$D$2:$D$967,$B97,Pointage!$E$2:$E$967,$C97,Pointage!$Q$2:$Q$967,"F")</f>
        <v>0</v>
      </c>
      <c r="K97" s="8" t="n">
        <f aca="false">COUNTIFS(Pointage!$A$2:$A$967,$A97,Pointage!$D$2:$D$967,$B97,Pointage!$E$2:$E$967,$C97,Pointage!$P$2:$P$967,"&gt;0")</f>
        <v>0</v>
      </c>
      <c r="L97" s="8" t="n">
        <f aca="false">SUMIFS(Pointage!$P$2:$P$967,Pointage!$A$2:$A$967,$A97,Pointage!$D$2:$D$967,$B97,Pointage!$E$2:$E$967,$C97)</f>
        <v>0</v>
      </c>
      <c r="M97" s="11" t="n">
        <f aca="false">SUMIFS(Pointage!$L$2:$L$967,Pointage!$A$2:$A$967,$A97,Pointage!$D$2:$D$967,$B97,Pointage!$E$2:$E$967,$C97)</f>
        <v>1.83333333333333</v>
      </c>
      <c r="N97" s="11" t="n">
        <f aca="false">SUMIFS(Pointage!$M$2:$M$967,Pointage!$A$2:$A$967,$A97,Pointage!$D$2:$D$967,$B97,Pointage!$E$2:$E$967,$C97)</f>
        <v>1.83333333333333</v>
      </c>
      <c r="O97" s="10" t="n">
        <f aca="false">IFERROR(F97/(F97+G97),"")</f>
        <v>1</v>
      </c>
      <c r="P97" s="10" t="n">
        <f aca="false">IFERROR(N97/M97,"")</f>
        <v>1</v>
      </c>
    </row>
    <row r="98" customFormat="false" ht="15" hidden="false" customHeight="false" outlineLevel="0" collapsed="false">
      <c r="A98" s="7" t="s">
        <v>28</v>
      </c>
      <c r="B98" s="8" t="n">
        <v>2026</v>
      </c>
      <c r="C98" s="8" t="n">
        <v>31</v>
      </c>
      <c r="D98" s="8" t="s">
        <v>88</v>
      </c>
      <c r="E98" s="8" t="n">
        <f aca="false">F98+G98+H98</f>
        <v>5</v>
      </c>
      <c r="F98" s="8" t="n">
        <f aca="false">COUNTIFS(Pointage!$A$2:$A$967,$A98,Pointage!$D$2:$D$967,$B98,Pointage!$E$2:$E$967,$C98,Pointage!$Q$2:$Q$967,"P")</f>
        <v>5</v>
      </c>
      <c r="G98" s="17" t="n">
        <f aca="false">COUNTIFS(Pointage!$A$2:$A$967,$A98,Pointage!$D$2:$D$967,$B98,Pointage!$E$2:$E$967,$C98,Pointage!$Q$2:$Q$967,"A")</f>
        <v>0</v>
      </c>
      <c r="H98" s="8" t="n">
        <f aca="false">COUNTIFS(Pointage!$A$2:$A$967,$A98,Pointage!$D$2:$D$967,$B98,Pointage!$E$2:$E$967,$C98,Pointage!$Q$2:$Q$967,"NR")</f>
        <v>0</v>
      </c>
      <c r="I98" s="8" t="n">
        <f aca="false">COUNTIFS(Pointage!$A$2:$A$967,$A98,Pointage!$D$2:$D$967,$B98,Pointage!$E$2:$E$967,$C98,Pointage!$Q$2:$Q$967,"CP")</f>
        <v>0</v>
      </c>
      <c r="J98" s="8" t="n">
        <f aca="false">COUNTIFS(Pointage!$A$2:$A$967,$A98,Pointage!$D$2:$D$967,$B98,Pointage!$E$2:$E$967,$C98,Pointage!$Q$2:$Q$967,"F")</f>
        <v>0</v>
      </c>
      <c r="K98" s="8" t="n">
        <f aca="false">COUNTIFS(Pointage!$A$2:$A$967,$A98,Pointage!$D$2:$D$967,$B98,Pointage!$E$2:$E$967,$C98,Pointage!$P$2:$P$967,"&gt;0")</f>
        <v>0</v>
      </c>
      <c r="L98" s="8" t="n">
        <f aca="false">SUMIFS(Pointage!$P$2:$P$967,Pointage!$A$2:$A$967,$A98,Pointage!$D$2:$D$967,$B98,Pointage!$E$2:$E$967,$C98)</f>
        <v>0</v>
      </c>
      <c r="M98" s="11" t="n">
        <f aca="false">SUMIFS(Pointage!$L$2:$L$967,Pointage!$A$2:$A$967,$A98,Pointage!$D$2:$D$967,$B98,Pointage!$E$2:$E$967,$C98)</f>
        <v>1.83333333333333</v>
      </c>
      <c r="N98" s="11" t="n">
        <f aca="false">SUMIFS(Pointage!$M$2:$M$967,Pointage!$A$2:$A$967,$A98,Pointage!$D$2:$D$967,$B98,Pointage!$E$2:$E$967,$C98)</f>
        <v>1.83333333333333</v>
      </c>
      <c r="O98" s="10" t="n">
        <f aca="false">IFERROR(F98/(F98+G98),"")</f>
        <v>1</v>
      </c>
      <c r="P98" s="10" t="n">
        <f aca="false">IFERROR(N98/M98,"")</f>
        <v>1</v>
      </c>
    </row>
    <row r="99" customFormat="false" ht="15" hidden="false" customHeight="false" outlineLevel="0" collapsed="false">
      <c r="A99" s="7" t="s">
        <v>28</v>
      </c>
      <c r="B99" s="8" t="n">
        <v>2026</v>
      </c>
      <c r="C99" s="8" t="n">
        <v>32</v>
      </c>
      <c r="D99" s="8" t="s">
        <v>89</v>
      </c>
      <c r="E99" s="8" t="n">
        <f aca="false">F99+G99+H99</f>
        <v>5</v>
      </c>
      <c r="F99" s="8" t="n">
        <f aca="false">COUNTIFS(Pointage!$A$2:$A$967,$A99,Pointage!$D$2:$D$967,$B99,Pointage!$E$2:$E$967,$C99,Pointage!$Q$2:$Q$967,"P")</f>
        <v>5</v>
      </c>
      <c r="G99" s="17" t="n">
        <f aca="false">COUNTIFS(Pointage!$A$2:$A$967,$A99,Pointage!$D$2:$D$967,$B99,Pointage!$E$2:$E$967,$C99,Pointage!$Q$2:$Q$967,"A")</f>
        <v>0</v>
      </c>
      <c r="H99" s="8" t="n">
        <f aca="false">COUNTIFS(Pointage!$A$2:$A$967,$A99,Pointage!$D$2:$D$967,$B99,Pointage!$E$2:$E$967,$C99,Pointage!$Q$2:$Q$967,"NR")</f>
        <v>0</v>
      </c>
      <c r="I99" s="8" t="n">
        <f aca="false">COUNTIFS(Pointage!$A$2:$A$967,$A99,Pointage!$D$2:$D$967,$B99,Pointage!$E$2:$E$967,$C99,Pointage!$Q$2:$Q$967,"CP")</f>
        <v>0</v>
      </c>
      <c r="J99" s="8" t="n">
        <f aca="false">COUNTIFS(Pointage!$A$2:$A$967,$A99,Pointage!$D$2:$D$967,$B99,Pointage!$E$2:$E$967,$C99,Pointage!$Q$2:$Q$967,"F")</f>
        <v>0</v>
      </c>
      <c r="K99" s="8" t="n">
        <f aca="false">COUNTIFS(Pointage!$A$2:$A$967,$A99,Pointage!$D$2:$D$967,$B99,Pointage!$E$2:$E$967,$C99,Pointage!$P$2:$P$967,"&gt;0")</f>
        <v>0</v>
      </c>
      <c r="L99" s="8" t="n">
        <f aca="false">SUMIFS(Pointage!$P$2:$P$967,Pointage!$A$2:$A$967,$A99,Pointage!$D$2:$D$967,$B99,Pointage!$E$2:$E$967,$C99)</f>
        <v>0</v>
      </c>
      <c r="M99" s="11" t="n">
        <f aca="false">SUMIFS(Pointage!$L$2:$L$967,Pointage!$A$2:$A$967,$A99,Pointage!$D$2:$D$967,$B99,Pointage!$E$2:$E$967,$C99)</f>
        <v>1.83333333333333</v>
      </c>
      <c r="N99" s="11" t="n">
        <f aca="false">SUMIFS(Pointage!$M$2:$M$967,Pointage!$A$2:$A$967,$A99,Pointage!$D$2:$D$967,$B99,Pointage!$E$2:$E$967,$C99)</f>
        <v>1.83333333333333</v>
      </c>
      <c r="O99" s="10" t="n">
        <f aca="false">IFERROR(F99/(F99+G99),"")</f>
        <v>1</v>
      </c>
      <c r="P99" s="10" t="n">
        <f aca="false">IFERROR(N99/M99,"")</f>
        <v>1</v>
      </c>
    </row>
    <row r="100" customFormat="false" ht="15" hidden="false" customHeight="false" outlineLevel="0" collapsed="false">
      <c r="A100" s="7" t="s">
        <v>28</v>
      </c>
      <c r="B100" s="8" t="n">
        <v>2026</v>
      </c>
      <c r="C100" s="8" t="n">
        <v>33</v>
      </c>
      <c r="D100" s="8" t="s">
        <v>90</v>
      </c>
      <c r="E100" s="8" t="n">
        <f aca="false">F100+G100+H100</f>
        <v>5</v>
      </c>
      <c r="F100" s="8" t="n">
        <f aca="false">COUNTIFS(Pointage!$A$2:$A$967,$A100,Pointage!$D$2:$D$967,$B100,Pointage!$E$2:$E$967,$C100,Pointage!$Q$2:$Q$967,"P")</f>
        <v>5</v>
      </c>
      <c r="G100" s="17" t="n">
        <f aca="false">COUNTIFS(Pointage!$A$2:$A$967,$A100,Pointage!$D$2:$D$967,$B100,Pointage!$E$2:$E$967,$C100,Pointage!$Q$2:$Q$967,"A")</f>
        <v>0</v>
      </c>
      <c r="H100" s="8" t="n">
        <f aca="false">COUNTIFS(Pointage!$A$2:$A$967,$A100,Pointage!$D$2:$D$967,$B100,Pointage!$E$2:$E$967,$C100,Pointage!$Q$2:$Q$967,"NR")</f>
        <v>0</v>
      </c>
      <c r="I100" s="8" t="n">
        <f aca="false">COUNTIFS(Pointage!$A$2:$A$967,$A100,Pointage!$D$2:$D$967,$B100,Pointage!$E$2:$E$967,$C100,Pointage!$Q$2:$Q$967,"CP")</f>
        <v>0</v>
      </c>
      <c r="J100" s="8" t="n">
        <f aca="false">COUNTIFS(Pointage!$A$2:$A$967,$A100,Pointage!$D$2:$D$967,$B100,Pointage!$E$2:$E$967,$C100,Pointage!$Q$2:$Q$967,"F")</f>
        <v>0</v>
      </c>
      <c r="K100" s="8" t="n">
        <f aca="false">COUNTIFS(Pointage!$A$2:$A$967,$A100,Pointage!$D$2:$D$967,$B100,Pointage!$E$2:$E$967,$C100,Pointage!$P$2:$P$967,"&gt;0")</f>
        <v>0</v>
      </c>
      <c r="L100" s="8" t="n">
        <f aca="false">SUMIFS(Pointage!$P$2:$P$967,Pointage!$A$2:$A$967,$A100,Pointage!$D$2:$D$967,$B100,Pointage!$E$2:$E$967,$C100)</f>
        <v>0</v>
      </c>
      <c r="M100" s="11" t="n">
        <f aca="false">SUMIFS(Pointage!$L$2:$L$967,Pointage!$A$2:$A$967,$A100,Pointage!$D$2:$D$967,$B100,Pointage!$E$2:$E$967,$C100)</f>
        <v>1.83333333333333</v>
      </c>
      <c r="N100" s="11" t="n">
        <f aca="false">SUMIFS(Pointage!$M$2:$M$967,Pointage!$A$2:$A$967,$A100,Pointage!$D$2:$D$967,$B100,Pointage!$E$2:$E$967,$C100)</f>
        <v>1.83333333333333</v>
      </c>
      <c r="O100" s="10" t="n">
        <f aca="false">IFERROR(F100/(F100+G100),"")</f>
        <v>1</v>
      </c>
      <c r="P100" s="10" t="n">
        <f aca="false">IFERROR(N100/M100,"")</f>
        <v>1</v>
      </c>
    </row>
    <row r="101" customFormat="false" ht="15" hidden="false" customHeight="false" outlineLevel="0" collapsed="false">
      <c r="A101" s="7" t="s">
        <v>28</v>
      </c>
      <c r="B101" s="8" t="n">
        <v>2026</v>
      </c>
      <c r="C101" s="8" t="n">
        <v>34</v>
      </c>
      <c r="D101" s="8" t="s">
        <v>91</v>
      </c>
      <c r="E101" s="8" t="n">
        <f aca="false">F101+G101+H101</f>
        <v>5</v>
      </c>
      <c r="F101" s="8" t="n">
        <f aca="false">COUNTIFS(Pointage!$A$2:$A$967,$A101,Pointage!$D$2:$D$967,$B101,Pointage!$E$2:$E$967,$C101,Pointage!$Q$2:$Q$967,"P")</f>
        <v>5</v>
      </c>
      <c r="G101" s="17" t="n">
        <f aca="false">COUNTIFS(Pointage!$A$2:$A$967,$A101,Pointage!$D$2:$D$967,$B101,Pointage!$E$2:$E$967,$C101,Pointage!$Q$2:$Q$967,"A")</f>
        <v>0</v>
      </c>
      <c r="H101" s="8" t="n">
        <f aca="false">COUNTIFS(Pointage!$A$2:$A$967,$A101,Pointage!$D$2:$D$967,$B101,Pointage!$E$2:$E$967,$C101,Pointage!$Q$2:$Q$967,"NR")</f>
        <v>0</v>
      </c>
      <c r="I101" s="8" t="n">
        <f aca="false">COUNTIFS(Pointage!$A$2:$A$967,$A101,Pointage!$D$2:$D$967,$B101,Pointage!$E$2:$E$967,$C101,Pointage!$Q$2:$Q$967,"CP")</f>
        <v>0</v>
      </c>
      <c r="J101" s="8" t="n">
        <f aca="false">COUNTIFS(Pointage!$A$2:$A$967,$A101,Pointage!$D$2:$D$967,$B101,Pointage!$E$2:$E$967,$C101,Pointage!$Q$2:$Q$967,"F")</f>
        <v>0</v>
      </c>
      <c r="K101" s="8" t="n">
        <f aca="false">COUNTIFS(Pointage!$A$2:$A$967,$A101,Pointage!$D$2:$D$967,$B101,Pointage!$E$2:$E$967,$C101,Pointage!$P$2:$P$967,"&gt;0")</f>
        <v>0</v>
      </c>
      <c r="L101" s="8" t="n">
        <f aca="false">SUMIFS(Pointage!$P$2:$P$967,Pointage!$A$2:$A$967,$A101,Pointage!$D$2:$D$967,$B101,Pointage!$E$2:$E$967,$C101)</f>
        <v>0</v>
      </c>
      <c r="M101" s="11" t="n">
        <f aca="false">SUMIFS(Pointage!$L$2:$L$967,Pointage!$A$2:$A$967,$A101,Pointage!$D$2:$D$967,$B101,Pointage!$E$2:$E$967,$C101)</f>
        <v>1.83333333333333</v>
      </c>
      <c r="N101" s="11" t="n">
        <f aca="false">SUMIFS(Pointage!$M$2:$M$967,Pointage!$A$2:$A$967,$A101,Pointage!$D$2:$D$967,$B101,Pointage!$E$2:$E$967,$C101)</f>
        <v>1.83333333333333</v>
      </c>
      <c r="O101" s="10" t="n">
        <f aca="false">IFERROR(F101/(F101+G101),"")</f>
        <v>1</v>
      </c>
      <c r="P101" s="10" t="n">
        <f aca="false">IFERROR(N101/M101,"")</f>
        <v>1</v>
      </c>
    </row>
    <row r="102" customFormat="false" ht="15" hidden="false" customHeight="false" outlineLevel="0" collapsed="false">
      <c r="A102" s="7" t="s">
        <v>28</v>
      </c>
      <c r="B102" s="8" t="n">
        <v>2026</v>
      </c>
      <c r="C102" s="8" t="n">
        <v>35</v>
      </c>
      <c r="D102" s="8" t="s">
        <v>92</v>
      </c>
      <c r="E102" s="8" t="n">
        <f aca="false">F102+G102+H102</f>
        <v>5</v>
      </c>
      <c r="F102" s="8" t="n">
        <f aca="false">COUNTIFS(Pointage!$A$2:$A$967,$A102,Pointage!$D$2:$D$967,$B102,Pointage!$E$2:$E$967,$C102,Pointage!$Q$2:$Q$967,"P")</f>
        <v>5</v>
      </c>
      <c r="G102" s="17" t="n">
        <f aca="false">COUNTIFS(Pointage!$A$2:$A$967,$A102,Pointage!$D$2:$D$967,$B102,Pointage!$E$2:$E$967,$C102,Pointage!$Q$2:$Q$967,"A")</f>
        <v>0</v>
      </c>
      <c r="H102" s="8" t="n">
        <f aca="false">COUNTIFS(Pointage!$A$2:$A$967,$A102,Pointage!$D$2:$D$967,$B102,Pointage!$E$2:$E$967,$C102,Pointage!$Q$2:$Q$967,"NR")</f>
        <v>0</v>
      </c>
      <c r="I102" s="8" t="n">
        <f aca="false">COUNTIFS(Pointage!$A$2:$A$967,$A102,Pointage!$D$2:$D$967,$B102,Pointage!$E$2:$E$967,$C102,Pointage!$Q$2:$Q$967,"CP")</f>
        <v>0</v>
      </c>
      <c r="J102" s="8" t="n">
        <f aca="false">COUNTIFS(Pointage!$A$2:$A$967,$A102,Pointage!$D$2:$D$967,$B102,Pointage!$E$2:$E$967,$C102,Pointage!$Q$2:$Q$967,"F")</f>
        <v>0</v>
      </c>
      <c r="K102" s="8" t="n">
        <f aca="false">COUNTIFS(Pointage!$A$2:$A$967,$A102,Pointage!$D$2:$D$967,$B102,Pointage!$E$2:$E$967,$C102,Pointage!$P$2:$P$967,"&gt;0")</f>
        <v>0</v>
      </c>
      <c r="L102" s="8" t="n">
        <f aca="false">SUMIFS(Pointage!$P$2:$P$967,Pointage!$A$2:$A$967,$A102,Pointage!$D$2:$D$967,$B102,Pointage!$E$2:$E$967,$C102)</f>
        <v>0</v>
      </c>
      <c r="M102" s="11" t="n">
        <f aca="false">SUMIFS(Pointage!$L$2:$L$967,Pointage!$A$2:$A$967,$A102,Pointage!$D$2:$D$967,$B102,Pointage!$E$2:$E$967,$C102)</f>
        <v>1.83333333333333</v>
      </c>
      <c r="N102" s="11" t="n">
        <f aca="false">SUMIFS(Pointage!$M$2:$M$967,Pointage!$A$2:$A$967,$A102,Pointage!$D$2:$D$967,$B102,Pointage!$E$2:$E$967,$C102)</f>
        <v>1.83333333333333</v>
      </c>
      <c r="O102" s="10" t="n">
        <f aca="false">IFERROR(F102/(F102+G102),"")</f>
        <v>1</v>
      </c>
      <c r="P102" s="10" t="n">
        <f aca="false">IFERROR(N102/M102,"")</f>
        <v>1</v>
      </c>
    </row>
    <row r="103" customFormat="false" ht="15" hidden="false" customHeight="false" outlineLevel="0" collapsed="false">
      <c r="A103" s="7" t="s">
        <v>28</v>
      </c>
      <c r="B103" s="8" t="n">
        <v>2026</v>
      </c>
      <c r="C103" s="8" t="n">
        <v>36</v>
      </c>
      <c r="D103" s="8" t="s">
        <v>93</v>
      </c>
      <c r="E103" s="8" t="n">
        <f aca="false">F103+G103+H103</f>
        <v>0</v>
      </c>
      <c r="F103" s="8" t="n">
        <f aca="false">COUNTIFS(Pointage!$A$2:$A$967,$A103,Pointage!$D$2:$D$967,$B103,Pointage!$E$2:$E$967,$C103,Pointage!$Q$2:$Q$967,"P")</f>
        <v>0</v>
      </c>
      <c r="G103" s="17" t="n">
        <f aca="false">COUNTIFS(Pointage!$A$2:$A$967,$A103,Pointage!$D$2:$D$967,$B103,Pointage!$E$2:$E$967,$C103,Pointage!$Q$2:$Q$967,"A")</f>
        <v>0</v>
      </c>
      <c r="H103" s="8" t="n">
        <f aca="false">COUNTIFS(Pointage!$A$2:$A$967,$A103,Pointage!$D$2:$D$967,$B103,Pointage!$E$2:$E$967,$C103,Pointage!$Q$2:$Q$967,"NR")</f>
        <v>0</v>
      </c>
      <c r="I103" s="8" t="n">
        <f aca="false">COUNTIFS(Pointage!$A$2:$A$967,$A103,Pointage!$D$2:$D$967,$B103,Pointage!$E$2:$E$967,$C103,Pointage!$Q$2:$Q$967,"CP")</f>
        <v>5</v>
      </c>
      <c r="J103" s="8" t="n">
        <f aca="false">COUNTIFS(Pointage!$A$2:$A$967,$A103,Pointage!$D$2:$D$967,$B103,Pointage!$E$2:$E$967,$C103,Pointage!$Q$2:$Q$967,"F")</f>
        <v>0</v>
      </c>
      <c r="K103" s="8" t="n">
        <f aca="false">COUNTIFS(Pointage!$A$2:$A$967,$A103,Pointage!$D$2:$D$967,$B103,Pointage!$E$2:$E$967,$C103,Pointage!$P$2:$P$967,"&gt;0")</f>
        <v>0</v>
      </c>
      <c r="L103" s="8" t="n">
        <f aca="false">SUMIFS(Pointage!$P$2:$P$967,Pointage!$A$2:$A$967,$A103,Pointage!$D$2:$D$967,$B103,Pointage!$E$2:$E$967,$C103)</f>
        <v>0</v>
      </c>
      <c r="M103" s="11" t="n">
        <f aca="false">SUMIFS(Pointage!$L$2:$L$967,Pointage!$A$2:$A$967,$A103,Pointage!$D$2:$D$967,$B103,Pointage!$E$2:$E$967,$C103)</f>
        <v>0</v>
      </c>
      <c r="N103" s="11" t="n">
        <f aca="false">SUMIFS(Pointage!$M$2:$M$967,Pointage!$A$2:$A$967,$A103,Pointage!$D$2:$D$967,$B103,Pointage!$E$2:$E$967,$C103)</f>
        <v>0</v>
      </c>
      <c r="O103" s="10" t="str">
        <f aca="false">IFERROR(F103/(F103+G103),"")</f>
        <v/>
      </c>
      <c r="P103" s="10" t="str">
        <f aca="false">IFERROR(N103/M103,"")</f>
        <v/>
      </c>
    </row>
    <row r="104" customFormat="false" ht="15" hidden="false" customHeight="false" outlineLevel="0" collapsed="false">
      <c r="A104" s="7" t="s">
        <v>28</v>
      </c>
      <c r="B104" s="8" t="n">
        <v>2026</v>
      </c>
      <c r="C104" s="8" t="n">
        <v>37</v>
      </c>
      <c r="D104" s="8" t="s">
        <v>94</v>
      </c>
      <c r="E104" s="8" t="n">
        <f aca="false">F104+G104+H104</f>
        <v>5</v>
      </c>
      <c r="F104" s="8" t="n">
        <f aca="false">COUNTIFS(Pointage!$A$2:$A$967,$A104,Pointage!$D$2:$D$967,$B104,Pointage!$E$2:$E$967,$C104,Pointage!$Q$2:$Q$967,"P")</f>
        <v>5</v>
      </c>
      <c r="G104" s="17" t="n">
        <f aca="false">COUNTIFS(Pointage!$A$2:$A$967,$A104,Pointage!$D$2:$D$967,$B104,Pointage!$E$2:$E$967,$C104,Pointage!$Q$2:$Q$967,"A")</f>
        <v>0</v>
      </c>
      <c r="H104" s="8" t="n">
        <f aca="false">COUNTIFS(Pointage!$A$2:$A$967,$A104,Pointage!$D$2:$D$967,$B104,Pointage!$E$2:$E$967,$C104,Pointage!$Q$2:$Q$967,"NR")</f>
        <v>0</v>
      </c>
      <c r="I104" s="8" t="n">
        <f aca="false">COUNTIFS(Pointage!$A$2:$A$967,$A104,Pointage!$D$2:$D$967,$B104,Pointage!$E$2:$E$967,$C104,Pointage!$Q$2:$Q$967,"CP")</f>
        <v>0</v>
      </c>
      <c r="J104" s="8" t="n">
        <f aca="false">COUNTIFS(Pointage!$A$2:$A$967,$A104,Pointage!$D$2:$D$967,$B104,Pointage!$E$2:$E$967,$C104,Pointage!$Q$2:$Q$967,"F")</f>
        <v>0</v>
      </c>
      <c r="K104" s="8" t="n">
        <f aca="false">COUNTIFS(Pointage!$A$2:$A$967,$A104,Pointage!$D$2:$D$967,$B104,Pointage!$E$2:$E$967,$C104,Pointage!$P$2:$P$967,"&gt;0")</f>
        <v>0</v>
      </c>
      <c r="L104" s="8" t="n">
        <f aca="false">SUMIFS(Pointage!$P$2:$P$967,Pointage!$A$2:$A$967,$A104,Pointage!$D$2:$D$967,$B104,Pointage!$E$2:$E$967,$C104)</f>
        <v>0</v>
      </c>
      <c r="M104" s="11" t="n">
        <f aca="false">SUMIFS(Pointage!$L$2:$L$967,Pointage!$A$2:$A$967,$A104,Pointage!$D$2:$D$967,$B104,Pointage!$E$2:$E$967,$C104)</f>
        <v>1.83333333333333</v>
      </c>
      <c r="N104" s="11" t="n">
        <f aca="false">SUMIFS(Pointage!$M$2:$M$967,Pointage!$A$2:$A$967,$A104,Pointage!$D$2:$D$967,$B104,Pointage!$E$2:$E$967,$C104)</f>
        <v>1.83333333333333</v>
      </c>
      <c r="O104" s="10" t="n">
        <f aca="false">IFERROR(F104/(F104+G104),"")</f>
        <v>1</v>
      </c>
      <c r="P104" s="10" t="n">
        <f aca="false">IFERROR(N104/M104,"")</f>
        <v>1</v>
      </c>
    </row>
    <row r="105" customFormat="false" ht="15" hidden="false" customHeight="false" outlineLevel="0" collapsed="false">
      <c r="A105" s="7" t="s">
        <v>28</v>
      </c>
      <c r="B105" s="8" t="n">
        <v>2026</v>
      </c>
      <c r="C105" s="8" t="n">
        <v>38</v>
      </c>
      <c r="D105" s="8" t="s">
        <v>95</v>
      </c>
      <c r="E105" s="8" t="n">
        <f aca="false">F105+G105+H105</f>
        <v>5</v>
      </c>
      <c r="F105" s="8" t="n">
        <f aca="false">COUNTIFS(Pointage!$A$2:$A$967,$A105,Pointage!$D$2:$D$967,$B105,Pointage!$E$2:$E$967,$C105,Pointage!$Q$2:$Q$967,"P")</f>
        <v>5</v>
      </c>
      <c r="G105" s="17" t="n">
        <f aca="false">COUNTIFS(Pointage!$A$2:$A$967,$A105,Pointage!$D$2:$D$967,$B105,Pointage!$E$2:$E$967,$C105,Pointage!$Q$2:$Q$967,"A")</f>
        <v>0</v>
      </c>
      <c r="H105" s="8" t="n">
        <f aca="false">COUNTIFS(Pointage!$A$2:$A$967,$A105,Pointage!$D$2:$D$967,$B105,Pointage!$E$2:$E$967,$C105,Pointage!$Q$2:$Q$967,"NR")</f>
        <v>0</v>
      </c>
      <c r="I105" s="8" t="n">
        <f aca="false">COUNTIFS(Pointage!$A$2:$A$967,$A105,Pointage!$D$2:$D$967,$B105,Pointage!$E$2:$E$967,$C105,Pointage!$Q$2:$Q$967,"CP")</f>
        <v>0</v>
      </c>
      <c r="J105" s="8" t="n">
        <f aca="false">COUNTIFS(Pointage!$A$2:$A$967,$A105,Pointage!$D$2:$D$967,$B105,Pointage!$E$2:$E$967,$C105,Pointage!$Q$2:$Q$967,"F")</f>
        <v>0</v>
      </c>
      <c r="K105" s="8" t="n">
        <f aca="false">COUNTIFS(Pointage!$A$2:$A$967,$A105,Pointage!$D$2:$D$967,$B105,Pointage!$E$2:$E$967,$C105,Pointage!$P$2:$P$967,"&gt;0")</f>
        <v>0</v>
      </c>
      <c r="L105" s="8" t="n">
        <f aca="false">SUMIFS(Pointage!$P$2:$P$967,Pointage!$A$2:$A$967,$A105,Pointage!$D$2:$D$967,$B105,Pointage!$E$2:$E$967,$C105)</f>
        <v>0</v>
      </c>
      <c r="M105" s="11" t="n">
        <f aca="false">SUMIFS(Pointage!$L$2:$L$967,Pointage!$A$2:$A$967,$A105,Pointage!$D$2:$D$967,$B105,Pointage!$E$2:$E$967,$C105)</f>
        <v>1.83333333333333</v>
      </c>
      <c r="N105" s="11" t="n">
        <f aca="false">SUMIFS(Pointage!$M$2:$M$967,Pointage!$A$2:$A$967,$A105,Pointage!$D$2:$D$967,$B105,Pointage!$E$2:$E$967,$C105)</f>
        <v>1.83333333333333</v>
      </c>
      <c r="O105" s="10" t="n">
        <f aca="false">IFERROR(F105/(F105+G105),"")</f>
        <v>1</v>
      </c>
      <c r="P105" s="10" t="n">
        <f aca="false">IFERROR(N105/M105,"")</f>
        <v>1</v>
      </c>
    </row>
    <row r="106" customFormat="false" ht="15" hidden="false" customHeight="false" outlineLevel="0" collapsed="false">
      <c r="A106" s="7" t="s">
        <v>28</v>
      </c>
      <c r="B106" s="8" t="n">
        <v>2026</v>
      </c>
      <c r="C106" s="8" t="n">
        <v>39</v>
      </c>
      <c r="D106" s="8" t="s">
        <v>96</v>
      </c>
      <c r="E106" s="8" t="n">
        <f aca="false">F106+G106+H106</f>
        <v>5</v>
      </c>
      <c r="F106" s="8" t="n">
        <f aca="false">COUNTIFS(Pointage!$A$2:$A$967,$A106,Pointage!$D$2:$D$967,$B106,Pointage!$E$2:$E$967,$C106,Pointage!$Q$2:$Q$967,"P")</f>
        <v>5</v>
      </c>
      <c r="G106" s="17" t="n">
        <f aca="false">COUNTIFS(Pointage!$A$2:$A$967,$A106,Pointage!$D$2:$D$967,$B106,Pointage!$E$2:$E$967,$C106,Pointage!$Q$2:$Q$967,"A")</f>
        <v>0</v>
      </c>
      <c r="H106" s="8" t="n">
        <f aca="false">COUNTIFS(Pointage!$A$2:$A$967,$A106,Pointage!$D$2:$D$967,$B106,Pointage!$E$2:$E$967,$C106,Pointage!$Q$2:$Q$967,"NR")</f>
        <v>0</v>
      </c>
      <c r="I106" s="8" t="n">
        <f aca="false">COUNTIFS(Pointage!$A$2:$A$967,$A106,Pointage!$D$2:$D$967,$B106,Pointage!$E$2:$E$967,$C106,Pointage!$Q$2:$Q$967,"CP")</f>
        <v>0</v>
      </c>
      <c r="J106" s="8" t="n">
        <f aca="false">COUNTIFS(Pointage!$A$2:$A$967,$A106,Pointage!$D$2:$D$967,$B106,Pointage!$E$2:$E$967,$C106,Pointage!$Q$2:$Q$967,"F")</f>
        <v>0</v>
      </c>
      <c r="K106" s="8" t="n">
        <f aca="false">COUNTIFS(Pointage!$A$2:$A$967,$A106,Pointage!$D$2:$D$967,$B106,Pointage!$E$2:$E$967,$C106,Pointage!$P$2:$P$967,"&gt;0")</f>
        <v>0</v>
      </c>
      <c r="L106" s="8" t="n">
        <f aca="false">SUMIFS(Pointage!$P$2:$P$967,Pointage!$A$2:$A$967,$A106,Pointage!$D$2:$D$967,$B106,Pointage!$E$2:$E$967,$C106)</f>
        <v>0</v>
      </c>
      <c r="M106" s="11" t="n">
        <f aca="false">SUMIFS(Pointage!$L$2:$L$967,Pointage!$A$2:$A$967,$A106,Pointage!$D$2:$D$967,$B106,Pointage!$E$2:$E$967,$C106)</f>
        <v>1.83333333333333</v>
      </c>
      <c r="N106" s="11" t="n">
        <f aca="false">SUMIFS(Pointage!$M$2:$M$967,Pointage!$A$2:$A$967,$A106,Pointage!$D$2:$D$967,$B106,Pointage!$E$2:$E$967,$C106)</f>
        <v>1.83333333333333</v>
      </c>
      <c r="O106" s="10" t="n">
        <f aca="false">IFERROR(F106/(F106+G106),"")</f>
        <v>1</v>
      </c>
      <c r="P106" s="10" t="n">
        <f aca="false">IFERROR(N106/M106,"")</f>
        <v>1</v>
      </c>
    </row>
    <row r="107" customFormat="false" ht="15" hidden="false" customHeight="false" outlineLevel="0" collapsed="false">
      <c r="A107" s="7" t="s">
        <v>28</v>
      </c>
      <c r="B107" s="8" t="n">
        <v>2026</v>
      </c>
      <c r="C107" s="8" t="n">
        <v>40</v>
      </c>
      <c r="D107" s="8" t="s">
        <v>97</v>
      </c>
      <c r="E107" s="8" t="n">
        <f aca="false">F107+G107+H107</f>
        <v>5</v>
      </c>
      <c r="F107" s="8" t="n">
        <f aca="false">COUNTIFS(Pointage!$A$2:$A$967,$A107,Pointage!$D$2:$D$967,$B107,Pointage!$E$2:$E$967,$C107,Pointage!$Q$2:$Q$967,"P")</f>
        <v>5</v>
      </c>
      <c r="G107" s="17" t="n">
        <f aca="false">COUNTIFS(Pointage!$A$2:$A$967,$A107,Pointage!$D$2:$D$967,$B107,Pointage!$E$2:$E$967,$C107,Pointage!$Q$2:$Q$967,"A")</f>
        <v>0</v>
      </c>
      <c r="H107" s="8" t="n">
        <f aca="false">COUNTIFS(Pointage!$A$2:$A$967,$A107,Pointage!$D$2:$D$967,$B107,Pointage!$E$2:$E$967,$C107,Pointage!$Q$2:$Q$967,"NR")</f>
        <v>0</v>
      </c>
      <c r="I107" s="8" t="n">
        <f aca="false">COUNTIFS(Pointage!$A$2:$A$967,$A107,Pointage!$D$2:$D$967,$B107,Pointage!$E$2:$E$967,$C107,Pointage!$Q$2:$Q$967,"CP")</f>
        <v>0</v>
      </c>
      <c r="J107" s="8" t="n">
        <f aca="false">COUNTIFS(Pointage!$A$2:$A$967,$A107,Pointage!$D$2:$D$967,$B107,Pointage!$E$2:$E$967,$C107,Pointage!$Q$2:$Q$967,"F")</f>
        <v>0</v>
      </c>
      <c r="K107" s="8" t="n">
        <f aca="false">COUNTIFS(Pointage!$A$2:$A$967,$A107,Pointage!$D$2:$D$967,$B107,Pointage!$E$2:$E$967,$C107,Pointage!$P$2:$P$967,"&gt;0")</f>
        <v>0</v>
      </c>
      <c r="L107" s="8" t="n">
        <f aca="false">SUMIFS(Pointage!$P$2:$P$967,Pointage!$A$2:$A$967,$A107,Pointage!$D$2:$D$967,$B107,Pointage!$E$2:$E$967,$C107)</f>
        <v>0</v>
      </c>
      <c r="M107" s="11" t="n">
        <f aca="false">SUMIFS(Pointage!$L$2:$L$967,Pointage!$A$2:$A$967,$A107,Pointage!$D$2:$D$967,$B107,Pointage!$E$2:$E$967,$C107)</f>
        <v>1.83333333333333</v>
      </c>
      <c r="N107" s="11" t="n">
        <f aca="false">SUMIFS(Pointage!$M$2:$M$967,Pointage!$A$2:$A$967,$A107,Pointage!$D$2:$D$967,$B107,Pointage!$E$2:$E$967,$C107)</f>
        <v>1.83333333333333</v>
      </c>
      <c r="O107" s="10" t="n">
        <f aca="false">IFERROR(F107/(F107+G107),"")</f>
        <v>1</v>
      </c>
      <c r="P107" s="10" t="n">
        <f aca="false">IFERROR(N107/M107,"")</f>
        <v>1</v>
      </c>
    </row>
    <row r="108" customFormat="false" ht="15" hidden="false" customHeight="false" outlineLevel="0" collapsed="false">
      <c r="A108" s="7" t="s">
        <v>28</v>
      </c>
      <c r="B108" s="8" t="n">
        <v>2026</v>
      </c>
      <c r="C108" s="8" t="n">
        <v>41</v>
      </c>
      <c r="D108" s="8" t="s">
        <v>98</v>
      </c>
      <c r="E108" s="8" t="n">
        <f aca="false">F108+G108+H108</f>
        <v>5</v>
      </c>
      <c r="F108" s="8" t="n">
        <f aca="false">COUNTIFS(Pointage!$A$2:$A$967,$A108,Pointage!$D$2:$D$967,$B108,Pointage!$E$2:$E$967,$C108,Pointage!$Q$2:$Q$967,"P")</f>
        <v>5</v>
      </c>
      <c r="G108" s="17" t="n">
        <f aca="false">COUNTIFS(Pointage!$A$2:$A$967,$A108,Pointage!$D$2:$D$967,$B108,Pointage!$E$2:$E$967,$C108,Pointage!$Q$2:$Q$967,"A")</f>
        <v>0</v>
      </c>
      <c r="H108" s="8" t="n">
        <f aca="false">COUNTIFS(Pointage!$A$2:$A$967,$A108,Pointage!$D$2:$D$967,$B108,Pointage!$E$2:$E$967,$C108,Pointage!$Q$2:$Q$967,"NR")</f>
        <v>0</v>
      </c>
      <c r="I108" s="8" t="n">
        <f aca="false">COUNTIFS(Pointage!$A$2:$A$967,$A108,Pointage!$D$2:$D$967,$B108,Pointage!$E$2:$E$967,$C108,Pointage!$Q$2:$Q$967,"CP")</f>
        <v>0</v>
      </c>
      <c r="J108" s="8" t="n">
        <f aca="false">COUNTIFS(Pointage!$A$2:$A$967,$A108,Pointage!$D$2:$D$967,$B108,Pointage!$E$2:$E$967,$C108,Pointage!$Q$2:$Q$967,"F")</f>
        <v>0</v>
      </c>
      <c r="K108" s="8" t="n">
        <f aca="false">COUNTIFS(Pointage!$A$2:$A$967,$A108,Pointage!$D$2:$D$967,$B108,Pointage!$E$2:$E$967,$C108,Pointage!$P$2:$P$967,"&gt;0")</f>
        <v>0</v>
      </c>
      <c r="L108" s="8" t="n">
        <f aca="false">SUMIFS(Pointage!$P$2:$P$967,Pointage!$A$2:$A$967,$A108,Pointage!$D$2:$D$967,$B108,Pointage!$E$2:$E$967,$C108)</f>
        <v>0</v>
      </c>
      <c r="M108" s="11" t="n">
        <f aca="false">SUMIFS(Pointage!$L$2:$L$967,Pointage!$A$2:$A$967,$A108,Pointage!$D$2:$D$967,$B108,Pointage!$E$2:$E$967,$C108)</f>
        <v>1.83333333333333</v>
      </c>
      <c r="N108" s="11" t="n">
        <f aca="false">SUMIFS(Pointage!$M$2:$M$967,Pointage!$A$2:$A$967,$A108,Pointage!$D$2:$D$967,$B108,Pointage!$E$2:$E$967,$C108)</f>
        <v>1.83333333333333</v>
      </c>
      <c r="O108" s="10" t="n">
        <f aca="false">IFERROR(F108/(F108+G108),"")</f>
        <v>1</v>
      </c>
      <c r="P108" s="10" t="n">
        <f aca="false">IFERROR(N108/M108,"")</f>
        <v>1</v>
      </c>
    </row>
    <row r="109" customFormat="false" ht="15" hidden="false" customHeight="false" outlineLevel="0" collapsed="false">
      <c r="A109" s="7" t="s">
        <v>30</v>
      </c>
      <c r="B109" s="8" t="n">
        <v>2025</v>
      </c>
      <c r="C109" s="8" t="n">
        <v>51</v>
      </c>
      <c r="D109" s="8" t="s">
        <v>56</v>
      </c>
      <c r="E109" s="8" t="n">
        <f aca="false">F109+G109+H109</f>
        <v>0</v>
      </c>
      <c r="F109" s="8" t="n">
        <f aca="false">COUNTIFS(Pointage!$A$2:$A$967,$A109,Pointage!$D$2:$D$967,$B109,Pointage!$E$2:$E$967,$C109,Pointage!$Q$2:$Q$967,"P")</f>
        <v>0</v>
      </c>
      <c r="G109" s="17" t="n">
        <f aca="false">COUNTIFS(Pointage!$A$2:$A$967,$A109,Pointage!$D$2:$D$967,$B109,Pointage!$E$2:$E$967,$C109,Pointage!$Q$2:$Q$967,"A")</f>
        <v>0</v>
      </c>
      <c r="H109" s="8" t="n">
        <f aca="false">COUNTIFS(Pointage!$A$2:$A$967,$A109,Pointage!$D$2:$D$967,$B109,Pointage!$E$2:$E$967,$C109,Pointage!$Q$2:$Q$967,"NR")</f>
        <v>0</v>
      </c>
      <c r="I109" s="8" t="n">
        <f aca="false">COUNTIFS(Pointage!$A$2:$A$967,$A109,Pointage!$D$2:$D$967,$B109,Pointage!$E$2:$E$967,$C109,Pointage!$Q$2:$Q$967,"CP")</f>
        <v>0</v>
      </c>
      <c r="J109" s="8" t="n">
        <f aca="false">COUNTIFS(Pointage!$A$2:$A$967,$A109,Pointage!$D$2:$D$967,$B109,Pointage!$E$2:$E$967,$C109,Pointage!$Q$2:$Q$967,"F")</f>
        <v>0</v>
      </c>
      <c r="K109" s="8" t="n">
        <f aca="false">COUNTIFS(Pointage!$A$2:$A$967,$A109,Pointage!$D$2:$D$967,$B109,Pointage!$E$2:$E$967,$C109,Pointage!$P$2:$P$967,"&gt;0")</f>
        <v>0</v>
      </c>
      <c r="L109" s="8" t="n">
        <f aca="false">SUMIFS(Pointage!$P$2:$P$967,Pointage!$A$2:$A$967,$A109,Pointage!$D$2:$D$967,$B109,Pointage!$E$2:$E$967,$C109)</f>
        <v>0</v>
      </c>
      <c r="M109" s="11" t="n">
        <f aca="false">SUMIFS(Pointage!$L$2:$L$967,Pointage!$A$2:$A$967,$A109,Pointage!$D$2:$D$967,$B109,Pointage!$E$2:$E$967,$C109)</f>
        <v>0</v>
      </c>
      <c r="N109" s="11" t="n">
        <f aca="false">SUMIFS(Pointage!$M$2:$M$967,Pointage!$A$2:$A$967,$A109,Pointage!$D$2:$D$967,$B109,Pointage!$E$2:$E$967,$C109)</f>
        <v>0</v>
      </c>
      <c r="O109" s="10" t="str">
        <f aca="false">IFERROR(F109/(F109+G109),"")</f>
        <v/>
      </c>
      <c r="P109" s="10" t="str">
        <f aca="false">IFERROR(N109/M109,"")</f>
        <v/>
      </c>
    </row>
    <row r="110" customFormat="false" ht="15" hidden="false" customHeight="false" outlineLevel="0" collapsed="false">
      <c r="A110" s="7" t="s">
        <v>30</v>
      </c>
      <c r="B110" s="8" t="n">
        <v>2025</v>
      </c>
      <c r="C110" s="8" t="n">
        <v>52</v>
      </c>
      <c r="D110" s="8" t="s">
        <v>57</v>
      </c>
      <c r="E110" s="8" t="n">
        <f aca="false">F110+G110+H110</f>
        <v>4</v>
      </c>
      <c r="F110" s="8" t="n">
        <f aca="false">COUNTIFS(Pointage!$A$2:$A$967,$A110,Pointage!$D$2:$D$967,$B110,Pointage!$E$2:$E$967,$C110,Pointage!$Q$2:$Q$967,"P")</f>
        <v>4</v>
      </c>
      <c r="G110" s="17" t="n">
        <f aca="false">COUNTIFS(Pointage!$A$2:$A$967,$A110,Pointage!$D$2:$D$967,$B110,Pointage!$E$2:$E$967,$C110,Pointage!$Q$2:$Q$967,"A")</f>
        <v>0</v>
      </c>
      <c r="H110" s="8" t="n">
        <f aca="false">COUNTIFS(Pointage!$A$2:$A$967,$A110,Pointage!$D$2:$D$967,$B110,Pointage!$E$2:$E$967,$C110,Pointage!$Q$2:$Q$967,"NR")</f>
        <v>0</v>
      </c>
      <c r="I110" s="8" t="n">
        <f aca="false">COUNTIFS(Pointage!$A$2:$A$967,$A110,Pointage!$D$2:$D$967,$B110,Pointage!$E$2:$E$967,$C110,Pointage!$Q$2:$Q$967,"CP")</f>
        <v>0</v>
      </c>
      <c r="J110" s="8" t="n">
        <f aca="false">COUNTIFS(Pointage!$A$2:$A$967,$A110,Pointage!$D$2:$D$967,$B110,Pointage!$E$2:$E$967,$C110,Pointage!$Q$2:$Q$967,"F")</f>
        <v>0</v>
      </c>
      <c r="K110" s="8" t="n">
        <f aca="false">COUNTIFS(Pointage!$A$2:$A$967,$A110,Pointage!$D$2:$D$967,$B110,Pointage!$E$2:$E$967,$C110,Pointage!$P$2:$P$967,"&gt;0")</f>
        <v>0</v>
      </c>
      <c r="L110" s="8" t="n">
        <f aca="false">SUMIFS(Pointage!$P$2:$P$967,Pointage!$A$2:$A$967,$A110,Pointage!$D$2:$D$967,$B110,Pointage!$E$2:$E$967,$C110)</f>
        <v>0</v>
      </c>
      <c r="M110" s="11" t="n">
        <f aca="false">SUMIFS(Pointage!$L$2:$L$967,Pointage!$A$2:$A$967,$A110,Pointage!$D$2:$D$967,$B110,Pointage!$E$2:$E$967,$C110)</f>
        <v>1.45833333333333</v>
      </c>
      <c r="N110" s="11" t="n">
        <f aca="false">SUMIFS(Pointage!$M$2:$M$967,Pointage!$A$2:$A$967,$A110,Pointage!$D$2:$D$967,$B110,Pointage!$E$2:$E$967,$C110)</f>
        <v>1.45833333333333</v>
      </c>
      <c r="O110" s="10" t="n">
        <f aca="false">IFERROR(F110/(F110+G110),"")</f>
        <v>1</v>
      </c>
      <c r="P110" s="10" t="n">
        <f aca="false">IFERROR(N110/M110,"")</f>
        <v>1</v>
      </c>
    </row>
    <row r="111" customFormat="false" ht="15" hidden="false" customHeight="false" outlineLevel="0" collapsed="false">
      <c r="A111" s="7" t="s">
        <v>30</v>
      </c>
      <c r="B111" s="8" t="n">
        <v>2026</v>
      </c>
      <c r="C111" s="8" t="n">
        <v>1</v>
      </c>
      <c r="D111" s="8" t="s">
        <v>58</v>
      </c>
      <c r="E111" s="8" t="n">
        <f aca="false">F111+G111+H111</f>
        <v>4</v>
      </c>
      <c r="F111" s="8" t="n">
        <f aca="false">COUNTIFS(Pointage!$A$2:$A$967,$A111,Pointage!$D$2:$D$967,$B111,Pointage!$E$2:$E$967,$C111,Pointage!$Q$2:$Q$967,"P")</f>
        <v>4</v>
      </c>
      <c r="G111" s="17" t="n">
        <f aca="false">COUNTIFS(Pointage!$A$2:$A$967,$A111,Pointage!$D$2:$D$967,$B111,Pointage!$E$2:$E$967,$C111,Pointage!$Q$2:$Q$967,"A")</f>
        <v>0</v>
      </c>
      <c r="H111" s="8" t="n">
        <f aca="false">COUNTIFS(Pointage!$A$2:$A$967,$A111,Pointage!$D$2:$D$967,$B111,Pointage!$E$2:$E$967,$C111,Pointage!$Q$2:$Q$967,"NR")</f>
        <v>0</v>
      </c>
      <c r="I111" s="8" t="n">
        <f aca="false">COUNTIFS(Pointage!$A$2:$A$967,$A111,Pointage!$D$2:$D$967,$B111,Pointage!$E$2:$E$967,$C111,Pointage!$Q$2:$Q$967,"CP")</f>
        <v>0</v>
      </c>
      <c r="J111" s="8" t="n">
        <f aca="false">COUNTIFS(Pointage!$A$2:$A$967,$A111,Pointage!$D$2:$D$967,$B111,Pointage!$E$2:$E$967,$C111,Pointage!$Q$2:$Q$967,"F")</f>
        <v>1</v>
      </c>
      <c r="K111" s="8" t="n">
        <f aca="false">COUNTIFS(Pointage!$A$2:$A$967,$A111,Pointage!$D$2:$D$967,$B111,Pointage!$E$2:$E$967,$C111,Pointage!$P$2:$P$967,"&gt;0")</f>
        <v>0</v>
      </c>
      <c r="L111" s="8" t="n">
        <f aca="false">SUMIFS(Pointage!$P$2:$P$967,Pointage!$A$2:$A$967,$A111,Pointage!$D$2:$D$967,$B111,Pointage!$E$2:$E$967,$C111)</f>
        <v>0</v>
      </c>
      <c r="M111" s="11" t="n">
        <f aca="false">SUMIFS(Pointage!$L$2:$L$967,Pointage!$A$2:$A$967,$A111,Pointage!$D$2:$D$967,$B111,Pointage!$E$2:$E$967,$C111)</f>
        <v>1.45833333333333</v>
      </c>
      <c r="N111" s="11" t="n">
        <f aca="false">SUMIFS(Pointage!$M$2:$M$967,Pointage!$A$2:$A$967,$A111,Pointage!$D$2:$D$967,$B111,Pointage!$E$2:$E$967,$C111)</f>
        <v>1.45833333333333</v>
      </c>
      <c r="O111" s="10" t="n">
        <f aca="false">IFERROR(F111/(F111+G111),"")</f>
        <v>1</v>
      </c>
      <c r="P111" s="10" t="n">
        <f aca="false">IFERROR(N111/M111,"")</f>
        <v>1</v>
      </c>
    </row>
    <row r="112" customFormat="false" ht="15" hidden="false" customHeight="false" outlineLevel="0" collapsed="false">
      <c r="A112" s="7" t="s">
        <v>30</v>
      </c>
      <c r="B112" s="8" t="n">
        <v>2026</v>
      </c>
      <c r="C112" s="8" t="n">
        <v>2</v>
      </c>
      <c r="D112" s="8" t="s">
        <v>59</v>
      </c>
      <c r="E112" s="8" t="n">
        <f aca="false">F112+G112+H112</f>
        <v>5</v>
      </c>
      <c r="F112" s="8" t="n">
        <f aca="false">COUNTIFS(Pointage!$A$2:$A$967,$A112,Pointage!$D$2:$D$967,$B112,Pointage!$E$2:$E$967,$C112,Pointage!$Q$2:$Q$967,"P")</f>
        <v>5</v>
      </c>
      <c r="G112" s="17" t="n">
        <f aca="false">COUNTIFS(Pointage!$A$2:$A$967,$A112,Pointage!$D$2:$D$967,$B112,Pointage!$E$2:$E$967,$C112,Pointage!$Q$2:$Q$967,"A")</f>
        <v>0</v>
      </c>
      <c r="H112" s="8" t="n">
        <f aca="false">COUNTIFS(Pointage!$A$2:$A$967,$A112,Pointage!$D$2:$D$967,$B112,Pointage!$E$2:$E$967,$C112,Pointage!$Q$2:$Q$967,"NR")</f>
        <v>0</v>
      </c>
      <c r="I112" s="8" t="n">
        <f aca="false">COUNTIFS(Pointage!$A$2:$A$967,$A112,Pointage!$D$2:$D$967,$B112,Pointage!$E$2:$E$967,$C112,Pointage!$Q$2:$Q$967,"CP")</f>
        <v>0</v>
      </c>
      <c r="J112" s="8" t="n">
        <f aca="false">COUNTIFS(Pointage!$A$2:$A$967,$A112,Pointage!$D$2:$D$967,$B112,Pointage!$E$2:$E$967,$C112,Pointage!$Q$2:$Q$967,"F")</f>
        <v>0</v>
      </c>
      <c r="K112" s="8" t="n">
        <f aca="false">COUNTIFS(Pointage!$A$2:$A$967,$A112,Pointage!$D$2:$D$967,$B112,Pointage!$E$2:$E$967,$C112,Pointage!$P$2:$P$967,"&gt;0")</f>
        <v>0</v>
      </c>
      <c r="L112" s="8" t="n">
        <f aca="false">SUMIFS(Pointage!$P$2:$P$967,Pointage!$A$2:$A$967,$A112,Pointage!$D$2:$D$967,$B112,Pointage!$E$2:$E$967,$C112)</f>
        <v>0</v>
      </c>
      <c r="M112" s="11" t="n">
        <f aca="false">SUMIFS(Pointage!$L$2:$L$967,Pointage!$A$2:$A$967,$A112,Pointage!$D$2:$D$967,$B112,Pointage!$E$2:$E$967,$C112)</f>
        <v>1.83333333333333</v>
      </c>
      <c r="N112" s="11" t="n">
        <f aca="false">SUMIFS(Pointage!$M$2:$M$967,Pointage!$A$2:$A$967,$A112,Pointage!$D$2:$D$967,$B112,Pointage!$E$2:$E$967,$C112)</f>
        <v>1.83333333333333</v>
      </c>
      <c r="O112" s="10" t="n">
        <f aca="false">IFERROR(F112/(F112+G112),"")</f>
        <v>1</v>
      </c>
      <c r="P112" s="10" t="n">
        <f aca="false">IFERROR(N112/M112,"")</f>
        <v>1</v>
      </c>
    </row>
    <row r="113" customFormat="false" ht="15" hidden="false" customHeight="false" outlineLevel="0" collapsed="false">
      <c r="A113" s="7" t="s">
        <v>30</v>
      </c>
      <c r="B113" s="8" t="n">
        <v>2026</v>
      </c>
      <c r="C113" s="8" t="n">
        <v>3</v>
      </c>
      <c r="D113" s="8" t="s">
        <v>60</v>
      </c>
      <c r="E113" s="8" t="n">
        <f aca="false">F113+G113+H113</f>
        <v>5</v>
      </c>
      <c r="F113" s="8" t="n">
        <f aca="false">COUNTIFS(Pointage!$A$2:$A$967,$A113,Pointage!$D$2:$D$967,$B113,Pointage!$E$2:$E$967,$C113,Pointage!$Q$2:$Q$967,"P")</f>
        <v>5</v>
      </c>
      <c r="G113" s="17" t="n">
        <f aca="false">COUNTIFS(Pointage!$A$2:$A$967,$A113,Pointage!$D$2:$D$967,$B113,Pointage!$E$2:$E$967,$C113,Pointage!$Q$2:$Q$967,"A")</f>
        <v>0</v>
      </c>
      <c r="H113" s="8" t="n">
        <f aca="false">COUNTIFS(Pointage!$A$2:$A$967,$A113,Pointage!$D$2:$D$967,$B113,Pointage!$E$2:$E$967,$C113,Pointage!$Q$2:$Q$967,"NR")</f>
        <v>0</v>
      </c>
      <c r="I113" s="8" t="n">
        <f aca="false">COUNTIFS(Pointage!$A$2:$A$967,$A113,Pointage!$D$2:$D$967,$B113,Pointage!$E$2:$E$967,$C113,Pointage!$Q$2:$Q$967,"CP")</f>
        <v>0</v>
      </c>
      <c r="J113" s="8" t="n">
        <f aca="false">COUNTIFS(Pointage!$A$2:$A$967,$A113,Pointage!$D$2:$D$967,$B113,Pointage!$E$2:$E$967,$C113,Pointage!$Q$2:$Q$967,"F")</f>
        <v>0</v>
      </c>
      <c r="K113" s="8" t="n">
        <f aca="false">COUNTIFS(Pointage!$A$2:$A$967,$A113,Pointage!$D$2:$D$967,$B113,Pointage!$E$2:$E$967,$C113,Pointage!$P$2:$P$967,"&gt;0")</f>
        <v>0</v>
      </c>
      <c r="L113" s="8" t="n">
        <f aca="false">SUMIFS(Pointage!$P$2:$P$967,Pointage!$A$2:$A$967,$A113,Pointage!$D$2:$D$967,$B113,Pointage!$E$2:$E$967,$C113)</f>
        <v>0</v>
      </c>
      <c r="M113" s="11" t="n">
        <f aca="false">SUMIFS(Pointage!$L$2:$L$967,Pointage!$A$2:$A$967,$A113,Pointage!$D$2:$D$967,$B113,Pointage!$E$2:$E$967,$C113)</f>
        <v>1.83333333333333</v>
      </c>
      <c r="N113" s="11" t="n">
        <f aca="false">SUMIFS(Pointage!$M$2:$M$967,Pointage!$A$2:$A$967,$A113,Pointage!$D$2:$D$967,$B113,Pointage!$E$2:$E$967,$C113)</f>
        <v>1.83333333333333</v>
      </c>
      <c r="O113" s="10" t="n">
        <f aca="false">IFERROR(F113/(F113+G113),"")</f>
        <v>1</v>
      </c>
      <c r="P113" s="10" t="n">
        <f aca="false">IFERROR(N113/M113,"")</f>
        <v>1</v>
      </c>
    </row>
    <row r="114" customFormat="false" ht="15" hidden="false" customHeight="false" outlineLevel="0" collapsed="false">
      <c r="A114" s="7" t="s">
        <v>30</v>
      </c>
      <c r="B114" s="8" t="n">
        <v>2026</v>
      </c>
      <c r="C114" s="8" t="n">
        <v>4</v>
      </c>
      <c r="D114" s="8" t="s">
        <v>61</v>
      </c>
      <c r="E114" s="8" t="n">
        <f aca="false">F114+G114+H114</f>
        <v>3</v>
      </c>
      <c r="F114" s="8" t="n">
        <f aca="false">COUNTIFS(Pointage!$A$2:$A$967,$A114,Pointage!$D$2:$D$967,$B114,Pointage!$E$2:$E$967,$C114,Pointage!$Q$2:$Q$967,"P")</f>
        <v>3</v>
      </c>
      <c r="G114" s="17" t="n">
        <f aca="false">COUNTIFS(Pointage!$A$2:$A$967,$A114,Pointage!$D$2:$D$967,$B114,Pointage!$E$2:$E$967,$C114,Pointage!$Q$2:$Q$967,"A")</f>
        <v>0</v>
      </c>
      <c r="H114" s="8" t="n">
        <f aca="false">COUNTIFS(Pointage!$A$2:$A$967,$A114,Pointage!$D$2:$D$967,$B114,Pointage!$E$2:$E$967,$C114,Pointage!$Q$2:$Q$967,"NR")</f>
        <v>0</v>
      </c>
      <c r="I114" s="8" t="n">
        <f aca="false">COUNTIFS(Pointage!$A$2:$A$967,$A114,Pointage!$D$2:$D$967,$B114,Pointage!$E$2:$E$967,$C114,Pointage!$Q$2:$Q$967,"CP")</f>
        <v>0</v>
      </c>
      <c r="J114" s="8" t="n">
        <f aca="false">COUNTIFS(Pointage!$A$2:$A$967,$A114,Pointage!$D$2:$D$967,$B114,Pointage!$E$2:$E$967,$C114,Pointage!$Q$2:$Q$967,"F")</f>
        <v>0</v>
      </c>
      <c r="K114" s="8" t="n">
        <f aca="false">COUNTIFS(Pointage!$A$2:$A$967,$A114,Pointage!$D$2:$D$967,$B114,Pointage!$E$2:$E$967,$C114,Pointage!$P$2:$P$967,"&gt;0")</f>
        <v>1</v>
      </c>
      <c r="L114" s="8" t="n">
        <f aca="false">SUMIFS(Pointage!$P$2:$P$967,Pointage!$A$2:$A$967,$A114,Pointage!$D$2:$D$967,$B114,Pointage!$E$2:$E$967,$C114)</f>
        <v>12</v>
      </c>
      <c r="M114" s="11" t="n">
        <f aca="false">SUMIFS(Pointage!$L$2:$L$967,Pointage!$A$2:$A$967,$A114,Pointage!$D$2:$D$967,$B114,Pointage!$E$2:$E$967,$C114)</f>
        <v>1.08333333333333</v>
      </c>
      <c r="N114" s="11" t="n">
        <f aca="false">SUMIFS(Pointage!$M$2:$M$967,Pointage!$A$2:$A$967,$A114,Pointage!$D$2:$D$967,$B114,Pointage!$E$2:$E$967,$C114)</f>
        <v>1.08333333333333</v>
      </c>
      <c r="O114" s="10" t="n">
        <f aca="false">IFERROR(F114/(F114+G114),"")</f>
        <v>1</v>
      </c>
      <c r="P114" s="10" t="n">
        <f aca="false">IFERROR(N114/M114,"")</f>
        <v>1</v>
      </c>
    </row>
    <row r="115" customFormat="false" ht="15" hidden="false" customHeight="false" outlineLevel="0" collapsed="false">
      <c r="A115" s="7" t="s">
        <v>30</v>
      </c>
      <c r="B115" s="8" t="n">
        <v>2026</v>
      </c>
      <c r="C115" s="8" t="n">
        <v>5</v>
      </c>
      <c r="D115" s="8" t="s">
        <v>62</v>
      </c>
      <c r="E115" s="8" t="n">
        <f aca="false">F115+G115+H115</f>
        <v>5</v>
      </c>
      <c r="F115" s="8" t="n">
        <f aca="false">COUNTIFS(Pointage!$A$2:$A$967,$A115,Pointage!$D$2:$D$967,$B115,Pointage!$E$2:$E$967,$C115,Pointage!$Q$2:$Q$967,"P")</f>
        <v>5</v>
      </c>
      <c r="G115" s="17" t="n">
        <f aca="false">COUNTIFS(Pointage!$A$2:$A$967,$A115,Pointage!$D$2:$D$967,$B115,Pointage!$E$2:$E$967,$C115,Pointage!$Q$2:$Q$967,"A")</f>
        <v>0</v>
      </c>
      <c r="H115" s="8" t="n">
        <f aca="false">COUNTIFS(Pointage!$A$2:$A$967,$A115,Pointage!$D$2:$D$967,$B115,Pointage!$E$2:$E$967,$C115,Pointage!$Q$2:$Q$967,"NR")</f>
        <v>0</v>
      </c>
      <c r="I115" s="8" t="n">
        <f aca="false">COUNTIFS(Pointage!$A$2:$A$967,$A115,Pointage!$D$2:$D$967,$B115,Pointage!$E$2:$E$967,$C115,Pointage!$Q$2:$Q$967,"CP")</f>
        <v>0</v>
      </c>
      <c r="J115" s="8" t="n">
        <f aca="false">COUNTIFS(Pointage!$A$2:$A$967,$A115,Pointage!$D$2:$D$967,$B115,Pointage!$E$2:$E$967,$C115,Pointage!$Q$2:$Q$967,"F")</f>
        <v>0</v>
      </c>
      <c r="K115" s="8" t="n">
        <f aca="false">COUNTIFS(Pointage!$A$2:$A$967,$A115,Pointage!$D$2:$D$967,$B115,Pointage!$E$2:$E$967,$C115,Pointage!$P$2:$P$967,"&gt;0")</f>
        <v>0</v>
      </c>
      <c r="L115" s="8" t="n">
        <f aca="false">SUMIFS(Pointage!$P$2:$P$967,Pointage!$A$2:$A$967,$A115,Pointage!$D$2:$D$967,$B115,Pointage!$E$2:$E$967,$C115)</f>
        <v>0</v>
      </c>
      <c r="M115" s="11" t="n">
        <f aca="false">SUMIFS(Pointage!$L$2:$L$967,Pointage!$A$2:$A$967,$A115,Pointage!$D$2:$D$967,$B115,Pointage!$E$2:$E$967,$C115)</f>
        <v>1.83333333333333</v>
      </c>
      <c r="N115" s="11" t="n">
        <f aca="false">SUMIFS(Pointage!$M$2:$M$967,Pointage!$A$2:$A$967,$A115,Pointage!$D$2:$D$967,$B115,Pointage!$E$2:$E$967,$C115)</f>
        <v>1.83333333333333</v>
      </c>
      <c r="O115" s="10" t="n">
        <f aca="false">IFERROR(F115/(F115+G115),"")</f>
        <v>1</v>
      </c>
      <c r="P115" s="10" t="n">
        <f aca="false">IFERROR(N115/M115,"")</f>
        <v>1</v>
      </c>
    </row>
    <row r="116" customFormat="false" ht="15" hidden="false" customHeight="false" outlineLevel="0" collapsed="false">
      <c r="A116" s="7" t="s">
        <v>30</v>
      </c>
      <c r="B116" s="8" t="n">
        <v>2026</v>
      </c>
      <c r="C116" s="8" t="n">
        <v>6</v>
      </c>
      <c r="D116" s="8" t="s">
        <v>63</v>
      </c>
      <c r="E116" s="8" t="n">
        <f aca="false">F116+G116+H116</f>
        <v>5</v>
      </c>
      <c r="F116" s="8" t="n">
        <f aca="false">COUNTIFS(Pointage!$A$2:$A$967,$A116,Pointage!$D$2:$D$967,$B116,Pointage!$E$2:$E$967,$C116,Pointage!$Q$2:$Q$967,"P")</f>
        <v>5</v>
      </c>
      <c r="G116" s="17" t="n">
        <f aca="false">COUNTIFS(Pointage!$A$2:$A$967,$A116,Pointage!$D$2:$D$967,$B116,Pointage!$E$2:$E$967,$C116,Pointage!$Q$2:$Q$967,"A")</f>
        <v>0</v>
      </c>
      <c r="H116" s="8" t="n">
        <f aca="false">COUNTIFS(Pointage!$A$2:$A$967,$A116,Pointage!$D$2:$D$967,$B116,Pointage!$E$2:$E$967,$C116,Pointage!$Q$2:$Q$967,"NR")</f>
        <v>0</v>
      </c>
      <c r="I116" s="8" t="n">
        <f aca="false">COUNTIFS(Pointage!$A$2:$A$967,$A116,Pointage!$D$2:$D$967,$B116,Pointage!$E$2:$E$967,$C116,Pointage!$Q$2:$Q$967,"CP")</f>
        <v>0</v>
      </c>
      <c r="J116" s="8" t="n">
        <f aca="false">COUNTIFS(Pointage!$A$2:$A$967,$A116,Pointage!$D$2:$D$967,$B116,Pointage!$E$2:$E$967,$C116,Pointage!$Q$2:$Q$967,"F")</f>
        <v>0</v>
      </c>
      <c r="K116" s="8" t="n">
        <f aca="false">COUNTIFS(Pointage!$A$2:$A$967,$A116,Pointage!$D$2:$D$967,$B116,Pointage!$E$2:$E$967,$C116,Pointage!$P$2:$P$967,"&gt;0")</f>
        <v>1</v>
      </c>
      <c r="L116" s="8" t="n">
        <f aca="false">SUMIFS(Pointage!$P$2:$P$967,Pointage!$A$2:$A$967,$A116,Pointage!$D$2:$D$967,$B116,Pointage!$E$2:$E$967,$C116)</f>
        <v>11</v>
      </c>
      <c r="M116" s="11" t="n">
        <f aca="false">SUMIFS(Pointage!$L$2:$L$967,Pointage!$A$2:$A$967,$A116,Pointage!$D$2:$D$967,$B116,Pointage!$E$2:$E$967,$C116)</f>
        <v>1.83333333333333</v>
      </c>
      <c r="N116" s="11" t="n">
        <f aca="false">SUMIFS(Pointage!$M$2:$M$967,Pointage!$A$2:$A$967,$A116,Pointage!$D$2:$D$967,$B116,Pointage!$E$2:$E$967,$C116)</f>
        <v>1.83333333333333</v>
      </c>
      <c r="O116" s="10" t="n">
        <f aca="false">IFERROR(F116/(F116+G116),"")</f>
        <v>1</v>
      </c>
      <c r="P116" s="10" t="n">
        <f aca="false">IFERROR(N116/M116,"")</f>
        <v>1</v>
      </c>
    </row>
    <row r="117" customFormat="false" ht="15" hidden="false" customHeight="false" outlineLevel="0" collapsed="false">
      <c r="A117" s="7" t="s">
        <v>30</v>
      </c>
      <c r="B117" s="8" t="n">
        <v>2026</v>
      </c>
      <c r="C117" s="8" t="n">
        <v>7</v>
      </c>
      <c r="D117" s="8" t="s">
        <v>64</v>
      </c>
      <c r="E117" s="8" t="n">
        <f aca="false">F117+G117+H117</f>
        <v>5</v>
      </c>
      <c r="F117" s="8" t="n">
        <f aca="false">COUNTIFS(Pointage!$A$2:$A$967,$A117,Pointage!$D$2:$D$967,$B117,Pointage!$E$2:$E$967,$C117,Pointage!$Q$2:$Q$967,"P")</f>
        <v>5</v>
      </c>
      <c r="G117" s="17" t="n">
        <f aca="false">COUNTIFS(Pointage!$A$2:$A$967,$A117,Pointage!$D$2:$D$967,$B117,Pointage!$E$2:$E$967,$C117,Pointage!$Q$2:$Q$967,"A")</f>
        <v>0</v>
      </c>
      <c r="H117" s="8" t="n">
        <f aca="false">COUNTIFS(Pointage!$A$2:$A$967,$A117,Pointage!$D$2:$D$967,$B117,Pointage!$E$2:$E$967,$C117,Pointage!$Q$2:$Q$967,"NR")</f>
        <v>0</v>
      </c>
      <c r="I117" s="8" t="n">
        <f aca="false">COUNTIFS(Pointage!$A$2:$A$967,$A117,Pointage!$D$2:$D$967,$B117,Pointage!$E$2:$E$967,$C117,Pointage!$Q$2:$Q$967,"CP")</f>
        <v>0</v>
      </c>
      <c r="J117" s="8" t="n">
        <f aca="false">COUNTIFS(Pointage!$A$2:$A$967,$A117,Pointage!$D$2:$D$967,$B117,Pointage!$E$2:$E$967,$C117,Pointage!$Q$2:$Q$967,"F")</f>
        <v>0</v>
      </c>
      <c r="K117" s="8" t="n">
        <f aca="false">COUNTIFS(Pointage!$A$2:$A$967,$A117,Pointage!$D$2:$D$967,$B117,Pointage!$E$2:$E$967,$C117,Pointage!$P$2:$P$967,"&gt;0")</f>
        <v>0</v>
      </c>
      <c r="L117" s="8" t="n">
        <f aca="false">SUMIFS(Pointage!$P$2:$P$967,Pointage!$A$2:$A$967,$A117,Pointage!$D$2:$D$967,$B117,Pointage!$E$2:$E$967,$C117)</f>
        <v>0</v>
      </c>
      <c r="M117" s="11" t="n">
        <f aca="false">SUMIFS(Pointage!$L$2:$L$967,Pointage!$A$2:$A$967,$A117,Pointage!$D$2:$D$967,$B117,Pointage!$E$2:$E$967,$C117)</f>
        <v>1.83333333333333</v>
      </c>
      <c r="N117" s="11" t="n">
        <f aca="false">SUMIFS(Pointage!$M$2:$M$967,Pointage!$A$2:$A$967,$A117,Pointage!$D$2:$D$967,$B117,Pointage!$E$2:$E$967,$C117)</f>
        <v>1.83333333333333</v>
      </c>
      <c r="O117" s="10" t="n">
        <f aca="false">IFERROR(F117/(F117+G117),"")</f>
        <v>1</v>
      </c>
      <c r="P117" s="10" t="n">
        <f aca="false">IFERROR(N117/M117,"")</f>
        <v>1</v>
      </c>
    </row>
    <row r="118" customFormat="false" ht="15" hidden="false" customHeight="false" outlineLevel="0" collapsed="false">
      <c r="A118" s="7" t="s">
        <v>30</v>
      </c>
      <c r="B118" s="8" t="n">
        <v>2026</v>
      </c>
      <c r="C118" s="8" t="n">
        <v>8</v>
      </c>
      <c r="D118" s="8" t="s">
        <v>65</v>
      </c>
      <c r="E118" s="8" t="n">
        <f aca="false">F118+G118+H118</f>
        <v>0</v>
      </c>
      <c r="F118" s="8" t="n">
        <f aca="false">COUNTIFS(Pointage!$A$2:$A$967,$A118,Pointage!$D$2:$D$967,$B118,Pointage!$E$2:$E$967,$C118,Pointage!$Q$2:$Q$967,"P")</f>
        <v>0</v>
      </c>
      <c r="G118" s="17" t="n">
        <f aca="false">COUNTIFS(Pointage!$A$2:$A$967,$A118,Pointage!$D$2:$D$967,$B118,Pointage!$E$2:$E$967,$C118,Pointage!$Q$2:$Q$967,"A")</f>
        <v>0</v>
      </c>
      <c r="H118" s="8" t="n">
        <f aca="false">COUNTIFS(Pointage!$A$2:$A$967,$A118,Pointage!$D$2:$D$967,$B118,Pointage!$E$2:$E$967,$C118,Pointage!$Q$2:$Q$967,"NR")</f>
        <v>0</v>
      </c>
      <c r="I118" s="8" t="n">
        <f aca="false">COUNTIFS(Pointage!$A$2:$A$967,$A118,Pointage!$D$2:$D$967,$B118,Pointage!$E$2:$E$967,$C118,Pointage!$Q$2:$Q$967,"CP")</f>
        <v>0</v>
      </c>
      <c r="J118" s="8" t="n">
        <f aca="false">COUNTIFS(Pointage!$A$2:$A$967,$A118,Pointage!$D$2:$D$967,$B118,Pointage!$E$2:$E$967,$C118,Pointage!$Q$2:$Q$967,"F")</f>
        <v>0</v>
      </c>
      <c r="K118" s="8" t="n">
        <f aca="false">COUNTIFS(Pointage!$A$2:$A$967,$A118,Pointage!$D$2:$D$967,$B118,Pointage!$E$2:$E$967,$C118,Pointage!$P$2:$P$967,"&gt;0")</f>
        <v>0</v>
      </c>
      <c r="L118" s="8" t="n">
        <f aca="false">SUMIFS(Pointage!$P$2:$P$967,Pointage!$A$2:$A$967,$A118,Pointage!$D$2:$D$967,$B118,Pointage!$E$2:$E$967,$C118)</f>
        <v>0</v>
      </c>
      <c r="M118" s="11" t="n">
        <f aca="false">SUMIFS(Pointage!$L$2:$L$967,Pointage!$A$2:$A$967,$A118,Pointage!$D$2:$D$967,$B118,Pointage!$E$2:$E$967,$C118)</f>
        <v>0</v>
      </c>
      <c r="N118" s="11" t="n">
        <f aca="false">SUMIFS(Pointage!$M$2:$M$967,Pointage!$A$2:$A$967,$A118,Pointage!$D$2:$D$967,$B118,Pointage!$E$2:$E$967,$C118)</f>
        <v>0</v>
      </c>
      <c r="O118" s="10" t="str">
        <f aca="false">IFERROR(F118/(F118+G118),"")</f>
        <v/>
      </c>
      <c r="P118" s="10" t="str">
        <f aca="false">IFERROR(N118/M118,"")</f>
        <v/>
      </c>
    </row>
    <row r="119" customFormat="false" ht="15" hidden="false" customHeight="false" outlineLevel="0" collapsed="false">
      <c r="A119" s="7" t="s">
        <v>30</v>
      </c>
      <c r="B119" s="8" t="n">
        <v>2026</v>
      </c>
      <c r="C119" s="8" t="n">
        <v>9</v>
      </c>
      <c r="D119" s="8" t="s">
        <v>66</v>
      </c>
      <c r="E119" s="8" t="n">
        <f aca="false">F119+G119+H119</f>
        <v>5</v>
      </c>
      <c r="F119" s="8" t="n">
        <f aca="false">COUNTIFS(Pointage!$A$2:$A$967,$A119,Pointage!$D$2:$D$967,$B119,Pointage!$E$2:$E$967,$C119,Pointage!$Q$2:$Q$967,"P")</f>
        <v>5</v>
      </c>
      <c r="G119" s="17" t="n">
        <f aca="false">COUNTIFS(Pointage!$A$2:$A$967,$A119,Pointage!$D$2:$D$967,$B119,Pointage!$E$2:$E$967,$C119,Pointage!$Q$2:$Q$967,"A")</f>
        <v>0</v>
      </c>
      <c r="H119" s="8" t="n">
        <f aca="false">COUNTIFS(Pointage!$A$2:$A$967,$A119,Pointage!$D$2:$D$967,$B119,Pointage!$E$2:$E$967,$C119,Pointage!$Q$2:$Q$967,"NR")</f>
        <v>0</v>
      </c>
      <c r="I119" s="8" t="n">
        <f aca="false">COUNTIFS(Pointage!$A$2:$A$967,$A119,Pointage!$D$2:$D$967,$B119,Pointage!$E$2:$E$967,$C119,Pointage!$Q$2:$Q$967,"CP")</f>
        <v>0</v>
      </c>
      <c r="J119" s="8" t="n">
        <f aca="false">COUNTIFS(Pointage!$A$2:$A$967,$A119,Pointage!$D$2:$D$967,$B119,Pointage!$E$2:$E$967,$C119,Pointage!$Q$2:$Q$967,"F")</f>
        <v>0</v>
      </c>
      <c r="K119" s="8" t="n">
        <f aca="false">COUNTIFS(Pointage!$A$2:$A$967,$A119,Pointage!$D$2:$D$967,$B119,Pointage!$E$2:$E$967,$C119,Pointage!$P$2:$P$967,"&gt;0")</f>
        <v>0</v>
      </c>
      <c r="L119" s="8" t="n">
        <f aca="false">SUMIFS(Pointage!$P$2:$P$967,Pointage!$A$2:$A$967,$A119,Pointage!$D$2:$D$967,$B119,Pointage!$E$2:$E$967,$C119)</f>
        <v>0</v>
      </c>
      <c r="M119" s="11" t="n">
        <f aca="false">SUMIFS(Pointage!$L$2:$L$967,Pointage!$A$2:$A$967,$A119,Pointage!$D$2:$D$967,$B119,Pointage!$E$2:$E$967,$C119)</f>
        <v>1.83333333333333</v>
      </c>
      <c r="N119" s="11" t="n">
        <f aca="false">SUMIFS(Pointage!$M$2:$M$967,Pointage!$A$2:$A$967,$A119,Pointage!$D$2:$D$967,$B119,Pointage!$E$2:$E$967,$C119)</f>
        <v>1.83333333333333</v>
      </c>
      <c r="O119" s="10" t="n">
        <f aca="false">IFERROR(F119/(F119+G119),"")</f>
        <v>1</v>
      </c>
      <c r="P119" s="10" t="n">
        <f aca="false">IFERROR(N119/M119,"")</f>
        <v>1</v>
      </c>
    </row>
    <row r="120" customFormat="false" ht="15" hidden="false" customHeight="false" outlineLevel="0" collapsed="false">
      <c r="A120" s="7" t="s">
        <v>30</v>
      </c>
      <c r="B120" s="8" t="n">
        <v>2026</v>
      </c>
      <c r="C120" s="8" t="n">
        <v>10</v>
      </c>
      <c r="D120" s="8" t="s">
        <v>67</v>
      </c>
      <c r="E120" s="8" t="n">
        <f aca="false">F120+G120+H120</f>
        <v>5</v>
      </c>
      <c r="F120" s="8" t="n">
        <f aca="false">COUNTIFS(Pointage!$A$2:$A$967,$A120,Pointage!$D$2:$D$967,$B120,Pointage!$E$2:$E$967,$C120,Pointage!$Q$2:$Q$967,"P")</f>
        <v>5</v>
      </c>
      <c r="G120" s="17" t="n">
        <f aca="false">COUNTIFS(Pointage!$A$2:$A$967,$A120,Pointage!$D$2:$D$967,$B120,Pointage!$E$2:$E$967,$C120,Pointage!$Q$2:$Q$967,"A")</f>
        <v>0</v>
      </c>
      <c r="H120" s="8" t="n">
        <f aca="false">COUNTIFS(Pointage!$A$2:$A$967,$A120,Pointage!$D$2:$D$967,$B120,Pointage!$E$2:$E$967,$C120,Pointage!$Q$2:$Q$967,"NR")</f>
        <v>0</v>
      </c>
      <c r="I120" s="8" t="n">
        <f aca="false">COUNTIFS(Pointage!$A$2:$A$967,$A120,Pointage!$D$2:$D$967,$B120,Pointage!$E$2:$E$967,$C120,Pointage!$Q$2:$Q$967,"CP")</f>
        <v>0</v>
      </c>
      <c r="J120" s="8" t="n">
        <f aca="false">COUNTIFS(Pointage!$A$2:$A$967,$A120,Pointage!$D$2:$D$967,$B120,Pointage!$E$2:$E$967,$C120,Pointage!$Q$2:$Q$967,"F")</f>
        <v>0</v>
      </c>
      <c r="K120" s="8" t="n">
        <f aca="false">COUNTIFS(Pointage!$A$2:$A$967,$A120,Pointage!$D$2:$D$967,$B120,Pointage!$E$2:$E$967,$C120,Pointage!$P$2:$P$967,"&gt;0")</f>
        <v>0</v>
      </c>
      <c r="L120" s="8" t="n">
        <f aca="false">SUMIFS(Pointage!$P$2:$P$967,Pointage!$A$2:$A$967,$A120,Pointage!$D$2:$D$967,$B120,Pointage!$E$2:$E$967,$C120)</f>
        <v>0</v>
      </c>
      <c r="M120" s="11" t="n">
        <f aca="false">SUMIFS(Pointage!$L$2:$L$967,Pointage!$A$2:$A$967,$A120,Pointage!$D$2:$D$967,$B120,Pointage!$E$2:$E$967,$C120)</f>
        <v>1.83333333333333</v>
      </c>
      <c r="N120" s="11" t="n">
        <f aca="false">SUMIFS(Pointage!$M$2:$M$967,Pointage!$A$2:$A$967,$A120,Pointage!$D$2:$D$967,$B120,Pointage!$E$2:$E$967,$C120)</f>
        <v>1.83333333333333</v>
      </c>
      <c r="O120" s="10" t="n">
        <f aca="false">IFERROR(F120/(F120+G120),"")</f>
        <v>1</v>
      </c>
      <c r="P120" s="10" t="n">
        <f aca="false">IFERROR(N120/M120,"")</f>
        <v>1</v>
      </c>
    </row>
    <row r="121" customFormat="false" ht="15" hidden="false" customHeight="false" outlineLevel="0" collapsed="false">
      <c r="A121" s="7" t="s">
        <v>30</v>
      </c>
      <c r="B121" s="8" t="n">
        <v>2026</v>
      </c>
      <c r="C121" s="8" t="n">
        <v>11</v>
      </c>
      <c r="D121" s="8" t="s">
        <v>68</v>
      </c>
      <c r="E121" s="8" t="n">
        <f aca="false">F121+G121+H121</f>
        <v>5</v>
      </c>
      <c r="F121" s="8" t="n">
        <f aca="false">COUNTIFS(Pointage!$A$2:$A$967,$A121,Pointage!$D$2:$D$967,$B121,Pointage!$E$2:$E$967,$C121,Pointage!$Q$2:$Q$967,"P")</f>
        <v>5</v>
      </c>
      <c r="G121" s="17" t="n">
        <f aca="false">COUNTIFS(Pointage!$A$2:$A$967,$A121,Pointage!$D$2:$D$967,$B121,Pointage!$E$2:$E$967,$C121,Pointage!$Q$2:$Q$967,"A")</f>
        <v>0</v>
      </c>
      <c r="H121" s="8" t="n">
        <f aca="false">COUNTIFS(Pointage!$A$2:$A$967,$A121,Pointage!$D$2:$D$967,$B121,Pointage!$E$2:$E$967,$C121,Pointage!$Q$2:$Q$967,"NR")</f>
        <v>0</v>
      </c>
      <c r="I121" s="8" t="n">
        <f aca="false">COUNTIFS(Pointage!$A$2:$A$967,$A121,Pointage!$D$2:$D$967,$B121,Pointage!$E$2:$E$967,$C121,Pointage!$Q$2:$Q$967,"CP")</f>
        <v>0</v>
      </c>
      <c r="J121" s="8" t="n">
        <f aca="false">COUNTIFS(Pointage!$A$2:$A$967,$A121,Pointage!$D$2:$D$967,$B121,Pointage!$E$2:$E$967,$C121,Pointage!$Q$2:$Q$967,"F")</f>
        <v>0</v>
      </c>
      <c r="K121" s="8" t="n">
        <f aca="false">COUNTIFS(Pointage!$A$2:$A$967,$A121,Pointage!$D$2:$D$967,$B121,Pointage!$E$2:$E$967,$C121,Pointage!$P$2:$P$967,"&gt;0")</f>
        <v>0</v>
      </c>
      <c r="L121" s="8" t="n">
        <f aca="false">SUMIFS(Pointage!$P$2:$P$967,Pointage!$A$2:$A$967,$A121,Pointage!$D$2:$D$967,$B121,Pointage!$E$2:$E$967,$C121)</f>
        <v>0</v>
      </c>
      <c r="M121" s="11" t="n">
        <f aca="false">SUMIFS(Pointage!$L$2:$L$967,Pointage!$A$2:$A$967,$A121,Pointage!$D$2:$D$967,$B121,Pointage!$E$2:$E$967,$C121)</f>
        <v>1.83333333333333</v>
      </c>
      <c r="N121" s="11" t="n">
        <f aca="false">SUMIFS(Pointage!$M$2:$M$967,Pointage!$A$2:$A$967,$A121,Pointage!$D$2:$D$967,$B121,Pointage!$E$2:$E$967,$C121)</f>
        <v>1.83333333333333</v>
      </c>
      <c r="O121" s="10" t="n">
        <f aca="false">IFERROR(F121/(F121+G121),"")</f>
        <v>1</v>
      </c>
      <c r="P121" s="10" t="n">
        <f aca="false">IFERROR(N121/M121,"")</f>
        <v>1</v>
      </c>
    </row>
    <row r="122" customFormat="false" ht="15" hidden="false" customHeight="false" outlineLevel="0" collapsed="false">
      <c r="A122" s="7" t="s">
        <v>30</v>
      </c>
      <c r="B122" s="8" t="n">
        <v>2026</v>
      </c>
      <c r="C122" s="8" t="n">
        <v>12</v>
      </c>
      <c r="D122" s="8" t="s">
        <v>69</v>
      </c>
      <c r="E122" s="8" t="n">
        <f aca="false">F122+G122+H122</f>
        <v>0</v>
      </c>
      <c r="F122" s="8" t="n">
        <f aca="false">COUNTIFS(Pointage!$A$2:$A$967,$A122,Pointage!$D$2:$D$967,$B122,Pointage!$E$2:$E$967,$C122,Pointage!$Q$2:$Q$967,"P")</f>
        <v>0</v>
      </c>
      <c r="G122" s="17" t="n">
        <f aca="false">COUNTIFS(Pointage!$A$2:$A$967,$A122,Pointage!$D$2:$D$967,$B122,Pointage!$E$2:$E$967,$C122,Pointage!$Q$2:$Q$967,"A")</f>
        <v>0</v>
      </c>
      <c r="H122" s="8" t="n">
        <f aca="false">COUNTIFS(Pointage!$A$2:$A$967,$A122,Pointage!$D$2:$D$967,$B122,Pointage!$E$2:$E$967,$C122,Pointage!$Q$2:$Q$967,"NR")</f>
        <v>0</v>
      </c>
      <c r="I122" s="8" t="n">
        <f aca="false">COUNTIFS(Pointage!$A$2:$A$967,$A122,Pointage!$D$2:$D$967,$B122,Pointage!$E$2:$E$967,$C122,Pointage!$Q$2:$Q$967,"CP")</f>
        <v>0</v>
      </c>
      <c r="J122" s="8" t="n">
        <f aca="false">COUNTIFS(Pointage!$A$2:$A$967,$A122,Pointage!$D$2:$D$967,$B122,Pointage!$E$2:$E$967,$C122,Pointage!$Q$2:$Q$967,"F")</f>
        <v>0</v>
      </c>
      <c r="K122" s="8" t="n">
        <f aca="false">COUNTIFS(Pointage!$A$2:$A$967,$A122,Pointage!$D$2:$D$967,$B122,Pointage!$E$2:$E$967,$C122,Pointage!$P$2:$P$967,"&gt;0")</f>
        <v>0</v>
      </c>
      <c r="L122" s="8" t="n">
        <f aca="false">SUMIFS(Pointage!$P$2:$P$967,Pointage!$A$2:$A$967,$A122,Pointage!$D$2:$D$967,$B122,Pointage!$E$2:$E$967,$C122)</f>
        <v>0</v>
      </c>
      <c r="M122" s="11" t="n">
        <f aca="false">SUMIFS(Pointage!$L$2:$L$967,Pointage!$A$2:$A$967,$A122,Pointage!$D$2:$D$967,$B122,Pointage!$E$2:$E$967,$C122)</f>
        <v>0</v>
      </c>
      <c r="N122" s="11" t="n">
        <f aca="false">SUMIFS(Pointage!$M$2:$M$967,Pointage!$A$2:$A$967,$A122,Pointage!$D$2:$D$967,$B122,Pointage!$E$2:$E$967,$C122)</f>
        <v>0</v>
      </c>
      <c r="O122" s="10" t="str">
        <f aca="false">IFERROR(F122/(F122+G122),"")</f>
        <v/>
      </c>
      <c r="P122" s="10" t="str">
        <f aca="false">IFERROR(N122/M122,"")</f>
        <v/>
      </c>
    </row>
    <row r="123" customFormat="false" ht="15" hidden="false" customHeight="false" outlineLevel="0" collapsed="false">
      <c r="A123" s="7" t="s">
        <v>30</v>
      </c>
      <c r="B123" s="8" t="n">
        <v>2026</v>
      </c>
      <c r="C123" s="8" t="n">
        <v>13</v>
      </c>
      <c r="D123" s="8" t="s">
        <v>70</v>
      </c>
      <c r="E123" s="8" t="n">
        <f aca="false">F123+G123+H123</f>
        <v>5</v>
      </c>
      <c r="F123" s="8" t="n">
        <f aca="false">COUNTIFS(Pointage!$A$2:$A$967,$A123,Pointage!$D$2:$D$967,$B123,Pointage!$E$2:$E$967,$C123,Pointage!$Q$2:$Q$967,"P")</f>
        <v>5</v>
      </c>
      <c r="G123" s="17" t="n">
        <f aca="false">COUNTIFS(Pointage!$A$2:$A$967,$A123,Pointage!$D$2:$D$967,$B123,Pointage!$E$2:$E$967,$C123,Pointage!$Q$2:$Q$967,"A")</f>
        <v>0</v>
      </c>
      <c r="H123" s="8" t="n">
        <f aca="false">COUNTIFS(Pointage!$A$2:$A$967,$A123,Pointage!$D$2:$D$967,$B123,Pointage!$E$2:$E$967,$C123,Pointage!$Q$2:$Q$967,"NR")</f>
        <v>0</v>
      </c>
      <c r="I123" s="8" t="n">
        <f aca="false">COUNTIFS(Pointage!$A$2:$A$967,$A123,Pointage!$D$2:$D$967,$B123,Pointage!$E$2:$E$967,$C123,Pointage!$Q$2:$Q$967,"CP")</f>
        <v>0</v>
      </c>
      <c r="J123" s="8" t="n">
        <f aca="false">COUNTIFS(Pointage!$A$2:$A$967,$A123,Pointage!$D$2:$D$967,$B123,Pointage!$E$2:$E$967,$C123,Pointage!$Q$2:$Q$967,"F")</f>
        <v>0</v>
      </c>
      <c r="K123" s="8" t="n">
        <f aca="false">COUNTIFS(Pointage!$A$2:$A$967,$A123,Pointage!$D$2:$D$967,$B123,Pointage!$E$2:$E$967,$C123,Pointage!$P$2:$P$967,"&gt;0")</f>
        <v>0</v>
      </c>
      <c r="L123" s="8" t="n">
        <f aca="false">SUMIFS(Pointage!$P$2:$P$967,Pointage!$A$2:$A$967,$A123,Pointage!$D$2:$D$967,$B123,Pointage!$E$2:$E$967,$C123)</f>
        <v>0</v>
      </c>
      <c r="M123" s="11" t="n">
        <f aca="false">SUMIFS(Pointage!$L$2:$L$967,Pointage!$A$2:$A$967,$A123,Pointage!$D$2:$D$967,$B123,Pointage!$E$2:$E$967,$C123)</f>
        <v>1.83333333333333</v>
      </c>
      <c r="N123" s="11" t="n">
        <f aca="false">SUMIFS(Pointage!$M$2:$M$967,Pointage!$A$2:$A$967,$A123,Pointage!$D$2:$D$967,$B123,Pointage!$E$2:$E$967,$C123)</f>
        <v>1.83333333333333</v>
      </c>
      <c r="O123" s="10" t="n">
        <f aca="false">IFERROR(F123/(F123+G123),"")</f>
        <v>1</v>
      </c>
      <c r="P123" s="10" t="n">
        <f aca="false">IFERROR(N123/M123,"")</f>
        <v>1</v>
      </c>
    </row>
    <row r="124" customFormat="false" ht="15" hidden="false" customHeight="false" outlineLevel="0" collapsed="false">
      <c r="A124" s="7" t="s">
        <v>30</v>
      </c>
      <c r="B124" s="8" t="n">
        <v>2026</v>
      </c>
      <c r="C124" s="8" t="n">
        <v>14</v>
      </c>
      <c r="D124" s="8" t="s">
        <v>71</v>
      </c>
      <c r="E124" s="8" t="n">
        <f aca="false">F124+G124+H124</f>
        <v>5</v>
      </c>
      <c r="F124" s="8" t="n">
        <f aca="false">COUNTIFS(Pointage!$A$2:$A$967,$A124,Pointage!$D$2:$D$967,$B124,Pointage!$E$2:$E$967,$C124,Pointage!$Q$2:$Q$967,"P")</f>
        <v>5</v>
      </c>
      <c r="G124" s="17" t="n">
        <f aca="false">COUNTIFS(Pointage!$A$2:$A$967,$A124,Pointage!$D$2:$D$967,$B124,Pointage!$E$2:$E$967,$C124,Pointage!$Q$2:$Q$967,"A")</f>
        <v>0</v>
      </c>
      <c r="H124" s="8" t="n">
        <f aca="false">COUNTIFS(Pointage!$A$2:$A$967,$A124,Pointage!$D$2:$D$967,$B124,Pointage!$E$2:$E$967,$C124,Pointage!$Q$2:$Q$967,"NR")</f>
        <v>0</v>
      </c>
      <c r="I124" s="8" t="n">
        <f aca="false">COUNTIFS(Pointage!$A$2:$A$967,$A124,Pointage!$D$2:$D$967,$B124,Pointage!$E$2:$E$967,$C124,Pointage!$Q$2:$Q$967,"CP")</f>
        <v>0</v>
      </c>
      <c r="J124" s="8" t="n">
        <f aca="false">COUNTIFS(Pointage!$A$2:$A$967,$A124,Pointage!$D$2:$D$967,$B124,Pointage!$E$2:$E$967,$C124,Pointage!$Q$2:$Q$967,"F")</f>
        <v>0</v>
      </c>
      <c r="K124" s="8" t="n">
        <f aca="false">COUNTIFS(Pointage!$A$2:$A$967,$A124,Pointage!$D$2:$D$967,$B124,Pointage!$E$2:$E$967,$C124,Pointage!$P$2:$P$967,"&gt;0")</f>
        <v>0</v>
      </c>
      <c r="L124" s="8" t="n">
        <f aca="false">SUMIFS(Pointage!$P$2:$P$967,Pointage!$A$2:$A$967,$A124,Pointage!$D$2:$D$967,$B124,Pointage!$E$2:$E$967,$C124)</f>
        <v>0</v>
      </c>
      <c r="M124" s="11" t="n">
        <f aca="false">SUMIFS(Pointage!$L$2:$L$967,Pointage!$A$2:$A$967,$A124,Pointage!$D$2:$D$967,$B124,Pointage!$E$2:$E$967,$C124)</f>
        <v>1.83333333333333</v>
      </c>
      <c r="N124" s="11" t="n">
        <f aca="false">SUMIFS(Pointage!$M$2:$M$967,Pointage!$A$2:$A$967,$A124,Pointage!$D$2:$D$967,$B124,Pointage!$E$2:$E$967,$C124)</f>
        <v>1.83333333333333</v>
      </c>
      <c r="O124" s="10" t="n">
        <f aca="false">IFERROR(F124/(F124+G124),"")</f>
        <v>1</v>
      </c>
      <c r="P124" s="10" t="n">
        <f aca="false">IFERROR(N124/M124,"")</f>
        <v>1</v>
      </c>
    </row>
    <row r="125" customFormat="false" ht="15" hidden="false" customHeight="false" outlineLevel="0" collapsed="false">
      <c r="A125" s="7" t="s">
        <v>30</v>
      </c>
      <c r="B125" s="8" t="n">
        <v>2026</v>
      </c>
      <c r="C125" s="8" t="n">
        <v>15</v>
      </c>
      <c r="D125" s="8" t="s">
        <v>72</v>
      </c>
      <c r="E125" s="8" t="n">
        <f aca="false">F125+G125+H125</f>
        <v>4</v>
      </c>
      <c r="F125" s="8" t="n">
        <f aca="false">COUNTIFS(Pointage!$A$2:$A$967,$A125,Pointage!$D$2:$D$967,$B125,Pointage!$E$2:$E$967,$C125,Pointage!$Q$2:$Q$967,"P")</f>
        <v>4</v>
      </c>
      <c r="G125" s="17" t="n">
        <f aca="false">COUNTIFS(Pointage!$A$2:$A$967,$A125,Pointage!$D$2:$D$967,$B125,Pointage!$E$2:$E$967,$C125,Pointage!$Q$2:$Q$967,"A")</f>
        <v>0</v>
      </c>
      <c r="H125" s="8" t="n">
        <f aca="false">COUNTIFS(Pointage!$A$2:$A$967,$A125,Pointage!$D$2:$D$967,$B125,Pointage!$E$2:$E$967,$C125,Pointage!$Q$2:$Q$967,"NR")</f>
        <v>0</v>
      </c>
      <c r="I125" s="8" t="n">
        <f aca="false">COUNTIFS(Pointage!$A$2:$A$967,$A125,Pointage!$D$2:$D$967,$B125,Pointage!$E$2:$E$967,$C125,Pointage!$Q$2:$Q$967,"CP")</f>
        <v>0</v>
      </c>
      <c r="J125" s="8" t="n">
        <f aca="false">COUNTIFS(Pointage!$A$2:$A$967,$A125,Pointage!$D$2:$D$967,$B125,Pointage!$E$2:$E$967,$C125,Pointage!$Q$2:$Q$967,"F")</f>
        <v>0</v>
      </c>
      <c r="K125" s="8" t="n">
        <f aca="false">COUNTIFS(Pointage!$A$2:$A$967,$A125,Pointage!$D$2:$D$967,$B125,Pointage!$E$2:$E$967,$C125,Pointage!$P$2:$P$967,"&gt;0")</f>
        <v>0</v>
      </c>
      <c r="L125" s="8" t="n">
        <f aca="false">SUMIFS(Pointage!$P$2:$P$967,Pointage!$A$2:$A$967,$A125,Pointage!$D$2:$D$967,$B125,Pointage!$E$2:$E$967,$C125)</f>
        <v>0</v>
      </c>
      <c r="M125" s="11" t="n">
        <f aca="false">SUMIFS(Pointage!$L$2:$L$967,Pointage!$A$2:$A$967,$A125,Pointage!$D$2:$D$967,$B125,Pointage!$E$2:$E$967,$C125)</f>
        <v>1.45833333333333</v>
      </c>
      <c r="N125" s="11" t="n">
        <f aca="false">SUMIFS(Pointage!$M$2:$M$967,Pointage!$A$2:$A$967,$A125,Pointage!$D$2:$D$967,$B125,Pointage!$E$2:$E$967,$C125)</f>
        <v>1.45833333333333</v>
      </c>
      <c r="O125" s="10" t="n">
        <f aca="false">IFERROR(F125/(F125+G125),"")</f>
        <v>1</v>
      </c>
      <c r="P125" s="10" t="n">
        <f aca="false">IFERROR(N125/M125,"")</f>
        <v>1</v>
      </c>
    </row>
    <row r="126" customFormat="false" ht="15" hidden="false" customHeight="false" outlineLevel="0" collapsed="false">
      <c r="A126" s="7" t="s">
        <v>30</v>
      </c>
      <c r="B126" s="8" t="n">
        <v>2026</v>
      </c>
      <c r="C126" s="8" t="n">
        <v>16</v>
      </c>
      <c r="D126" s="8" t="s">
        <v>73</v>
      </c>
      <c r="E126" s="8" t="n">
        <f aca="false">F126+G126+H126</f>
        <v>5</v>
      </c>
      <c r="F126" s="8" t="n">
        <f aca="false">COUNTIFS(Pointage!$A$2:$A$967,$A126,Pointage!$D$2:$D$967,$B126,Pointage!$E$2:$E$967,$C126,Pointage!$Q$2:$Q$967,"P")</f>
        <v>5</v>
      </c>
      <c r="G126" s="17" t="n">
        <f aca="false">COUNTIFS(Pointage!$A$2:$A$967,$A126,Pointage!$D$2:$D$967,$B126,Pointage!$E$2:$E$967,$C126,Pointage!$Q$2:$Q$967,"A")</f>
        <v>0</v>
      </c>
      <c r="H126" s="8" t="n">
        <f aca="false">COUNTIFS(Pointage!$A$2:$A$967,$A126,Pointage!$D$2:$D$967,$B126,Pointage!$E$2:$E$967,$C126,Pointage!$Q$2:$Q$967,"NR")</f>
        <v>0</v>
      </c>
      <c r="I126" s="8" t="n">
        <f aca="false">COUNTIFS(Pointage!$A$2:$A$967,$A126,Pointage!$D$2:$D$967,$B126,Pointage!$E$2:$E$967,$C126,Pointage!$Q$2:$Q$967,"CP")</f>
        <v>0</v>
      </c>
      <c r="J126" s="8" t="n">
        <f aca="false">COUNTIFS(Pointage!$A$2:$A$967,$A126,Pointage!$D$2:$D$967,$B126,Pointage!$E$2:$E$967,$C126,Pointage!$Q$2:$Q$967,"F")</f>
        <v>0</v>
      </c>
      <c r="K126" s="8" t="n">
        <f aca="false">COUNTIFS(Pointage!$A$2:$A$967,$A126,Pointage!$D$2:$D$967,$B126,Pointage!$E$2:$E$967,$C126,Pointage!$P$2:$P$967,"&gt;0")</f>
        <v>0</v>
      </c>
      <c r="L126" s="8" t="n">
        <f aca="false">SUMIFS(Pointage!$P$2:$P$967,Pointage!$A$2:$A$967,$A126,Pointage!$D$2:$D$967,$B126,Pointage!$E$2:$E$967,$C126)</f>
        <v>0</v>
      </c>
      <c r="M126" s="11" t="n">
        <f aca="false">SUMIFS(Pointage!$L$2:$L$967,Pointage!$A$2:$A$967,$A126,Pointage!$D$2:$D$967,$B126,Pointage!$E$2:$E$967,$C126)</f>
        <v>1.83333333333333</v>
      </c>
      <c r="N126" s="11" t="n">
        <f aca="false">SUMIFS(Pointage!$M$2:$M$967,Pointage!$A$2:$A$967,$A126,Pointage!$D$2:$D$967,$B126,Pointage!$E$2:$E$967,$C126)</f>
        <v>1.83333333333333</v>
      </c>
      <c r="O126" s="10" t="n">
        <f aca="false">IFERROR(F126/(F126+G126),"")</f>
        <v>1</v>
      </c>
      <c r="P126" s="10" t="n">
        <f aca="false">IFERROR(N126/M126,"")</f>
        <v>1</v>
      </c>
    </row>
    <row r="127" customFormat="false" ht="15" hidden="false" customHeight="false" outlineLevel="0" collapsed="false">
      <c r="A127" s="7" t="s">
        <v>30</v>
      </c>
      <c r="B127" s="8" t="n">
        <v>2026</v>
      </c>
      <c r="C127" s="8" t="n">
        <v>17</v>
      </c>
      <c r="D127" s="8" t="s">
        <v>74</v>
      </c>
      <c r="E127" s="8" t="n">
        <f aca="false">F127+G127+H127</f>
        <v>5</v>
      </c>
      <c r="F127" s="8" t="n">
        <f aca="false">COUNTIFS(Pointage!$A$2:$A$967,$A127,Pointage!$D$2:$D$967,$B127,Pointage!$E$2:$E$967,$C127,Pointage!$Q$2:$Q$967,"P")</f>
        <v>5</v>
      </c>
      <c r="G127" s="17" t="n">
        <f aca="false">COUNTIFS(Pointage!$A$2:$A$967,$A127,Pointage!$D$2:$D$967,$B127,Pointage!$E$2:$E$967,$C127,Pointage!$Q$2:$Q$967,"A")</f>
        <v>0</v>
      </c>
      <c r="H127" s="8" t="n">
        <f aca="false">COUNTIFS(Pointage!$A$2:$A$967,$A127,Pointage!$D$2:$D$967,$B127,Pointage!$E$2:$E$967,$C127,Pointage!$Q$2:$Q$967,"NR")</f>
        <v>0</v>
      </c>
      <c r="I127" s="8" t="n">
        <f aca="false">COUNTIFS(Pointage!$A$2:$A$967,$A127,Pointage!$D$2:$D$967,$B127,Pointage!$E$2:$E$967,$C127,Pointage!$Q$2:$Q$967,"CP")</f>
        <v>0</v>
      </c>
      <c r="J127" s="8" t="n">
        <f aca="false">COUNTIFS(Pointage!$A$2:$A$967,$A127,Pointage!$D$2:$D$967,$B127,Pointage!$E$2:$E$967,$C127,Pointage!$Q$2:$Q$967,"F")</f>
        <v>0</v>
      </c>
      <c r="K127" s="8" t="n">
        <f aca="false">COUNTIFS(Pointage!$A$2:$A$967,$A127,Pointage!$D$2:$D$967,$B127,Pointage!$E$2:$E$967,$C127,Pointage!$P$2:$P$967,"&gt;0")</f>
        <v>0</v>
      </c>
      <c r="L127" s="8" t="n">
        <f aca="false">SUMIFS(Pointage!$P$2:$P$967,Pointage!$A$2:$A$967,$A127,Pointage!$D$2:$D$967,$B127,Pointage!$E$2:$E$967,$C127)</f>
        <v>0</v>
      </c>
      <c r="M127" s="11" t="n">
        <f aca="false">SUMIFS(Pointage!$L$2:$L$967,Pointage!$A$2:$A$967,$A127,Pointage!$D$2:$D$967,$B127,Pointage!$E$2:$E$967,$C127)</f>
        <v>1.83333333333333</v>
      </c>
      <c r="N127" s="11" t="n">
        <f aca="false">SUMIFS(Pointage!$M$2:$M$967,Pointage!$A$2:$A$967,$A127,Pointage!$D$2:$D$967,$B127,Pointage!$E$2:$E$967,$C127)</f>
        <v>1.83333333333333</v>
      </c>
      <c r="O127" s="10" t="n">
        <f aca="false">IFERROR(F127/(F127+G127),"")</f>
        <v>1</v>
      </c>
      <c r="P127" s="10" t="n">
        <f aca="false">IFERROR(N127/M127,"")</f>
        <v>1</v>
      </c>
    </row>
    <row r="128" customFormat="false" ht="15" hidden="false" customHeight="false" outlineLevel="0" collapsed="false">
      <c r="A128" s="7" t="s">
        <v>30</v>
      </c>
      <c r="B128" s="8" t="n">
        <v>2026</v>
      </c>
      <c r="C128" s="8" t="n">
        <v>18</v>
      </c>
      <c r="D128" s="8" t="s">
        <v>75</v>
      </c>
      <c r="E128" s="8" t="n">
        <f aca="false">F128+G128+H128</f>
        <v>4</v>
      </c>
      <c r="F128" s="8" t="n">
        <f aca="false">COUNTIFS(Pointage!$A$2:$A$967,$A128,Pointage!$D$2:$D$967,$B128,Pointage!$E$2:$E$967,$C128,Pointage!$Q$2:$Q$967,"P")</f>
        <v>4</v>
      </c>
      <c r="G128" s="17" t="n">
        <f aca="false">COUNTIFS(Pointage!$A$2:$A$967,$A128,Pointage!$D$2:$D$967,$B128,Pointage!$E$2:$E$967,$C128,Pointage!$Q$2:$Q$967,"A")</f>
        <v>0</v>
      </c>
      <c r="H128" s="8" t="n">
        <f aca="false">COUNTIFS(Pointage!$A$2:$A$967,$A128,Pointage!$D$2:$D$967,$B128,Pointage!$E$2:$E$967,$C128,Pointage!$Q$2:$Q$967,"NR")</f>
        <v>0</v>
      </c>
      <c r="I128" s="8" t="n">
        <f aca="false">COUNTIFS(Pointage!$A$2:$A$967,$A128,Pointage!$D$2:$D$967,$B128,Pointage!$E$2:$E$967,$C128,Pointage!$Q$2:$Q$967,"CP")</f>
        <v>0</v>
      </c>
      <c r="J128" s="8" t="n">
        <f aca="false">COUNTIFS(Pointage!$A$2:$A$967,$A128,Pointage!$D$2:$D$967,$B128,Pointage!$E$2:$E$967,$C128,Pointage!$Q$2:$Q$967,"F")</f>
        <v>1</v>
      </c>
      <c r="K128" s="8" t="n">
        <f aca="false">COUNTIFS(Pointage!$A$2:$A$967,$A128,Pointage!$D$2:$D$967,$B128,Pointage!$E$2:$E$967,$C128,Pointage!$P$2:$P$967,"&gt;0")</f>
        <v>0</v>
      </c>
      <c r="L128" s="8" t="n">
        <f aca="false">SUMIFS(Pointage!$P$2:$P$967,Pointage!$A$2:$A$967,$A128,Pointage!$D$2:$D$967,$B128,Pointage!$E$2:$E$967,$C128)</f>
        <v>0</v>
      </c>
      <c r="M128" s="11" t="n">
        <f aca="false">SUMIFS(Pointage!$L$2:$L$967,Pointage!$A$2:$A$967,$A128,Pointage!$D$2:$D$967,$B128,Pointage!$E$2:$E$967,$C128)</f>
        <v>1.5</v>
      </c>
      <c r="N128" s="11" t="n">
        <f aca="false">SUMIFS(Pointage!$M$2:$M$967,Pointage!$A$2:$A$967,$A128,Pointage!$D$2:$D$967,$B128,Pointage!$E$2:$E$967,$C128)</f>
        <v>1.5</v>
      </c>
      <c r="O128" s="10" t="n">
        <f aca="false">IFERROR(F128/(F128+G128),"")</f>
        <v>1</v>
      </c>
      <c r="P128" s="10" t="n">
        <f aca="false">IFERROR(N128/M128,"")</f>
        <v>1</v>
      </c>
    </row>
    <row r="129" customFormat="false" ht="15" hidden="false" customHeight="false" outlineLevel="0" collapsed="false">
      <c r="A129" s="7" t="s">
        <v>30</v>
      </c>
      <c r="B129" s="8" t="n">
        <v>2026</v>
      </c>
      <c r="C129" s="8" t="n">
        <v>19</v>
      </c>
      <c r="D129" s="8" t="s">
        <v>76</v>
      </c>
      <c r="E129" s="8" t="n">
        <f aca="false">F129+G129+H129</f>
        <v>4</v>
      </c>
      <c r="F129" s="8" t="n">
        <f aca="false">COUNTIFS(Pointage!$A$2:$A$967,$A129,Pointage!$D$2:$D$967,$B129,Pointage!$E$2:$E$967,$C129,Pointage!$Q$2:$Q$967,"P")</f>
        <v>4</v>
      </c>
      <c r="G129" s="17" t="n">
        <f aca="false">COUNTIFS(Pointage!$A$2:$A$967,$A129,Pointage!$D$2:$D$967,$B129,Pointage!$E$2:$E$967,$C129,Pointage!$Q$2:$Q$967,"A")</f>
        <v>0</v>
      </c>
      <c r="H129" s="8" t="n">
        <f aca="false">COUNTIFS(Pointage!$A$2:$A$967,$A129,Pointage!$D$2:$D$967,$B129,Pointage!$E$2:$E$967,$C129,Pointage!$Q$2:$Q$967,"NR")</f>
        <v>0</v>
      </c>
      <c r="I129" s="8" t="n">
        <f aca="false">COUNTIFS(Pointage!$A$2:$A$967,$A129,Pointage!$D$2:$D$967,$B129,Pointage!$E$2:$E$967,$C129,Pointage!$Q$2:$Q$967,"CP")</f>
        <v>0</v>
      </c>
      <c r="J129" s="8" t="n">
        <f aca="false">COUNTIFS(Pointage!$A$2:$A$967,$A129,Pointage!$D$2:$D$967,$B129,Pointage!$E$2:$E$967,$C129,Pointage!$Q$2:$Q$967,"F")</f>
        <v>0</v>
      </c>
      <c r="K129" s="8" t="n">
        <f aca="false">COUNTIFS(Pointage!$A$2:$A$967,$A129,Pointage!$D$2:$D$967,$B129,Pointage!$E$2:$E$967,$C129,Pointage!$P$2:$P$967,"&gt;0")</f>
        <v>0</v>
      </c>
      <c r="L129" s="8" t="n">
        <f aca="false">SUMIFS(Pointage!$P$2:$P$967,Pointage!$A$2:$A$967,$A129,Pointage!$D$2:$D$967,$B129,Pointage!$E$2:$E$967,$C129)</f>
        <v>0</v>
      </c>
      <c r="M129" s="11" t="n">
        <f aca="false">SUMIFS(Pointage!$L$2:$L$967,Pointage!$A$2:$A$967,$A129,Pointage!$D$2:$D$967,$B129,Pointage!$E$2:$E$967,$C129)</f>
        <v>1.5</v>
      </c>
      <c r="N129" s="11" t="n">
        <f aca="false">SUMIFS(Pointage!$M$2:$M$967,Pointage!$A$2:$A$967,$A129,Pointage!$D$2:$D$967,$B129,Pointage!$E$2:$E$967,$C129)</f>
        <v>1.5</v>
      </c>
      <c r="O129" s="10" t="n">
        <f aca="false">IFERROR(F129/(F129+G129),"")</f>
        <v>1</v>
      </c>
      <c r="P129" s="10" t="n">
        <f aca="false">IFERROR(N129/M129,"")</f>
        <v>1</v>
      </c>
    </row>
    <row r="130" customFormat="false" ht="15" hidden="false" customHeight="false" outlineLevel="0" collapsed="false">
      <c r="A130" s="7" t="s">
        <v>30</v>
      </c>
      <c r="B130" s="8" t="n">
        <v>2026</v>
      </c>
      <c r="C130" s="8" t="n">
        <v>20</v>
      </c>
      <c r="D130" s="8" t="s">
        <v>77</v>
      </c>
      <c r="E130" s="8" t="n">
        <f aca="false">F130+G130+H130</f>
        <v>2</v>
      </c>
      <c r="F130" s="8" t="n">
        <f aca="false">COUNTIFS(Pointage!$A$2:$A$967,$A130,Pointage!$D$2:$D$967,$B130,Pointage!$E$2:$E$967,$C130,Pointage!$Q$2:$Q$967,"P")</f>
        <v>2</v>
      </c>
      <c r="G130" s="17" t="n">
        <f aca="false">COUNTIFS(Pointage!$A$2:$A$967,$A130,Pointage!$D$2:$D$967,$B130,Pointage!$E$2:$E$967,$C130,Pointage!$Q$2:$Q$967,"A")</f>
        <v>0</v>
      </c>
      <c r="H130" s="8" t="n">
        <f aca="false">COUNTIFS(Pointage!$A$2:$A$967,$A130,Pointage!$D$2:$D$967,$B130,Pointage!$E$2:$E$967,$C130,Pointage!$Q$2:$Q$967,"NR")</f>
        <v>0</v>
      </c>
      <c r="I130" s="8" t="n">
        <f aca="false">COUNTIFS(Pointage!$A$2:$A$967,$A130,Pointage!$D$2:$D$967,$B130,Pointage!$E$2:$E$967,$C130,Pointage!$Q$2:$Q$967,"CP")</f>
        <v>2</v>
      </c>
      <c r="J130" s="8" t="n">
        <f aca="false">COUNTIFS(Pointage!$A$2:$A$967,$A130,Pointage!$D$2:$D$967,$B130,Pointage!$E$2:$E$967,$C130,Pointage!$Q$2:$Q$967,"F")</f>
        <v>0</v>
      </c>
      <c r="K130" s="8" t="n">
        <f aca="false">COUNTIFS(Pointage!$A$2:$A$967,$A130,Pointage!$D$2:$D$967,$B130,Pointage!$E$2:$E$967,$C130,Pointage!$P$2:$P$967,"&gt;0")</f>
        <v>0</v>
      </c>
      <c r="L130" s="8" t="n">
        <f aca="false">SUMIFS(Pointage!$P$2:$P$967,Pointage!$A$2:$A$967,$A130,Pointage!$D$2:$D$967,$B130,Pointage!$E$2:$E$967,$C130)</f>
        <v>0</v>
      </c>
      <c r="M130" s="11" t="n">
        <f aca="false">SUMIFS(Pointage!$L$2:$L$967,Pointage!$A$2:$A$967,$A130,Pointage!$D$2:$D$967,$B130,Pointage!$E$2:$E$967,$C130)</f>
        <v>0.75</v>
      </c>
      <c r="N130" s="11" t="n">
        <f aca="false">SUMIFS(Pointage!$M$2:$M$967,Pointage!$A$2:$A$967,$A130,Pointage!$D$2:$D$967,$B130,Pointage!$E$2:$E$967,$C130)</f>
        <v>0.75</v>
      </c>
      <c r="O130" s="10" t="n">
        <f aca="false">IFERROR(F130/(F130+G130),"")</f>
        <v>1</v>
      </c>
      <c r="P130" s="10" t="n">
        <f aca="false">IFERROR(N130/M130,"")</f>
        <v>1</v>
      </c>
    </row>
    <row r="131" customFormat="false" ht="15" hidden="false" customHeight="false" outlineLevel="0" collapsed="false">
      <c r="A131" s="7" t="s">
        <v>30</v>
      </c>
      <c r="B131" s="8" t="n">
        <v>2026</v>
      </c>
      <c r="C131" s="8" t="n">
        <v>21</v>
      </c>
      <c r="D131" s="8" t="s">
        <v>78</v>
      </c>
      <c r="E131" s="8" t="n">
        <f aca="false">F131+G131+H131</f>
        <v>5</v>
      </c>
      <c r="F131" s="8" t="n">
        <f aca="false">COUNTIFS(Pointage!$A$2:$A$967,$A131,Pointage!$D$2:$D$967,$B131,Pointage!$E$2:$E$967,$C131,Pointage!$Q$2:$Q$967,"P")</f>
        <v>5</v>
      </c>
      <c r="G131" s="17" t="n">
        <f aca="false">COUNTIFS(Pointage!$A$2:$A$967,$A131,Pointage!$D$2:$D$967,$B131,Pointage!$E$2:$E$967,$C131,Pointage!$Q$2:$Q$967,"A")</f>
        <v>0</v>
      </c>
      <c r="H131" s="8" t="n">
        <f aca="false">COUNTIFS(Pointage!$A$2:$A$967,$A131,Pointage!$D$2:$D$967,$B131,Pointage!$E$2:$E$967,$C131,Pointage!$Q$2:$Q$967,"NR")</f>
        <v>0</v>
      </c>
      <c r="I131" s="8" t="n">
        <f aca="false">COUNTIFS(Pointage!$A$2:$A$967,$A131,Pointage!$D$2:$D$967,$B131,Pointage!$E$2:$E$967,$C131,Pointage!$Q$2:$Q$967,"CP")</f>
        <v>0</v>
      </c>
      <c r="J131" s="8" t="n">
        <f aca="false">COUNTIFS(Pointage!$A$2:$A$967,$A131,Pointage!$D$2:$D$967,$B131,Pointage!$E$2:$E$967,$C131,Pointage!$Q$2:$Q$967,"F")</f>
        <v>0</v>
      </c>
      <c r="K131" s="8" t="n">
        <f aca="false">COUNTIFS(Pointage!$A$2:$A$967,$A131,Pointage!$D$2:$D$967,$B131,Pointage!$E$2:$E$967,$C131,Pointage!$P$2:$P$967,"&gt;0")</f>
        <v>1</v>
      </c>
      <c r="L131" s="8" t="n">
        <f aca="false">SUMIFS(Pointage!$P$2:$P$967,Pointage!$A$2:$A$967,$A131,Pointage!$D$2:$D$967,$B131,Pointage!$E$2:$E$967,$C131)</f>
        <v>8</v>
      </c>
      <c r="M131" s="11" t="n">
        <f aca="false">SUMIFS(Pointage!$L$2:$L$967,Pointage!$A$2:$A$967,$A131,Pointage!$D$2:$D$967,$B131,Pointage!$E$2:$E$967,$C131)</f>
        <v>1.83333333333333</v>
      </c>
      <c r="N131" s="11" t="n">
        <f aca="false">SUMIFS(Pointage!$M$2:$M$967,Pointage!$A$2:$A$967,$A131,Pointage!$D$2:$D$967,$B131,Pointage!$E$2:$E$967,$C131)</f>
        <v>1.83333333333333</v>
      </c>
      <c r="O131" s="10" t="n">
        <f aca="false">IFERROR(F131/(F131+G131),"")</f>
        <v>1</v>
      </c>
      <c r="P131" s="10" t="n">
        <f aca="false">IFERROR(N131/M131,"")</f>
        <v>1</v>
      </c>
    </row>
    <row r="132" customFormat="false" ht="15" hidden="false" customHeight="false" outlineLevel="0" collapsed="false">
      <c r="A132" s="7" t="s">
        <v>30</v>
      </c>
      <c r="B132" s="8" t="n">
        <v>2026</v>
      </c>
      <c r="C132" s="8" t="n">
        <v>22</v>
      </c>
      <c r="D132" s="8" t="s">
        <v>79</v>
      </c>
      <c r="E132" s="8" t="n">
        <f aca="false">F132+G132+H132</f>
        <v>4</v>
      </c>
      <c r="F132" s="8" t="n">
        <f aca="false">COUNTIFS(Pointage!$A$2:$A$967,$A132,Pointage!$D$2:$D$967,$B132,Pointage!$E$2:$E$967,$C132,Pointage!$Q$2:$Q$967,"P")</f>
        <v>4</v>
      </c>
      <c r="G132" s="17" t="n">
        <f aca="false">COUNTIFS(Pointage!$A$2:$A$967,$A132,Pointage!$D$2:$D$967,$B132,Pointage!$E$2:$E$967,$C132,Pointage!$Q$2:$Q$967,"A")</f>
        <v>0</v>
      </c>
      <c r="H132" s="8" t="n">
        <f aca="false">COUNTIFS(Pointage!$A$2:$A$967,$A132,Pointage!$D$2:$D$967,$B132,Pointage!$E$2:$E$967,$C132,Pointage!$Q$2:$Q$967,"NR")</f>
        <v>0</v>
      </c>
      <c r="I132" s="8" t="n">
        <f aca="false">COUNTIFS(Pointage!$A$2:$A$967,$A132,Pointage!$D$2:$D$967,$B132,Pointage!$E$2:$E$967,$C132,Pointage!$Q$2:$Q$967,"CP")</f>
        <v>0</v>
      </c>
      <c r="J132" s="8" t="n">
        <f aca="false">COUNTIFS(Pointage!$A$2:$A$967,$A132,Pointage!$D$2:$D$967,$B132,Pointage!$E$2:$E$967,$C132,Pointage!$Q$2:$Q$967,"F")</f>
        <v>0</v>
      </c>
      <c r="K132" s="8" t="n">
        <f aca="false">COUNTIFS(Pointage!$A$2:$A$967,$A132,Pointage!$D$2:$D$967,$B132,Pointage!$E$2:$E$967,$C132,Pointage!$P$2:$P$967,"&gt;0")</f>
        <v>0</v>
      </c>
      <c r="L132" s="8" t="n">
        <f aca="false">SUMIFS(Pointage!$P$2:$P$967,Pointage!$A$2:$A$967,$A132,Pointage!$D$2:$D$967,$B132,Pointage!$E$2:$E$967,$C132)</f>
        <v>0</v>
      </c>
      <c r="M132" s="11" t="n">
        <f aca="false">SUMIFS(Pointage!$L$2:$L$967,Pointage!$A$2:$A$967,$A132,Pointage!$D$2:$D$967,$B132,Pointage!$E$2:$E$967,$C132)</f>
        <v>1.45833333333333</v>
      </c>
      <c r="N132" s="11" t="n">
        <f aca="false">SUMIFS(Pointage!$M$2:$M$967,Pointage!$A$2:$A$967,$A132,Pointage!$D$2:$D$967,$B132,Pointage!$E$2:$E$967,$C132)</f>
        <v>1.45833333333333</v>
      </c>
      <c r="O132" s="10" t="n">
        <f aca="false">IFERROR(F132/(F132+G132),"")</f>
        <v>1</v>
      </c>
      <c r="P132" s="10" t="n">
        <f aca="false">IFERROR(N132/M132,"")</f>
        <v>1</v>
      </c>
    </row>
    <row r="133" customFormat="false" ht="15" hidden="false" customHeight="false" outlineLevel="0" collapsed="false">
      <c r="A133" s="7" t="s">
        <v>30</v>
      </c>
      <c r="B133" s="8" t="n">
        <v>2026</v>
      </c>
      <c r="C133" s="8" t="n">
        <v>23</v>
      </c>
      <c r="D133" s="8" t="s">
        <v>80</v>
      </c>
      <c r="E133" s="8" t="n">
        <f aca="false">F133+G133+H133</f>
        <v>5</v>
      </c>
      <c r="F133" s="8" t="n">
        <f aca="false">COUNTIFS(Pointage!$A$2:$A$967,$A133,Pointage!$D$2:$D$967,$B133,Pointage!$E$2:$E$967,$C133,Pointage!$Q$2:$Q$967,"P")</f>
        <v>5</v>
      </c>
      <c r="G133" s="17" t="n">
        <f aca="false">COUNTIFS(Pointage!$A$2:$A$967,$A133,Pointage!$D$2:$D$967,$B133,Pointage!$E$2:$E$967,$C133,Pointage!$Q$2:$Q$967,"A")</f>
        <v>0</v>
      </c>
      <c r="H133" s="8" t="n">
        <f aca="false">COUNTIFS(Pointage!$A$2:$A$967,$A133,Pointage!$D$2:$D$967,$B133,Pointage!$E$2:$E$967,$C133,Pointage!$Q$2:$Q$967,"NR")</f>
        <v>0</v>
      </c>
      <c r="I133" s="8" t="n">
        <f aca="false">COUNTIFS(Pointage!$A$2:$A$967,$A133,Pointage!$D$2:$D$967,$B133,Pointage!$E$2:$E$967,$C133,Pointage!$Q$2:$Q$967,"CP")</f>
        <v>0</v>
      </c>
      <c r="J133" s="8" t="n">
        <f aca="false">COUNTIFS(Pointage!$A$2:$A$967,$A133,Pointage!$D$2:$D$967,$B133,Pointage!$E$2:$E$967,$C133,Pointage!$Q$2:$Q$967,"F")</f>
        <v>0</v>
      </c>
      <c r="K133" s="8" t="n">
        <f aca="false">COUNTIFS(Pointage!$A$2:$A$967,$A133,Pointage!$D$2:$D$967,$B133,Pointage!$E$2:$E$967,$C133,Pointage!$P$2:$P$967,"&gt;0")</f>
        <v>1</v>
      </c>
      <c r="L133" s="8" t="n">
        <f aca="false">SUMIFS(Pointage!$P$2:$P$967,Pointage!$A$2:$A$967,$A133,Pointage!$D$2:$D$967,$B133,Pointage!$E$2:$E$967,$C133)</f>
        <v>5</v>
      </c>
      <c r="M133" s="11" t="n">
        <f aca="false">SUMIFS(Pointage!$L$2:$L$967,Pointage!$A$2:$A$967,$A133,Pointage!$D$2:$D$967,$B133,Pointage!$E$2:$E$967,$C133)</f>
        <v>1.83333333333333</v>
      </c>
      <c r="N133" s="11" t="n">
        <f aca="false">SUMIFS(Pointage!$M$2:$M$967,Pointage!$A$2:$A$967,$A133,Pointage!$D$2:$D$967,$B133,Pointage!$E$2:$E$967,$C133)</f>
        <v>1.83333333333333</v>
      </c>
      <c r="O133" s="10" t="n">
        <f aca="false">IFERROR(F133/(F133+G133),"")</f>
        <v>1</v>
      </c>
      <c r="P133" s="10" t="n">
        <f aca="false">IFERROR(N133/M133,"")</f>
        <v>1</v>
      </c>
    </row>
    <row r="134" customFormat="false" ht="15" hidden="false" customHeight="false" outlineLevel="0" collapsed="false">
      <c r="A134" s="7" t="s">
        <v>30</v>
      </c>
      <c r="B134" s="8" t="n">
        <v>2026</v>
      </c>
      <c r="C134" s="8" t="n">
        <v>24</v>
      </c>
      <c r="D134" s="8" t="s">
        <v>81</v>
      </c>
      <c r="E134" s="8" t="n">
        <f aca="false">F134+G134+H134</f>
        <v>5</v>
      </c>
      <c r="F134" s="8" t="n">
        <f aca="false">COUNTIFS(Pointage!$A$2:$A$967,$A134,Pointage!$D$2:$D$967,$B134,Pointage!$E$2:$E$967,$C134,Pointage!$Q$2:$Q$967,"P")</f>
        <v>5</v>
      </c>
      <c r="G134" s="17" t="n">
        <f aca="false">COUNTIFS(Pointage!$A$2:$A$967,$A134,Pointage!$D$2:$D$967,$B134,Pointage!$E$2:$E$967,$C134,Pointage!$Q$2:$Q$967,"A")</f>
        <v>0</v>
      </c>
      <c r="H134" s="8" t="n">
        <f aca="false">COUNTIFS(Pointage!$A$2:$A$967,$A134,Pointage!$D$2:$D$967,$B134,Pointage!$E$2:$E$967,$C134,Pointage!$Q$2:$Q$967,"NR")</f>
        <v>0</v>
      </c>
      <c r="I134" s="8" t="n">
        <f aca="false">COUNTIFS(Pointage!$A$2:$A$967,$A134,Pointage!$D$2:$D$967,$B134,Pointage!$E$2:$E$967,$C134,Pointage!$Q$2:$Q$967,"CP")</f>
        <v>0</v>
      </c>
      <c r="J134" s="8" t="n">
        <f aca="false">COUNTIFS(Pointage!$A$2:$A$967,$A134,Pointage!$D$2:$D$967,$B134,Pointage!$E$2:$E$967,$C134,Pointage!$Q$2:$Q$967,"F")</f>
        <v>0</v>
      </c>
      <c r="K134" s="8" t="n">
        <f aca="false">COUNTIFS(Pointage!$A$2:$A$967,$A134,Pointage!$D$2:$D$967,$B134,Pointage!$E$2:$E$967,$C134,Pointage!$P$2:$P$967,"&gt;0")</f>
        <v>0</v>
      </c>
      <c r="L134" s="8" t="n">
        <f aca="false">SUMIFS(Pointage!$P$2:$P$967,Pointage!$A$2:$A$967,$A134,Pointage!$D$2:$D$967,$B134,Pointage!$E$2:$E$967,$C134)</f>
        <v>0</v>
      </c>
      <c r="M134" s="11" t="n">
        <f aca="false">SUMIFS(Pointage!$L$2:$L$967,Pointage!$A$2:$A$967,$A134,Pointage!$D$2:$D$967,$B134,Pointage!$E$2:$E$967,$C134)</f>
        <v>1.83333333333333</v>
      </c>
      <c r="N134" s="11" t="n">
        <f aca="false">SUMIFS(Pointage!$M$2:$M$967,Pointage!$A$2:$A$967,$A134,Pointage!$D$2:$D$967,$B134,Pointage!$E$2:$E$967,$C134)</f>
        <v>1.83333333333333</v>
      </c>
      <c r="O134" s="10" t="n">
        <f aca="false">IFERROR(F134/(F134+G134),"")</f>
        <v>1</v>
      </c>
      <c r="P134" s="10" t="n">
        <f aca="false">IFERROR(N134/M134,"")</f>
        <v>1</v>
      </c>
    </row>
    <row r="135" customFormat="false" ht="15" hidden="false" customHeight="false" outlineLevel="0" collapsed="false">
      <c r="A135" s="7" t="s">
        <v>30</v>
      </c>
      <c r="B135" s="8" t="n">
        <v>2026</v>
      </c>
      <c r="C135" s="8" t="n">
        <v>25</v>
      </c>
      <c r="D135" s="8" t="s">
        <v>82</v>
      </c>
      <c r="E135" s="8" t="n">
        <f aca="false">F135+G135+H135</f>
        <v>5</v>
      </c>
      <c r="F135" s="8" t="n">
        <f aca="false">COUNTIFS(Pointage!$A$2:$A$967,$A135,Pointage!$D$2:$D$967,$B135,Pointage!$E$2:$E$967,$C135,Pointage!$Q$2:$Q$967,"P")</f>
        <v>5</v>
      </c>
      <c r="G135" s="17" t="n">
        <f aca="false">COUNTIFS(Pointage!$A$2:$A$967,$A135,Pointage!$D$2:$D$967,$B135,Pointage!$E$2:$E$967,$C135,Pointage!$Q$2:$Q$967,"A")</f>
        <v>0</v>
      </c>
      <c r="H135" s="8" t="n">
        <f aca="false">COUNTIFS(Pointage!$A$2:$A$967,$A135,Pointage!$D$2:$D$967,$B135,Pointage!$E$2:$E$967,$C135,Pointage!$Q$2:$Q$967,"NR")</f>
        <v>0</v>
      </c>
      <c r="I135" s="8" t="n">
        <f aca="false">COUNTIFS(Pointage!$A$2:$A$967,$A135,Pointage!$D$2:$D$967,$B135,Pointage!$E$2:$E$967,$C135,Pointage!$Q$2:$Q$967,"CP")</f>
        <v>0</v>
      </c>
      <c r="J135" s="8" t="n">
        <f aca="false">COUNTIFS(Pointage!$A$2:$A$967,$A135,Pointage!$D$2:$D$967,$B135,Pointage!$E$2:$E$967,$C135,Pointage!$Q$2:$Q$967,"F")</f>
        <v>0</v>
      </c>
      <c r="K135" s="8" t="n">
        <f aca="false">COUNTIFS(Pointage!$A$2:$A$967,$A135,Pointage!$D$2:$D$967,$B135,Pointage!$E$2:$E$967,$C135,Pointage!$P$2:$P$967,"&gt;0")</f>
        <v>0</v>
      </c>
      <c r="L135" s="8" t="n">
        <f aca="false">SUMIFS(Pointage!$P$2:$P$967,Pointage!$A$2:$A$967,$A135,Pointage!$D$2:$D$967,$B135,Pointage!$E$2:$E$967,$C135)</f>
        <v>0</v>
      </c>
      <c r="M135" s="11" t="n">
        <f aca="false">SUMIFS(Pointage!$L$2:$L$967,Pointage!$A$2:$A$967,$A135,Pointage!$D$2:$D$967,$B135,Pointage!$E$2:$E$967,$C135)</f>
        <v>1.83333333333333</v>
      </c>
      <c r="N135" s="11" t="n">
        <f aca="false">SUMIFS(Pointage!$M$2:$M$967,Pointage!$A$2:$A$967,$A135,Pointage!$D$2:$D$967,$B135,Pointage!$E$2:$E$967,$C135)</f>
        <v>1.83333333333333</v>
      </c>
      <c r="O135" s="10" t="n">
        <f aca="false">IFERROR(F135/(F135+G135),"")</f>
        <v>1</v>
      </c>
      <c r="P135" s="10" t="n">
        <f aca="false">IFERROR(N135/M135,"")</f>
        <v>1</v>
      </c>
    </row>
    <row r="136" customFormat="false" ht="15" hidden="false" customHeight="false" outlineLevel="0" collapsed="false">
      <c r="A136" s="7" t="s">
        <v>30</v>
      </c>
      <c r="B136" s="8" t="n">
        <v>2026</v>
      </c>
      <c r="C136" s="8" t="n">
        <v>26</v>
      </c>
      <c r="D136" s="8" t="s">
        <v>83</v>
      </c>
      <c r="E136" s="8" t="n">
        <f aca="false">F136+G136+H136</f>
        <v>5</v>
      </c>
      <c r="F136" s="8" t="n">
        <f aca="false">COUNTIFS(Pointage!$A$2:$A$967,$A136,Pointage!$D$2:$D$967,$B136,Pointage!$E$2:$E$967,$C136,Pointage!$Q$2:$Q$967,"P")</f>
        <v>5</v>
      </c>
      <c r="G136" s="17" t="n">
        <f aca="false">COUNTIFS(Pointage!$A$2:$A$967,$A136,Pointage!$D$2:$D$967,$B136,Pointage!$E$2:$E$967,$C136,Pointage!$Q$2:$Q$967,"A")</f>
        <v>0</v>
      </c>
      <c r="H136" s="8" t="n">
        <f aca="false">COUNTIFS(Pointage!$A$2:$A$967,$A136,Pointage!$D$2:$D$967,$B136,Pointage!$E$2:$E$967,$C136,Pointage!$Q$2:$Q$967,"NR")</f>
        <v>0</v>
      </c>
      <c r="I136" s="8" t="n">
        <f aca="false">COUNTIFS(Pointage!$A$2:$A$967,$A136,Pointage!$D$2:$D$967,$B136,Pointage!$E$2:$E$967,$C136,Pointage!$Q$2:$Q$967,"CP")</f>
        <v>0</v>
      </c>
      <c r="J136" s="8" t="n">
        <f aca="false">COUNTIFS(Pointage!$A$2:$A$967,$A136,Pointage!$D$2:$D$967,$B136,Pointage!$E$2:$E$967,$C136,Pointage!$Q$2:$Q$967,"F")</f>
        <v>0</v>
      </c>
      <c r="K136" s="8" t="n">
        <f aca="false">COUNTIFS(Pointage!$A$2:$A$967,$A136,Pointage!$D$2:$D$967,$B136,Pointage!$E$2:$E$967,$C136,Pointage!$P$2:$P$967,"&gt;0")</f>
        <v>1</v>
      </c>
      <c r="L136" s="8" t="n">
        <f aca="false">SUMIFS(Pointage!$P$2:$P$967,Pointage!$A$2:$A$967,$A136,Pointage!$D$2:$D$967,$B136,Pointage!$E$2:$E$967,$C136)</f>
        <v>51</v>
      </c>
      <c r="M136" s="11" t="n">
        <f aca="false">SUMIFS(Pointage!$L$2:$L$967,Pointage!$A$2:$A$967,$A136,Pointage!$D$2:$D$967,$B136,Pointage!$E$2:$E$967,$C136)</f>
        <v>1.83333333333333</v>
      </c>
      <c r="N136" s="11" t="n">
        <f aca="false">SUMIFS(Pointage!$M$2:$M$967,Pointage!$A$2:$A$967,$A136,Pointage!$D$2:$D$967,$B136,Pointage!$E$2:$E$967,$C136)</f>
        <v>1.83333333333333</v>
      </c>
      <c r="O136" s="10" t="n">
        <f aca="false">IFERROR(F136/(F136+G136),"")</f>
        <v>1</v>
      </c>
      <c r="P136" s="10" t="n">
        <f aca="false">IFERROR(N136/M136,"")</f>
        <v>1</v>
      </c>
    </row>
    <row r="137" customFormat="false" ht="15" hidden="false" customHeight="false" outlineLevel="0" collapsed="false">
      <c r="A137" s="7" t="s">
        <v>30</v>
      </c>
      <c r="B137" s="8" t="n">
        <v>2026</v>
      </c>
      <c r="C137" s="8" t="n">
        <v>27</v>
      </c>
      <c r="D137" s="8" t="s">
        <v>84</v>
      </c>
      <c r="E137" s="8" t="n">
        <f aca="false">F137+G137+H137</f>
        <v>5</v>
      </c>
      <c r="F137" s="8" t="n">
        <f aca="false">COUNTIFS(Pointage!$A$2:$A$967,$A137,Pointage!$D$2:$D$967,$B137,Pointage!$E$2:$E$967,$C137,Pointage!$Q$2:$Q$967,"P")</f>
        <v>5</v>
      </c>
      <c r="G137" s="17" t="n">
        <f aca="false">COUNTIFS(Pointage!$A$2:$A$967,$A137,Pointage!$D$2:$D$967,$B137,Pointage!$E$2:$E$967,$C137,Pointage!$Q$2:$Q$967,"A")</f>
        <v>0</v>
      </c>
      <c r="H137" s="8" t="n">
        <f aca="false">COUNTIFS(Pointage!$A$2:$A$967,$A137,Pointage!$D$2:$D$967,$B137,Pointage!$E$2:$E$967,$C137,Pointage!$Q$2:$Q$967,"NR")</f>
        <v>0</v>
      </c>
      <c r="I137" s="8" t="n">
        <f aca="false">COUNTIFS(Pointage!$A$2:$A$967,$A137,Pointage!$D$2:$D$967,$B137,Pointage!$E$2:$E$967,$C137,Pointage!$Q$2:$Q$967,"CP")</f>
        <v>0</v>
      </c>
      <c r="J137" s="8" t="n">
        <f aca="false">COUNTIFS(Pointage!$A$2:$A$967,$A137,Pointage!$D$2:$D$967,$B137,Pointage!$E$2:$E$967,$C137,Pointage!$Q$2:$Q$967,"F")</f>
        <v>0</v>
      </c>
      <c r="K137" s="8" t="n">
        <f aca="false">COUNTIFS(Pointage!$A$2:$A$967,$A137,Pointage!$D$2:$D$967,$B137,Pointage!$E$2:$E$967,$C137,Pointage!$P$2:$P$967,"&gt;0")</f>
        <v>0</v>
      </c>
      <c r="L137" s="8" t="n">
        <f aca="false">SUMIFS(Pointage!$P$2:$P$967,Pointage!$A$2:$A$967,$A137,Pointage!$D$2:$D$967,$B137,Pointage!$E$2:$E$967,$C137)</f>
        <v>0</v>
      </c>
      <c r="M137" s="11" t="n">
        <f aca="false">SUMIFS(Pointage!$L$2:$L$967,Pointage!$A$2:$A$967,$A137,Pointage!$D$2:$D$967,$B137,Pointage!$E$2:$E$967,$C137)</f>
        <v>1.83333333333333</v>
      </c>
      <c r="N137" s="11" t="n">
        <f aca="false">SUMIFS(Pointage!$M$2:$M$967,Pointage!$A$2:$A$967,$A137,Pointage!$D$2:$D$967,$B137,Pointage!$E$2:$E$967,$C137)</f>
        <v>1.83333333333333</v>
      </c>
      <c r="O137" s="10" t="n">
        <f aca="false">IFERROR(F137/(F137+G137),"")</f>
        <v>1</v>
      </c>
      <c r="P137" s="10" t="n">
        <f aca="false">IFERROR(N137/M137,"")</f>
        <v>1</v>
      </c>
    </row>
    <row r="138" customFormat="false" ht="15" hidden="false" customHeight="false" outlineLevel="0" collapsed="false">
      <c r="A138" s="7" t="s">
        <v>30</v>
      </c>
      <c r="B138" s="8" t="n">
        <v>2026</v>
      </c>
      <c r="C138" s="8" t="n">
        <v>28</v>
      </c>
      <c r="D138" s="8" t="s">
        <v>85</v>
      </c>
      <c r="E138" s="8" t="n">
        <f aca="false">F138+G138+H138</f>
        <v>5</v>
      </c>
      <c r="F138" s="8" t="n">
        <f aca="false">COUNTIFS(Pointage!$A$2:$A$967,$A138,Pointage!$D$2:$D$967,$B138,Pointage!$E$2:$E$967,$C138,Pointage!$Q$2:$Q$967,"P")</f>
        <v>5</v>
      </c>
      <c r="G138" s="17" t="n">
        <f aca="false">COUNTIFS(Pointage!$A$2:$A$967,$A138,Pointage!$D$2:$D$967,$B138,Pointage!$E$2:$E$967,$C138,Pointage!$Q$2:$Q$967,"A")</f>
        <v>0</v>
      </c>
      <c r="H138" s="8" t="n">
        <f aca="false">COUNTIFS(Pointage!$A$2:$A$967,$A138,Pointage!$D$2:$D$967,$B138,Pointage!$E$2:$E$967,$C138,Pointage!$Q$2:$Q$967,"NR")</f>
        <v>0</v>
      </c>
      <c r="I138" s="8" t="n">
        <f aca="false">COUNTIFS(Pointage!$A$2:$A$967,$A138,Pointage!$D$2:$D$967,$B138,Pointage!$E$2:$E$967,$C138,Pointage!$Q$2:$Q$967,"CP")</f>
        <v>0</v>
      </c>
      <c r="J138" s="8" t="n">
        <f aca="false">COUNTIFS(Pointage!$A$2:$A$967,$A138,Pointage!$D$2:$D$967,$B138,Pointage!$E$2:$E$967,$C138,Pointage!$Q$2:$Q$967,"F")</f>
        <v>0</v>
      </c>
      <c r="K138" s="8" t="n">
        <f aca="false">COUNTIFS(Pointage!$A$2:$A$967,$A138,Pointage!$D$2:$D$967,$B138,Pointage!$E$2:$E$967,$C138,Pointage!$P$2:$P$967,"&gt;0")</f>
        <v>0</v>
      </c>
      <c r="L138" s="8" t="n">
        <f aca="false">SUMIFS(Pointage!$P$2:$P$967,Pointage!$A$2:$A$967,$A138,Pointage!$D$2:$D$967,$B138,Pointage!$E$2:$E$967,$C138)</f>
        <v>0</v>
      </c>
      <c r="M138" s="11" t="n">
        <f aca="false">SUMIFS(Pointage!$L$2:$L$967,Pointage!$A$2:$A$967,$A138,Pointage!$D$2:$D$967,$B138,Pointage!$E$2:$E$967,$C138)</f>
        <v>1.83333333333333</v>
      </c>
      <c r="N138" s="11" t="n">
        <f aca="false">SUMIFS(Pointage!$M$2:$M$967,Pointage!$A$2:$A$967,$A138,Pointage!$D$2:$D$967,$B138,Pointage!$E$2:$E$967,$C138)</f>
        <v>1.83333333333333</v>
      </c>
      <c r="O138" s="10" t="n">
        <f aca="false">IFERROR(F138/(F138+G138),"")</f>
        <v>1</v>
      </c>
      <c r="P138" s="10" t="n">
        <f aca="false">IFERROR(N138/M138,"")</f>
        <v>1</v>
      </c>
    </row>
    <row r="139" customFormat="false" ht="15" hidden="false" customHeight="false" outlineLevel="0" collapsed="false">
      <c r="A139" s="7" t="s">
        <v>30</v>
      </c>
      <c r="B139" s="8" t="n">
        <v>2026</v>
      </c>
      <c r="C139" s="8" t="n">
        <v>29</v>
      </c>
      <c r="D139" s="8" t="s">
        <v>86</v>
      </c>
      <c r="E139" s="8" t="n">
        <f aca="false">F139+G139+H139</f>
        <v>3</v>
      </c>
      <c r="F139" s="8" t="n">
        <f aca="false">COUNTIFS(Pointage!$A$2:$A$967,$A139,Pointage!$D$2:$D$967,$B139,Pointage!$E$2:$E$967,$C139,Pointage!$Q$2:$Q$967,"P")</f>
        <v>3</v>
      </c>
      <c r="G139" s="17" t="n">
        <f aca="false">COUNTIFS(Pointage!$A$2:$A$967,$A139,Pointage!$D$2:$D$967,$B139,Pointage!$E$2:$E$967,$C139,Pointage!$Q$2:$Q$967,"A")</f>
        <v>0</v>
      </c>
      <c r="H139" s="8" t="n">
        <f aca="false">COUNTIFS(Pointage!$A$2:$A$967,$A139,Pointage!$D$2:$D$967,$B139,Pointage!$E$2:$E$967,$C139,Pointage!$Q$2:$Q$967,"NR")</f>
        <v>0</v>
      </c>
      <c r="I139" s="8" t="n">
        <f aca="false">COUNTIFS(Pointage!$A$2:$A$967,$A139,Pointage!$D$2:$D$967,$B139,Pointage!$E$2:$E$967,$C139,Pointage!$Q$2:$Q$967,"CP")</f>
        <v>1</v>
      </c>
      <c r="J139" s="8" t="n">
        <f aca="false">COUNTIFS(Pointage!$A$2:$A$967,$A139,Pointage!$D$2:$D$967,$B139,Pointage!$E$2:$E$967,$C139,Pointage!$Q$2:$Q$967,"F")</f>
        <v>0</v>
      </c>
      <c r="K139" s="8" t="n">
        <f aca="false">COUNTIFS(Pointage!$A$2:$A$967,$A139,Pointage!$D$2:$D$967,$B139,Pointage!$E$2:$E$967,$C139,Pointage!$P$2:$P$967,"&gt;0")</f>
        <v>0</v>
      </c>
      <c r="L139" s="8" t="n">
        <f aca="false">SUMIFS(Pointage!$P$2:$P$967,Pointage!$A$2:$A$967,$A139,Pointage!$D$2:$D$967,$B139,Pointage!$E$2:$E$967,$C139)</f>
        <v>0</v>
      </c>
      <c r="M139" s="11" t="n">
        <f aca="false">SUMIFS(Pointage!$L$2:$L$967,Pointage!$A$2:$A$967,$A139,Pointage!$D$2:$D$967,$B139,Pointage!$E$2:$E$967,$C139)</f>
        <v>1.08333333333333</v>
      </c>
      <c r="N139" s="11" t="n">
        <f aca="false">SUMIFS(Pointage!$M$2:$M$967,Pointage!$A$2:$A$967,$A139,Pointage!$D$2:$D$967,$B139,Pointage!$E$2:$E$967,$C139)</f>
        <v>1.08333333333333</v>
      </c>
      <c r="O139" s="10" t="n">
        <f aca="false">IFERROR(F139/(F139+G139),"")</f>
        <v>1</v>
      </c>
      <c r="P139" s="10" t="n">
        <f aca="false">IFERROR(N139/M139,"")</f>
        <v>1</v>
      </c>
    </row>
    <row r="140" customFormat="false" ht="15" hidden="false" customHeight="false" outlineLevel="0" collapsed="false">
      <c r="A140" s="7" t="s">
        <v>30</v>
      </c>
      <c r="B140" s="8" t="n">
        <v>2026</v>
      </c>
      <c r="C140" s="8" t="n">
        <v>30</v>
      </c>
      <c r="D140" s="8" t="s">
        <v>87</v>
      </c>
      <c r="E140" s="8" t="n">
        <f aca="false">F140+G140+H140</f>
        <v>4</v>
      </c>
      <c r="F140" s="8" t="n">
        <f aca="false">COUNTIFS(Pointage!$A$2:$A$967,$A140,Pointage!$D$2:$D$967,$B140,Pointage!$E$2:$E$967,$C140,Pointage!$Q$2:$Q$967,"P")</f>
        <v>4</v>
      </c>
      <c r="G140" s="17" t="n">
        <f aca="false">COUNTIFS(Pointage!$A$2:$A$967,$A140,Pointage!$D$2:$D$967,$B140,Pointage!$E$2:$E$967,$C140,Pointage!$Q$2:$Q$967,"A")</f>
        <v>0</v>
      </c>
      <c r="H140" s="8" t="n">
        <f aca="false">COUNTIFS(Pointage!$A$2:$A$967,$A140,Pointage!$D$2:$D$967,$B140,Pointage!$E$2:$E$967,$C140,Pointage!$Q$2:$Q$967,"NR")</f>
        <v>0</v>
      </c>
      <c r="I140" s="8" t="n">
        <f aca="false">COUNTIFS(Pointage!$A$2:$A$967,$A140,Pointage!$D$2:$D$967,$B140,Pointage!$E$2:$E$967,$C140,Pointage!$Q$2:$Q$967,"CP")</f>
        <v>1</v>
      </c>
      <c r="J140" s="8" t="n">
        <f aca="false">COUNTIFS(Pointage!$A$2:$A$967,$A140,Pointage!$D$2:$D$967,$B140,Pointage!$E$2:$E$967,$C140,Pointage!$Q$2:$Q$967,"F")</f>
        <v>0</v>
      </c>
      <c r="K140" s="8" t="n">
        <f aca="false">COUNTIFS(Pointage!$A$2:$A$967,$A140,Pointage!$D$2:$D$967,$B140,Pointage!$E$2:$E$967,$C140,Pointage!$P$2:$P$967,"&gt;0")</f>
        <v>0</v>
      </c>
      <c r="L140" s="8" t="n">
        <f aca="false">SUMIFS(Pointage!$P$2:$P$967,Pointage!$A$2:$A$967,$A140,Pointage!$D$2:$D$967,$B140,Pointage!$E$2:$E$967,$C140)</f>
        <v>0</v>
      </c>
      <c r="M140" s="11" t="n">
        <f aca="false">SUMIFS(Pointage!$L$2:$L$967,Pointage!$A$2:$A$967,$A140,Pointage!$D$2:$D$967,$B140,Pointage!$E$2:$E$967,$C140)</f>
        <v>1.5</v>
      </c>
      <c r="N140" s="11" t="n">
        <f aca="false">SUMIFS(Pointage!$M$2:$M$967,Pointage!$A$2:$A$967,$A140,Pointage!$D$2:$D$967,$B140,Pointage!$E$2:$E$967,$C140)</f>
        <v>1.5</v>
      </c>
      <c r="O140" s="10" t="n">
        <f aca="false">IFERROR(F140/(F140+G140),"")</f>
        <v>1</v>
      </c>
      <c r="P140" s="10" t="n">
        <f aca="false">IFERROR(N140/M140,"")</f>
        <v>1</v>
      </c>
    </row>
    <row r="141" customFormat="false" ht="15" hidden="false" customHeight="false" outlineLevel="0" collapsed="false">
      <c r="A141" s="7" t="s">
        <v>30</v>
      </c>
      <c r="B141" s="8" t="n">
        <v>2026</v>
      </c>
      <c r="C141" s="8" t="n">
        <v>31</v>
      </c>
      <c r="D141" s="8" t="s">
        <v>88</v>
      </c>
      <c r="E141" s="8" t="n">
        <f aca="false">F141+G141+H141</f>
        <v>5</v>
      </c>
      <c r="F141" s="8" t="n">
        <f aca="false">COUNTIFS(Pointage!$A$2:$A$967,$A141,Pointage!$D$2:$D$967,$B141,Pointage!$E$2:$E$967,$C141,Pointage!$Q$2:$Q$967,"P")</f>
        <v>5</v>
      </c>
      <c r="G141" s="17" t="n">
        <f aca="false">COUNTIFS(Pointage!$A$2:$A$967,$A141,Pointage!$D$2:$D$967,$B141,Pointage!$E$2:$E$967,$C141,Pointage!$Q$2:$Q$967,"A")</f>
        <v>0</v>
      </c>
      <c r="H141" s="8" t="n">
        <f aca="false">COUNTIFS(Pointage!$A$2:$A$967,$A141,Pointage!$D$2:$D$967,$B141,Pointage!$E$2:$E$967,$C141,Pointage!$Q$2:$Q$967,"NR")</f>
        <v>0</v>
      </c>
      <c r="I141" s="8" t="n">
        <f aca="false">COUNTIFS(Pointage!$A$2:$A$967,$A141,Pointage!$D$2:$D$967,$B141,Pointage!$E$2:$E$967,$C141,Pointage!$Q$2:$Q$967,"CP")</f>
        <v>0</v>
      </c>
      <c r="J141" s="8" t="n">
        <f aca="false">COUNTIFS(Pointage!$A$2:$A$967,$A141,Pointage!$D$2:$D$967,$B141,Pointage!$E$2:$E$967,$C141,Pointage!$Q$2:$Q$967,"F")</f>
        <v>0</v>
      </c>
      <c r="K141" s="8" t="n">
        <f aca="false">COUNTIFS(Pointage!$A$2:$A$967,$A141,Pointage!$D$2:$D$967,$B141,Pointage!$E$2:$E$967,$C141,Pointage!$P$2:$P$967,"&gt;0")</f>
        <v>0</v>
      </c>
      <c r="L141" s="8" t="n">
        <f aca="false">SUMIFS(Pointage!$P$2:$P$967,Pointage!$A$2:$A$967,$A141,Pointage!$D$2:$D$967,$B141,Pointage!$E$2:$E$967,$C141)</f>
        <v>0</v>
      </c>
      <c r="M141" s="11" t="n">
        <f aca="false">SUMIFS(Pointage!$L$2:$L$967,Pointage!$A$2:$A$967,$A141,Pointage!$D$2:$D$967,$B141,Pointage!$E$2:$E$967,$C141)</f>
        <v>1.83333333333333</v>
      </c>
      <c r="N141" s="11" t="n">
        <f aca="false">SUMIFS(Pointage!$M$2:$M$967,Pointage!$A$2:$A$967,$A141,Pointage!$D$2:$D$967,$B141,Pointage!$E$2:$E$967,$C141)</f>
        <v>1.83333333333333</v>
      </c>
      <c r="O141" s="10" t="n">
        <f aca="false">IFERROR(F141/(F141+G141),"")</f>
        <v>1</v>
      </c>
      <c r="P141" s="10" t="n">
        <f aca="false">IFERROR(N141/M141,"")</f>
        <v>1</v>
      </c>
    </row>
    <row r="142" customFormat="false" ht="15" hidden="false" customHeight="false" outlineLevel="0" collapsed="false">
      <c r="A142" s="7" t="s">
        <v>30</v>
      </c>
      <c r="B142" s="8" t="n">
        <v>2026</v>
      </c>
      <c r="C142" s="8" t="n">
        <v>32</v>
      </c>
      <c r="D142" s="8" t="s">
        <v>89</v>
      </c>
      <c r="E142" s="8" t="n">
        <f aca="false">F142+G142+H142</f>
        <v>5</v>
      </c>
      <c r="F142" s="8" t="n">
        <f aca="false">COUNTIFS(Pointage!$A$2:$A$967,$A142,Pointage!$D$2:$D$967,$B142,Pointage!$E$2:$E$967,$C142,Pointage!$Q$2:$Q$967,"P")</f>
        <v>5</v>
      </c>
      <c r="G142" s="17" t="n">
        <f aca="false">COUNTIFS(Pointage!$A$2:$A$967,$A142,Pointage!$D$2:$D$967,$B142,Pointage!$E$2:$E$967,$C142,Pointage!$Q$2:$Q$967,"A")</f>
        <v>0</v>
      </c>
      <c r="H142" s="8" t="n">
        <f aca="false">COUNTIFS(Pointage!$A$2:$A$967,$A142,Pointage!$D$2:$D$967,$B142,Pointage!$E$2:$E$967,$C142,Pointage!$Q$2:$Q$967,"NR")</f>
        <v>0</v>
      </c>
      <c r="I142" s="8" t="n">
        <f aca="false">COUNTIFS(Pointage!$A$2:$A$967,$A142,Pointage!$D$2:$D$967,$B142,Pointage!$E$2:$E$967,$C142,Pointage!$Q$2:$Q$967,"CP")</f>
        <v>0</v>
      </c>
      <c r="J142" s="8" t="n">
        <f aca="false">COUNTIFS(Pointage!$A$2:$A$967,$A142,Pointage!$D$2:$D$967,$B142,Pointage!$E$2:$E$967,$C142,Pointage!$Q$2:$Q$967,"F")</f>
        <v>0</v>
      </c>
      <c r="K142" s="8" t="n">
        <f aca="false">COUNTIFS(Pointage!$A$2:$A$967,$A142,Pointage!$D$2:$D$967,$B142,Pointage!$E$2:$E$967,$C142,Pointage!$P$2:$P$967,"&gt;0")</f>
        <v>1</v>
      </c>
      <c r="L142" s="8" t="n">
        <f aca="false">SUMIFS(Pointage!$P$2:$P$967,Pointage!$A$2:$A$967,$A142,Pointage!$D$2:$D$967,$B142,Pointage!$E$2:$E$967,$C142)</f>
        <v>21</v>
      </c>
      <c r="M142" s="11" t="n">
        <f aca="false">SUMIFS(Pointage!$L$2:$L$967,Pointage!$A$2:$A$967,$A142,Pointage!$D$2:$D$967,$B142,Pointage!$E$2:$E$967,$C142)</f>
        <v>1.83333333333333</v>
      </c>
      <c r="N142" s="11" t="n">
        <f aca="false">SUMIFS(Pointage!$M$2:$M$967,Pointage!$A$2:$A$967,$A142,Pointage!$D$2:$D$967,$B142,Pointage!$E$2:$E$967,$C142)</f>
        <v>1.83333333333333</v>
      </c>
      <c r="O142" s="10" t="n">
        <f aca="false">IFERROR(F142/(F142+G142),"")</f>
        <v>1</v>
      </c>
      <c r="P142" s="10" t="n">
        <f aca="false">IFERROR(N142/M142,"")</f>
        <v>1</v>
      </c>
    </row>
    <row r="143" customFormat="false" ht="15" hidden="false" customHeight="false" outlineLevel="0" collapsed="false">
      <c r="A143" s="7" t="s">
        <v>30</v>
      </c>
      <c r="B143" s="8" t="n">
        <v>2026</v>
      </c>
      <c r="C143" s="8" t="n">
        <v>33</v>
      </c>
      <c r="D143" s="8" t="s">
        <v>90</v>
      </c>
      <c r="E143" s="8" t="n">
        <f aca="false">F143+G143+H143</f>
        <v>5</v>
      </c>
      <c r="F143" s="8" t="n">
        <f aca="false">COUNTIFS(Pointage!$A$2:$A$967,$A143,Pointage!$D$2:$D$967,$B143,Pointage!$E$2:$E$967,$C143,Pointage!$Q$2:$Q$967,"P")</f>
        <v>5</v>
      </c>
      <c r="G143" s="17" t="n">
        <f aca="false">COUNTIFS(Pointage!$A$2:$A$967,$A143,Pointage!$D$2:$D$967,$B143,Pointage!$E$2:$E$967,$C143,Pointage!$Q$2:$Q$967,"A")</f>
        <v>0</v>
      </c>
      <c r="H143" s="8" t="n">
        <f aca="false">COUNTIFS(Pointage!$A$2:$A$967,$A143,Pointage!$D$2:$D$967,$B143,Pointage!$E$2:$E$967,$C143,Pointage!$Q$2:$Q$967,"NR")</f>
        <v>0</v>
      </c>
      <c r="I143" s="8" t="n">
        <f aca="false">COUNTIFS(Pointage!$A$2:$A$967,$A143,Pointage!$D$2:$D$967,$B143,Pointage!$E$2:$E$967,$C143,Pointage!$Q$2:$Q$967,"CP")</f>
        <v>0</v>
      </c>
      <c r="J143" s="8" t="n">
        <f aca="false">COUNTIFS(Pointage!$A$2:$A$967,$A143,Pointage!$D$2:$D$967,$B143,Pointage!$E$2:$E$967,$C143,Pointage!$Q$2:$Q$967,"F")</f>
        <v>0</v>
      </c>
      <c r="K143" s="8" t="n">
        <f aca="false">COUNTIFS(Pointage!$A$2:$A$967,$A143,Pointage!$D$2:$D$967,$B143,Pointage!$E$2:$E$967,$C143,Pointage!$P$2:$P$967,"&gt;0")</f>
        <v>0</v>
      </c>
      <c r="L143" s="8" t="n">
        <f aca="false">SUMIFS(Pointage!$P$2:$P$967,Pointage!$A$2:$A$967,$A143,Pointage!$D$2:$D$967,$B143,Pointage!$E$2:$E$967,$C143)</f>
        <v>0</v>
      </c>
      <c r="M143" s="11" t="n">
        <f aca="false">SUMIFS(Pointage!$L$2:$L$967,Pointage!$A$2:$A$967,$A143,Pointage!$D$2:$D$967,$B143,Pointage!$E$2:$E$967,$C143)</f>
        <v>1.83333333333333</v>
      </c>
      <c r="N143" s="11" t="n">
        <f aca="false">SUMIFS(Pointage!$M$2:$M$967,Pointage!$A$2:$A$967,$A143,Pointage!$D$2:$D$967,$B143,Pointage!$E$2:$E$967,$C143)</f>
        <v>1.83333333333333</v>
      </c>
      <c r="O143" s="10" t="n">
        <f aca="false">IFERROR(F143/(F143+G143),"")</f>
        <v>1</v>
      </c>
      <c r="P143" s="10" t="n">
        <f aca="false">IFERROR(N143/M143,"")</f>
        <v>1</v>
      </c>
    </row>
    <row r="144" customFormat="false" ht="15" hidden="false" customHeight="false" outlineLevel="0" collapsed="false">
      <c r="A144" s="7" t="s">
        <v>30</v>
      </c>
      <c r="B144" s="8" t="n">
        <v>2026</v>
      </c>
      <c r="C144" s="8" t="n">
        <v>34</v>
      </c>
      <c r="D144" s="8" t="s">
        <v>91</v>
      </c>
      <c r="E144" s="8" t="n">
        <f aca="false">F144+G144+H144</f>
        <v>5</v>
      </c>
      <c r="F144" s="8" t="n">
        <f aca="false">COUNTIFS(Pointage!$A$2:$A$967,$A144,Pointage!$D$2:$D$967,$B144,Pointage!$E$2:$E$967,$C144,Pointage!$Q$2:$Q$967,"P")</f>
        <v>5</v>
      </c>
      <c r="G144" s="17" t="n">
        <f aca="false">COUNTIFS(Pointage!$A$2:$A$967,$A144,Pointage!$D$2:$D$967,$B144,Pointage!$E$2:$E$967,$C144,Pointage!$Q$2:$Q$967,"A")</f>
        <v>0</v>
      </c>
      <c r="H144" s="8" t="n">
        <f aca="false">COUNTIFS(Pointage!$A$2:$A$967,$A144,Pointage!$D$2:$D$967,$B144,Pointage!$E$2:$E$967,$C144,Pointage!$Q$2:$Q$967,"NR")</f>
        <v>0</v>
      </c>
      <c r="I144" s="8" t="n">
        <f aca="false">COUNTIFS(Pointage!$A$2:$A$967,$A144,Pointage!$D$2:$D$967,$B144,Pointage!$E$2:$E$967,$C144,Pointage!$Q$2:$Q$967,"CP")</f>
        <v>0</v>
      </c>
      <c r="J144" s="8" t="n">
        <f aca="false">COUNTIFS(Pointage!$A$2:$A$967,$A144,Pointage!$D$2:$D$967,$B144,Pointage!$E$2:$E$967,$C144,Pointage!$Q$2:$Q$967,"F")</f>
        <v>0</v>
      </c>
      <c r="K144" s="8" t="n">
        <f aca="false">COUNTIFS(Pointage!$A$2:$A$967,$A144,Pointage!$D$2:$D$967,$B144,Pointage!$E$2:$E$967,$C144,Pointage!$P$2:$P$967,"&gt;0")</f>
        <v>0</v>
      </c>
      <c r="L144" s="8" t="n">
        <f aca="false">SUMIFS(Pointage!$P$2:$P$967,Pointage!$A$2:$A$967,$A144,Pointage!$D$2:$D$967,$B144,Pointage!$E$2:$E$967,$C144)</f>
        <v>0</v>
      </c>
      <c r="M144" s="11" t="n">
        <f aca="false">SUMIFS(Pointage!$L$2:$L$967,Pointage!$A$2:$A$967,$A144,Pointage!$D$2:$D$967,$B144,Pointage!$E$2:$E$967,$C144)</f>
        <v>1.83333333333333</v>
      </c>
      <c r="N144" s="11" t="n">
        <f aca="false">SUMIFS(Pointage!$M$2:$M$967,Pointage!$A$2:$A$967,$A144,Pointage!$D$2:$D$967,$B144,Pointage!$E$2:$E$967,$C144)</f>
        <v>1.83333333333333</v>
      </c>
      <c r="O144" s="10" t="n">
        <f aca="false">IFERROR(F144/(F144+G144),"")</f>
        <v>1</v>
      </c>
      <c r="P144" s="10" t="n">
        <f aca="false">IFERROR(N144/M144,"")</f>
        <v>1</v>
      </c>
    </row>
    <row r="145" customFormat="false" ht="15" hidden="false" customHeight="false" outlineLevel="0" collapsed="false">
      <c r="A145" s="7" t="s">
        <v>30</v>
      </c>
      <c r="B145" s="8" t="n">
        <v>2026</v>
      </c>
      <c r="C145" s="8" t="n">
        <v>35</v>
      </c>
      <c r="D145" s="8" t="s">
        <v>92</v>
      </c>
      <c r="E145" s="8" t="n">
        <f aca="false">F145+G145+H145</f>
        <v>5</v>
      </c>
      <c r="F145" s="8" t="n">
        <f aca="false">COUNTIFS(Pointage!$A$2:$A$967,$A145,Pointage!$D$2:$D$967,$B145,Pointage!$E$2:$E$967,$C145,Pointage!$Q$2:$Q$967,"P")</f>
        <v>5</v>
      </c>
      <c r="G145" s="17" t="n">
        <f aca="false">COUNTIFS(Pointage!$A$2:$A$967,$A145,Pointage!$D$2:$D$967,$B145,Pointage!$E$2:$E$967,$C145,Pointage!$Q$2:$Q$967,"A")</f>
        <v>0</v>
      </c>
      <c r="H145" s="8" t="n">
        <f aca="false">COUNTIFS(Pointage!$A$2:$A$967,$A145,Pointage!$D$2:$D$967,$B145,Pointage!$E$2:$E$967,$C145,Pointage!$Q$2:$Q$967,"NR")</f>
        <v>0</v>
      </c>
      <c r="I145" s="8" t="n">
        <f aca="false">COUNTIFS(Pointage!$A$2:$A$967,$A145,Pointage!$D$2:$D$967,$B145,Pointage!$E$2:$E$967,$C145,Pointage!$Q$2:$Q$967,"CP")</f>
        <v>0</v>
      </c>
      <c r="J145" s="8" t="n">
        <f aca="false">COUNTIFS(Pointage!$A$2:$A$967,$A145,Pointage!$D$2:$D$967,$B145,Pointage!$E$2:$E$967,$C145,Pointage!$Q$2:$Q$967,"F")</f>
        <v>0</v>
      </c>
      <c r="K145" s="8" t="n">
        <f aca="false">COUNTIFS(Pointage!$A$2:$A$967,$A145,Pointage!$D$2:$D$967,$B145,Pointage!$E$2:$E$967,$C145,Pointage!$P$2:$P$967,"&gt;0")</f>
        <v>0</v>
      </c>
      <c r="L145" s="8" t="n">
        <f aca="false">SUMIFS(Pointage!$P$2:$P$967,Pointage!$A$2:$A$967,$A145,Pointage!$D$2:$D$967,$B145,Pointage!$E$2:$E$967,$C145)</f>
        <v>0</v>
      </c>
      <c r="M145" s="11" t="n">
        <f aca="false">SUMIFS(Pointage!$L$2:$L$967,Pointage!$A$2:$A$967,$A145,Pointage!$D$2:$D$967,$B145,Pointage!$E$2:$E$967,$C145)</f>
        <v>1.83333333333333</v>
      </c>
      <c r="N145" s="11" t="n">
        <f aca="false">SUMIFS(Pointage!$M$2:$M$967,Pointage!$A$2:$A$967,$A145,Pointage!$D$2:$D$967,$B145,Pointage!$E$2:$E$967,$C145)</f>
        <v>1.83333333333333</v>
      </c>
      <c r="O145" s="10" t="n">
        <f aca="false">IFERROR(F145/(F145+G145),"")</f>
        <v>1</v>
      </c>
      <c r="P145" s="10" t="n">
        <f aca="false">IFERROR(N145/M145,"")</f>
        <v>1</v>
      </c>
    </row>
    <row r="146" customFormat="false" ht="15" hidden="false" customHeight="false" outlineLevel="0" collapsed="false">
      <c r="A146" s="7" t="s">
        <v>30</v>
      </c>
      <c r="B146" s="8" t="n">
        <v>2026</v>
      </c>
      <c r="C146" s="8" t="n">
        <v>36</v>
      </c>
      <c r="D146" s="8" t="s">
        <v>93</v>
      </c>
      <c r="E146" s="8" t="n">
        <f aca="false">F146+G146+H146</f>
        <v>5</v>
      </c>
      <c r="F146" s="8" t="n">
        <f aca="false">COUNTIFS(Pointage!$A$2:$A$967,$A146,Pointage!$D$2:$D$967,$B146,Pointage!$E$2:$E$967,$C146,Pointage!$Q$2:$Q$967,"P")</f>
        <v>5</v>
      </c>
      <c r="G146" s="17" t="n">
        <f aca="false">COUNTIFS(Pointage!$A$2:$A$967,$A146,Pointage!$D$2:$D$967,$B146,Pointage!$E$2:$E$967,$C146,Pointage!$Q$2:$Q$967,"A")</f>
        <v>0</v>
      </c>
      <c r="H146" s="8" t="n">
        <f aca="false">COUNTIFS(Pointage!$A$2:$A$967,$A146,Pointage!$D$2:$D$967,$B146,Pointage!$E$2:$E$967,$C146,Pointage!$Q$2:$Q$967,"NR")</f>
        <v>0</v>
      </c>
      <c r="I146" s="8" t="n">
        <f aca="false">COUNTIFS(Pointage!$A$2:$A$967,$A146,Pointage!$D$2:$D$967,$B146,Pointage!$E$2:$E$967,$C146,Pointage!$Q$2:$Q$967,"CP")</f>
        <v>0</v>
      </c>
      <c r="J146" s="8" t="n">
        <f aca="false">COUNTIFS(Pointage!$A$2:$A$967,$A146,Pointage!$D$2:$D$967,$B146,Pointage!$E$2:$E$967,$C146,Pointage!$Q$2:$Q$967,"F")</f>
        <v>0</v>
      </c>
      <c r="K146" s="8" t="n">
        <f aca="false">COUNTIFS(Pointage!$A$2:$A$967,$A146,Pointage!$D$2:$D$967,$B146,Pointage!$E$2:$E$967,$C146,Pointage!$P$2:$P$967,"&gt;0")</f>
        <v>0</v>
      </c>
      <c r="L146" s="8" t="n">
        <f aca="false">SUMIFS(Pointage!$P$2:$P$967,Pointage!$A$2:$A$967,$A146,Pointage!$D$2:$D$967,$B146,Pointage!$E$2:$E$967,$C146)</f>
        <v>0</v>
      </c>
      <c r="M146" s="11" t="n">
        <f aca="false">SUMIFS(Pointage!$L$2:$L$967,Pointage!$A$2:$A$967,$A146,Pointage!$D$2:$D$967,$B146,Pointage!$E$2:$E$967,$C146)</f>
        <v>1.83333333333333</v>
      </c>
      <c r="N146" s="11" t="n">
        <f aca="false">SUMIFS(Pointage!$M$2:$M$967,Pointage!$A$2:$A$967,$A146,Pointage!$D$2:$D$967,$B146,Pointage!$E$2:$E$967,$C146)</f>
        <v>1.83333333333333</v>
      </c>
      <c r="O146" s="10" t="n">
        <f aca="false">IFERROR(F146/(F146+G146),"")</f>
        <v>1</v>
      </c>
      <c r="P146" s="10" t="n">
        <f aca="false">IFERROR(N146/M146,"")</f>
        <v>1</v>
      </c>
    </row>
    <row r="147" customFormat="false" ht="15" hidden="false" customHeight="false" outlineLevel="0" collapsed="false">
      <c r="A147" s="7" t="s">
        <v>30</v>
      </c>
      <c r="B147" s="8" t="n">
        <v>2026</v>
      </c>
      <c r="C147" s="8" t="n">
        <v>37</v>
      </c>
      <c r="D147" s="8" t="s">
        <v>94</v>
      </c>
      <c r="E147" s="8" t="n">
        <f aca="false">F147+G147+H147</f>
        <v>5</v>
      </c>
      <c r="F147" s="8" t="n">
        <f aca="false">COUNTIFS(Pointage!$A$2:$A$967,$A147,Pointage!$D$2:$D$967,$B147,Pointage!$E$2:$E$967,$C147,Pointage!$Q$2:$Q$967,"P")</f>
        <v>5</v>
      </c>
      <c r="G147" s="17" t="n">
        <f aca="false">COUNTIFS(Pointage!$A$2:$A$967,$A147,Pointage!$D$2:$D$967,$B147,Pointage!$E$2:$E$967,$C147,Pointage!$Q$2:$Q$967,"A")</f>
        <v>0</v>
      </c>
      <c r="H147" s="8" t="n">
        <f aca="false">COUNTIFS(Pointage!$A$2:$A$967,$A147,Pointage!$D$2:$D$967,$B147,Pointage!$E$2:$E$967,$C147,Pointage!$Q$2:$Q$967,"NR")</f>
        <v>0</v>
      </c>
      <c r="I147" s="8" t="n">
        <f aca="false">COUNTIFS(Pointage!$A$2:$A$967,$A147,Pointage!$D$2:$D$967,$B147,Pointage!$E$2:$E$967,$C147,Pointage!$Q$2:$Q$967,"CP")</f>
        <v>0</v>
      </c>
      <c r="J147" s="8" t="n">
        <f aca="false">COUNTIFS(Pointage!$A$2:$A$967,$A147,Pointage!$D$2:$D$967,$B147,Pointage!$E$2:$E$967,$C147,Pointage!$Q$2:$Q$967,"F")</f>
        <v>0</v>
      </c>
      <c r="K147" s="8" t="n">
        <f aca="false">COUNTIFS(Pointage!$A$2:$A$967,$A147,Pointage!$D$2:$D$967,$B147,Pointage!$E$2:$E$967,$C147,Pointage!$P$2:$P$967,"&gt;0")</f>
        <v>0</v>
      </c>
      <c r="L147" s="8" t="n">
        <f aca="false">SUMIFS(Pointage!$P$2:$P$967,Pointage!$A$2:$A$967,$A147,Pointage!$D$2:$D$967,$B147,Pointage!$E$2:$E$967,$C147)</f>
        <v>0</v>
      </c>
      <c r="M147" s="11" t="n">
        <f aca="false">SUMIFS(Pointage!$L$2:$L$967,Pointage!$A$2:$A$967,$A147,Pointage!$D$2:$D$967,$B147,Pointage!$E$2:$E$967,$C147)</f>
        <v>1.83333333333333</v>
      </c>
      <c r="N147" s="11" t="n">
        <f aca="false">SUMIFS(Pointage!$M$2:$M$967,Pointage!$A$2:$A$967,$A147,Pointage!$D$2:$D$967,$B147,Pointage!$E$2:$E$967,$C147)</f>
        <v>1.83333333333333</v>
      </c>
      <c r="O147" s="10" t="n">
        <f aca="false">IFERROR(F147/(F147+G147),"")</f>
        <v>1</v>
      </c>
      <c r="P147" s="10" t="n">
        <f aca="false">IFERROR(N147/M147,"")</f>
        <v>1</v>
      </c>
    </row>
    <row r="148" customFormat="false" ht="15" hidden="false" customHeight="false" outlineLevel="0" collapsed="false">
      <c r="A148" s="7" t="s">
        <v>30</v>
      </c>
      <c r="B148" s="8" t="n">
        <v>2026</v>
      </c>
      <c r="C148" s="8" t="n">
        <v>38</v>
      </c>
      <c r="D148" s="8" t="s">
        <v>95</v>
      </c>
      <c r="E148" s="8" t="n">
        <f aca="false">F148+G148+H148</f>
        <v>5</v>
      </c>
      <c r="F148" s="8" t="n">
        <f aca="false">COUNTIFS(Pointage!$A$2:$A$967,$A148,Pointage!$D$2:$D$967,$B148,Pointage!$E$2:$E$967,$C148,Pointage!$Q$2:$Q$967,"P")</f>
        <v>5</v>
      </c>
      <c r="G148" s="17" t="n">
        <f aca="false">COUNTIFS(Pointage!$A$2:$A$967,$A148,Pointage!$D$2:$D$967,$B148,Pointage!$E$2:$E$967,$C148,Pointage!$Q$2:$Q$967,"A")</f>
        <v>0</v>
      </c>
      <c r="H148" s="8" t="n">
        <f aca="false">COUNTIFS(Pointage!$A$2:$A$967,$A148,Pointage!$D$2:$D$967,$B148,Pointage!$E$2:$E$967,$C148,Pointage!$Q$2:$Q$967,"NR")</f>
        <v>0</v>
      </c>
      <c r="I148" s="8" t="n">
        <f aca="false">COUNTIFS(Pointage!$A$2:$A$967,$A148,Pointage!$D$2:$D$967,$B148,Pointage!$E$2:$E$967,$C148,Pointage!$Q$2:$Q$967,"CP")</f>
        <v>0</v>
      </c>
      <c r="J148" s="8" t="n">
        <f aca="false">COUNTIFS(Pointage!$A$2:$A$967,$A148,Pointage!$D$2:$D$967,$B148,Pointage!$E$2:$E$967,$C148,Pointage!$Q$2:$Q$967,"F")</f>
        <v>0</v>
      </c>
      <c r="K148" s="8" t="n">
        <f aca="false">COUNTIFS(Pointage!$A$2:$A$967,$A148,Pointage!$D$2:$D$967,$B148,Pointage!$E$2:$E$967,$C148,Pointage!$P$2:$P$967,"&gt;0")</f>
        <v>1</v>
      </c>
      <c r="L148" s="8" t="n">
        <f aca="false">SUMIFS(Pointage!$P$2:$P$967,Pointage!$A$2:$A$967,$A148,Pointage!$D$2:$D$967,$B148,Pointage!$E$2:$E$967,$C148)</f>
        <v>17</v>
      </c>
      <c r="M148" s="11" t="n">
        <f aca="false">SUMIFS(Pointage!$L$2:$L$967,Pointage!$A$2:$A$967,$A148,Pointage!$D$2:$D$967,$B148,Pointage!$E$2:$E$967,$C148)</f>
        <v>1.83333333333333</v>
      </c>
      <c r="N148" s="11" t="n">
        <f aca="false">SUMIFS(Pointage!$M$2:$M$967,Pointage!$A$2:$A$967,$A148,Pointage!$D$2:$D$967,$B148,Pointage!$E$2:$E$967,$C148)</f>
        <v>1.83333333333333</v>
      </c>
      <c r="O148" s="10" t="n">
        <f aca="false">IFERROR(F148/(F148+G148),"")</f>
        <v>1</v>
      </c>
      <c r="P148" s="10" t="n">
        <f aca="false">IFERROR(N148/M148,"")</f>
        <v>1</v>
      </c>
    </row>
    <row r="149" customFormat="false" ht="15" hidden="false" customHeight="false" outlineLevel="0" collapsed="false">
      <c r="A149" s="7" t="s">
        <v>30</v>
      </c>
      <c r="B149" s="8" t="n">
        <v>2026</v>
      </c>
      <c r="C149" s="8" t="n">
        <v>39</v>
      </c>
      <c r="D149" s="8" t="s">
        <v>96</v>
      </c>
      <c r="E149" s="8" t="n">
        <f aca="false">F149+G149+H149</f>
        <v>5</v>
      </c>
      <c r="F149" s="8" t="n">
        <f aca="false">COUNTIFS(Pointage!$A$2:$A$967,$A149,Pointage!$D$2:$D$967,$B149,Pointage!$E$2:$E$967,$C149,Pointage!$Q$2:$Q$967,"P")</f>
        <v>5</v>
      </c>
      <c r="G149" s="17" t="n">
        <f aca="false">COUNTIFS(Pointage!$A$2:$A$967,$A149,Pointage!$D$2:$D$967,$B149,Pointage!$E$2:$E$967,$C149,Pointage!$Q$2:$Q$967,"A")</f>
        <v>0</v>
      </c>
      <c r="H149" s="8" t="n">
        <f aca="false">COUNTIFS(Pointage!$A$2:$A$967,$A149,Pointage!$D$2:$D$967,$B149,Pointage!$E$2:$E$967,$C149,Pointage!$Q$2:$Q$967,"NR")</f>
        <v>0</v>
      </c>
      <c r="I149" s="8" t="n">
        <f aca="false">COUNTIFS(Pointage!$A$2:$A$967,$A149,Pointage!$D$2:$D$967,$B149,Pointage!$E$2:$E$967,$C149,Pointage!$Q$2:$Q$967,"CP")</f>
        <v>0</v>
      </c>
      <c r="J149" s="8" t="n">
        <f aca="false">COUNTIFS(Pointage!$A$2:$A$967,$A149,Pointage!$D$2:$D$967,$B149,Pointage!$E$2:$E$967,$C149,Pointage!$Q$2:$Q$967,"F")</f>
        <v>0</v>
      </c>
      <c r="K149" s="8" t="n">
        <f aca="false">COUNTIFS(Pointage!$A$2:$A$967,$A149,Pointage!$D$2:$D$967,$B149,Pointage!$E$2:$E$967,$C149,Pointage!$P$2:$P$967,"&gt;0")</f>
        <v>0</v>
      </c>
      <c r="L149" s="8" t="n">
        <f aca="false">SUMIFS(Pointage!$P$2:$P$967,Pointage!$A$2:$A$967,$A149,Pointage!$D$2:$D$967,$B149,Pointage!$E$2:$E$967,$C149)</f>
        <v>0</v>
      </c>
      <c r="M149" s="11" t="n">
        <f aca="false">SUMIFS(Pointage!$L$2:$L$967,Pointage!$A$2:$A$967,$A149,Pointage!$D$2:$D$967,$B149,Pointage!$E$2:$E$967,$C149)</f>
        <v>1.83333333333333</v>
      </c>
      <c r="N149" s="11" t="n">
        <f aca="false">SUMIFS(Pointage!$M$2:$M$967,Pointage!$A$2:$A$967,$A149,Pointage!$D$2:$D$967,$B149,Pointage!$E$2:$E$967,$C149)</f>
        <v>1.83333333333333</v>
      </c>
      <c r="O149" s="10" t="n">
        <f aca="false">IFERROR(F149/(F149+G149),"")</f>
        <v>1</v>
      </c>
      <c r="P149" s="10" t="n">
        <f aca="false">IFERROR(N149/M149,"")</f>
        <v>1</v>
      </c>
    </row>
    <row r="150" customFormat="false" ht="15" hidden="false" customHeight="false" outlineLevel="0" collapsed="false">
      <c r="A150" s="7" t="s">
        <v>30</v>
      </c>
      <c r="B150" s="8" t="n">
        <v>2026</v>
      </c>
      <c r="C150" s="8" t="n">
        <v>40</v>
      </c>
      <c r="D150" s="8" t="s">
        <v>97</v>
      </c>
      <c r="E150" s="8" t="n">
        <f aca="false">F150+G150+H150</f>
        <v>5</v>
      </c>
      <c r="F150" s="8" t="n">
        <f aca="false">COUNTIFS(Pointage!$A$2:$A$967,$A150,Pointage!$D$2:$D$967,$B150,Pointage!$E$2:$E$967,$C150,Pointage!$Q$2:$Q$967,"P")</f>
        <v>5</v>
      </c>
      <c r="G150" s="17" t="n">
        <f aca="false">COUNTIFS(Pointage!$A$2:$A$967,$A150,Pointage!$D$2:$D$967,$B150,Pointage!$E$2:$E$967,$C150,Pointage!$Q$2:$Q$967,"A")</f>
        <v>0</v>
      </c>
      <c r="H150" s="8" t="n">
        <f aca="false">COUNTIFS(Pointage!$A$2:$A$967,$A150,Pointage!$D$2:$D$967,$B150,Pointage!$E$2:$E$967,$C150,Pointage!$Q$2:$Q$967,"NR")</f>
        <v>0</v>
      </c>
      <c r="I150" s="8" t="n">
        <f aca="false">COUNTIFS(Pointage!$A$2:$A$967,$A150,Pointage!$D$2:$D$967,$B150,Pointage!$E$2:$E$967,$C150,Pointage!$Q$2:$Q$967,"CP")</f>
        <v>0</v>
      </c>
      <c r="J150" s="8" t="n">
        <f aca="false">COUNTIFS(Pointage!$A$2:$A$967,$A150,Pointage!$D$2:$D$967,$B150,Pointage!$E$2:$E$967,$C150,Pointage!$Q$2:$Q$967,"F")</f>
        <v>0</v>
      </c>
      <c r="K150" s="8" t="n">
        <f aca="false">COUNTIFS(Pointage!$A$2:$A$967,$A150,Pointage!$D$2:$D$967,$B150,Pointage!$E$2:$E$967,$C150,Pointage!$P$2:$P$967,"&gt;0")</f>
        <v>1</v>
      </c>
      <c r="L150" s="8" t="n">
        <f aca="false">SUMIFS(Pointage!$P$2:$P$967,Pointage!$A$2:$A$967,$A150,Pointage!$D$2:$D$967,$B150,Pointage!$E$2:$E$967,$C150)</f>
        <v>27</v>
      </c>
      <c r="M150" s="11" t="n">
        <f aca="false">SUMIFS(Pointage!$L$2:$L$967,Pointage!$A$2:$A$967,$A150,Pointage!$D$2:$D$967,$B150,Pointage!$E$2:$E$967,$C150)</f>
        <v>1.83333333333333</v>
      </c>
      <c r="N150" s="11" t="n">
        <f aca="false">SUMIFS(Pointage!$M$2:$M$967,Pointage!$A$2:$A$967,$A150,Pointage!$D$2:$D$967,$B150,Pointage!$E$2:$E$967,$C150)</f>
        <v>1.83333333333333</v>
      </c>
      <c r="O150" s="10" t="n">
        <f aca="false">IFERROR(F150/(F150+G150),"")</f>
        <v>1</v>
      </c>
      <c r="P150" s="10" t="n">
        <f aca="false">IFERROR(N150/M150,"")</f>
        <v>1</v>
      </c>
    </row>
    <row r="151" customFormat="false" ht="15" hidden="false" customHeight="false" outlineLevel="0" collapsed="false">
      <c r="A151" s="7" t="s">
        <v>30</v>
      </c>
      <c r="B151" s="8" t="n">
        <v>2026</v>
      </c>
      <c r="C151" s="8" t="n">
        <v>41</v>
      </c>
      <c r="D151" s="8" t="s">
        <v>98</v>
      </c>
      <c r="E151" s="8" t="n">
        <f aca="false">F151+G151+H151</f>
        <v>5</v>
      </c>
      <c r="F151" s="8" t="n">
        <f aca="false">COUNTIFS(Pointage!$A$2:$A$967,$A151,Pointage!$D$2:$D$967,$B151,Pointage!$E$2:$E$967,$C151,Pointage!$Q$2:$Q$967,"P")</f>
        <v>5</v>
      </c>
      <c r="G151" s="17" t="n">
        <f aca="false">COUNTIFS(Pointage!$A$2:$A$967,$A151,Pointage!$D$2:$D$967,$B151,Pointage!$E$2:$E$967,$C151,Pointage!$Q$2:$Q$967,"A")</f>
        <v>0</v>
      </c>
      <c r="H151" s="8" t="n">
        <f aca="false">COUNTIFS(Pointage!$A$2:$A$967,$A151,Pointage!$D$2:$D$967,$B151,Pointage!$E$2:$E$967,$C151,Pointage!$Q$2:$Q$967,"NR")</f>
        <v>0</v>
      </c>
      <c r="I151" s="8" t="n">
        <f aca="false">COUNTIFS(Pointage!$A$2:$A$967,$A151,Pointage!$D$2:$D$967,$B151,Pointage!$E$2:$E$967,$C151,Pointage!$Q$2:$Q$967,"CP")</f>
        <v>0</v>
      </c>
      <c r="J151" s="8" t="n">
        <f aca="false">COUNTIFS(Pointage!$A$2:$A$967,$A151,Pointage!$D$2:$D$967,$B151,Pointage!$E$2:$E$967,$C151,Pointage!$Q$2:$Q$967,"F")</f>
        <v>0</v>
      </c>
      <c r="K151" s="8" t="n">
        <f aca="false">COUNTIFS(Pointage!$A$2:$A$967,$A151,Pointage!$D$2:$D$967,$B151,Pointage!$E$2:$E$967,$C151,Pointage!$P$2:$P$967,"&gt;0")</f>
        <v>0</v>
      </c>
      <c r="L151" s="8" t="n">
        <f aca="false">SUMIFS(Pointage!$P$2:$P$967,Pointage!$A$2:$A$967,$A151,Pointage!$D$2:$D$967,$B151,Pointage!$E$2:$E$967,$C151)</f>
        <v>0</v>
      </c>
      <c r="M151" s="11" t="n">
        <f aca="false">SUMIFS(Pointage!$L$2:$L$967,Pointage!$A$2:$A$967,$A151,Pointage!$D$2:$D$967,$B151,Pointage!$E$2:$E$967,$C151)</f>
        <v>1.83333333333333</v>
      </c>
      <c r="N151" s="11" t="n">
        <f aca="false">SUMIFS(Pointage!$M$2:$M$967,Pointage!$A$2:$A$967,$A151,Pointage!$D$2:$D$967,$B151,Pointage!$E$2:$E$967,$C151)</f>
        <v>1.83333333333333</v>
      </c>
      <c r="O151" s="10" t="n">
        <f aca="false">IFERROR(F151/(F151+G151),"")</f>
        <v>1</v>
      </c>
      <c r="P151" s="10" t="n">
        <f aca="false">IFERROR(N151/M151,"")</f>
        <v>1</v>
      </c>
    </row>
    <row r="152" customFormat="false" ht="15" hidden="false" customHeight="false" outlineLevel="0" collapsed="false">
      <c r="A152" s="7" t="s">
        <v>32</v>
      </c>
      <c r="B152" s="8" t="n">
        <v>2026</v>
      </c>
      <c r="C152" s="8" t="n">
        <v>41</v>
      </c>
      <c r="D152" s="8" t="s">
        <v>98</v>
      </c>
      <c r="E152" s="8" t="n">
        <f aca="false">F152+G152+H152</f>
        <v>5</v>
      </c>
      <c r="F152" s="8" t="n">
        <f aca="false">COUNTIFS(Pointage!$A$2:$A$967,$A152,Pointage!$D$2:$D$967,$B152,Pointage!$E$2:$E$967,$C152,Pointage!$Q$2:$Q$967,"P")</f>
        <v>5</v>
      </c>
      <c r="G152" s="17" t="n">
        <f aca="false">COUNTIFS(Pointage!$A$2:$A$967,$A152,Pointage!$D$2:$D$967,$B152,Pointage!$E$2:$E$967,$C152,Pointage!$Q$2:$Q$967,"A")</f>
        <v>0</v>
      </c>
      <c r="H152" s="8" t="n">
        <f aca="false">COUNTIFS(Pointage!$A$2:$A$967,$A152,Pointage!$D$2:$D$967,$B152,Pointage!$E$2:$E$967,$C152,Pointage!$Q$2:$Q$967,"NR")</f>
        <v>0</v>
      </c>
      <c r="I152" s="8" t="n">
        <f aca="false">COUNTIFS(Pointage!$A$2:$A$967,$A152,Pointage!$D$2:$D$967,$B152,Pointage!$E$2:$E$967,$C152,Pointage!$Q$2:$Q$967,"CP")</f>
        <v>0</v>
      </c>
      <c r="J152" s="8" t="n">
        <f aca="false">COUNTIFS(Pointage!$A$2:$A$967,$A152,Pointage!$D$2:$D$967,$B152,Pointage!$E$2:$E$967,$C152,Pointage!$Q$2:$Q$967,"F")</f>
        <v>0</v>
      </c>
      <c r="K152" s="8" t="n">
        <f aca="false">COUNTIFS(Pointage!$A$2:$A$967,$A152,Pointage!$D$2:$D$967,$B152,Pointage!$E$2:$E$967,$C152,Pointage!$P$2:$P$967,"&gt;0")</f>
        <v>0</v>
      </c>
      <c r="L152" s="8" t="n">
        <f aca="false">SUMIFS(Pointage!$P$2:$P$967,Pointage!$A$2:$A$967,$A152,Pointage!$D$2:$D$967,$B152,Pointage!$E$2:$E$967,$C152)</f>
        <v>0</v>
      </c>
      <c r="M152" s="11" t="n">
        <f aca="false">SUMIFS(Pointage!$L$2:$L$967,Pointage!$A$2:$A$967,$A152,Pointage!$D$2:$D$967,$B152,Pointage!$E$2:$E$967,$C152)</f>
        <v>0</v>
      </c>
      <c r="N152" s="11" t="n">
        <f aca="false">SUMIFS(Pointage!$M$2:$M$967,Pointage!$A$2:$A$967,$A152,Pointage!$D$2:$D$967,$B152,Pointage!$E$2:$E$967,$C152)</f>
        <v>0</v>
      </c>
      <c r="O152" s="10" t="n">
        <f aca="false">IFERROR(F152/(F152+G152),"")</f>
        <v>1</v>
      </c>
      <c r="P152" s="10" t="str">
        <f aca="false">IFERROR(N152/M152,"")</f>
        <v/>
      </c>
    </row>
  </sheetData>
  <autoFilter ref="A3:P152"/>
  <conditionalFormatting sqref="O4:O152">
    <cfRule type="cellIs" priority="2" operator="lessThan" aboveAverage="0" equalAverage="0" bottom="0" percent="0" rank="0" text="" dxfId="0">
      <formula>'Bilan agents'!$C$5</formula>
    </cfRule>
  </conditionalFormatting>
  <conditionalFormatting sqref="G4:G152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14" min="8" style="0" width="11"/>
    <col collapsed="false" customWidth="true" hidden="false" outlineLevel="0" max="16" min="15" style="0" width="10"/>
    <col collapsed="false" customWidth="true" hidden="false" outlineLevel="0" max="17" min="17" style="0" width="8"/>
    <col collapsed="false" customWidth="true" hidden="false" outlineLevel="0" max="18" min="18" style="0" width="60"/>
  </cols>
  <sheetData>
    <row r="1" customFormat="false" ht="30" hidden="false" customHeight="true" outlineLevel="0" collapsed="false">
      <c r="A1" s="6" t="s">
        <v>6</v>
      </c>
      <c r="B1" s="6" t="s">
        <v>7</v>
      </c>
      <c r="C1" s="6" t="s">
        <v>99</v>
      </c>
      <c r="D1" s="6" t="s">
        <v>50</v>
      </c>
      <c r="E1" s="6" t="s">
        <v>51</v>
      </c>
      <c r="F1" s="6" t="s">
        <v>100</v>
      </c>
      <c r="G1" s="6" t="s">
        <v>101</v>
      </c>
      <c r="H1" s="6" t="s">
        <v>102</v>
      </c>
      <c r="I1" s="6" t="s">
        <v>103</v>
      </c>
      <c r="J1" s="6" t="s">
        <v>104</v>
      </c>
      <c r="K1" s="6" t="s">
        <v>105</v>
      </c>
      <c r="L1" s="6" t="s">
        <v>106</v>
      </c>
      <c r="M1" s="6" t="s">
        <v>107</v>
      </c>
      <c r="N1" s="6" t="s">
        <v>108</v>
      </c>
      <c r="O1" s="6" t="s">
        <v>109</v>
      </c>
      <c r="P1" s="6" t="s">
        <v>110</v>
      </c>
      <c r="Q1" s="6" t="s">
        <v>111</v>
      </c>
      <c r="R1" s="6" t="s">
        <v>112</v>
      </c>
    </row>
    <row r="2" customFormat="false" ht="15" hidden="false" customHeight="false" outlineLevel="0" collapsed="false">
      <c r="A2" s="18" t="s">
        <v>24</v>
      </c>
      <c r="B2" s="8" t="s">
        <v>25</v>
      </c>
      <c r="C2" s="9" t="n">
        <v>46012</v>
      </c>
      <c r="D2" s="8" t="n">
        <v>2025</v>
      </c>
      <c r="E2" s="8" t="n">
        <v>51</v>
      </c>
      <c r="F2" s="18" t="s">
        <v>113</v>
      </c>
      <c r="G2" s="8" t="s">
        <v>114</v>
      </c>
      <c r="H2" s="19" t="s">
        <v>115</v>
      </c>
      <c r="I2" s="19"/>
      <c r="J2" s="19"/>
      <c r="K2" s="19"/>
      <c r="L2" s="19" t="n">
        <v>0</v>
      </c>
      <c r="M2" s="19"/>
      <c r="N2" s="19" t="n">
        <v>0</v>
      </c>
      <c r="O2" s="19" t="n">
        <v>0</v>
      </c>
      <c r="P2" s="17" t="n">
        <f aca="false">IF(AND(ISNUMBER(H2),ISNUMBER(I2)),MAX(0,ROUND((I2-H2)*1440,0)-'Bilan agents'!$C$4),0)</f>
        <v>0</v>
      </c>
      <c r="Q2" s="8" t="str">
        <f aca="false">IF(H2="Congé","CP",IF(H2="Férié","F",IF(H2="OFF","R",IF(N2&gt;0,"A",IF(ISNUMBER(I2),"P","NR")))))</f>
        <v>R</v>
      </c>
      <c r="R2" s="18"/>
    </row>
    <row r="3" customFormat="false" ht="15" hidden="false" customHeight="false" outlineLevel="0" collapsed="false">
      <c r="A3" s="18" t="s">
        <v>24</v>
      </c>
      <c r="B3" s="8" t="s">
        <v>25</v>
      </c>
      <c r="C3" s="9" t="n">
        <v>46013</v>
      </c>
      <c r="D3" s="8" t="n">
        <v>2025</v>
      </c>
      <c r="E3" s="8" t="n">
        <v>52</v>
      </c>
      <c r="F3" s="18" t="s">
        <v>113</v>
      </c>
      <c r="G3" s="8" t="s">
        <v>116</v>
      </c>
      <c r="H3" s="19" t="n">
        <v>0.333333333333333</v>
      </c>
      <c r="I3" s="19" t="n">
        <v>0.332638888888889</v>
      </c>
      <c r="J3" s="19" t="n">
        <v>0.75</v>
      </c>
      <c r="K3" s="19" t="n">
        <v>0.75</v>
      </c>
      <c r="L3" s="19" t="n">
        <v>0.375</v>
      </c>
      <c r="M3" s="19" t="n">
        <v>0.375</v>
      </c>
      <c r="N3" s="19" t="n">
        <v>0</v>
      </c>
      <c r="O3" s="19" t="n">
        <v>0</v>
      </c>
      <c r="P3" s="17" t="n">
        <f aca="false">IF(AND(ISNUMBER(H3),ISNUMBER(I3)),MAX(0,ROUND((I3-H3)*1440,0)-'Bilan agents'!$C$4),0)</f>
        <v>0</v>
      </c>
      <c r="Q3" s="8" t="str">
        <f aca="false">IF(H3="Congé","CP",IF(H3="Férié","F",IF(H3="OFF","R",IF(N3&gt;0,"A",IF(ISNUMBER(I3),"P","NR")))))</f>
        <v>P</v>
      </c>
      <c r="R3" s="18"/>
    </row>
    <row r="4" customFormat="false" ht="15" hidden="false" customHeight="false" outlineLevel="0" collapsed="false">
      <c r="A4" s="18" t="s">
        <v>24</v>
      </c>
      <c r="B4" s="8" t="s">
        <v>25</v>
      </c>
      <c r="C4" s="9" t="n">
        <v>46014</v>
      </c>
      <c r="D4" s="8" t="n">
        <v>2025</v>
      </c>
      <c r="E4" s="8" t="n">
        <v>52</v>
      </c>
      <c r="F4" s="18" t="s">
        <v>113</v>
      </c>
      <c r="G4" s="8" t="s">
        <v>117</v>
      </c>
      <c r="H4" s="19" t="n">
        <v>0.333333333333333</v>
      </c>
      <c r="I4" s="19" t="n">
        <v>0.332638888888889</v>
      </c>
      <c r="J4" s="19" t="n">
        <v>0.75</v>
      </c>
      <c r="K4" s="19" t="n">
        <v>0.75</v>
      </c>
      <c r="L4" s="19" t="n">
        <v>0.375</v>
      </c>
      <c r="M4" s="19" t="n">
        <v>0.375</v>
      </c>
      <c r="N4" s="19" t="n">
        <v>0</v>
      </c>
      <c r="O4" s="19" t="n">
        <v>0</v>
      </c>
      <c r="P4" s="17" t="n">
        <f aca="false">IF(AND(ISNUMBER(H4),ISNUMBER(I4)),MAX(0,ROUND((I4-H4)*1440,0)-'Bilan agents'!$C$4),0)</f>
        <v>0</v>
      </c>
      <c r="Q4" s="8" t="str">
        <f aca="false">IF(H4="Congé","CP",IF(H4="Férié","F",IF(H4="OFF","R",IF(N4&gt;0,"A",IF(ISNUMBER(I4),"P","NR")))))</f>
        <v>P</v>
      </c>
      <c r="R4" s="18"/>
    </row>
    <row r="5" customFormat="false" ht="15" hidden="false" customHeight="false" outlineLevel="0" collapsed="false">
      <c r="A5" s="18" t="s">
        <v>24</v>
      </c>
      <c r="B5" s="8" t="s">
        <v>25</v>
      </c>
      <c r="C5" s="9" t="n">
        <v>46015</v>
      </c>
      <c r="D5" s="8" t="n">
        <v>2025</v>
      </c>
      <c r="E5" s="8" t="n">
        <v>52</v>
      </c>
      <c r="F5" s="18" t="s">
        <v>113</v>
      </c>
      <c r="G5" s="8" t="s">
        <v>118</v>
      </c>
      <c r="H5" s="19" t="n">
        <v>0.333333333333333</v>
      </c>
      <c r="I5" s="19" t="n">
        <v>0.332638888888889</v>
      </c>
      <c r="J5" s="19" t="n">
        <v>0.75</v>
      </c>
      <c r="K5" s="19" t="n">
        <v>0.75</v>
      </c>
      <c r="L5" s="19" t="n">
        <v>0.375</v>
      </c>
      <c r="M5" s="19" t="n">
        <v>0.375</v>
      </c>
      <c r="N5" s="19" t="n">
        <v>0</v>
      </c>
      <c r="O5" s="19" t="n">
        <v>0</v>
      </c>
      <c r="P5" s="17" t="n">
        <f aca="false">IF(AND(ISNUMBER(H5),ISNUMBER(I5)),MAX(0,ROUND((I5-H5)*1440,0)-'Bilan agents'!$C$4),0)</f>
        <v>0</v>
      </c>
      <c r="Q5" s="8" t="str">
        <f aca="false">IF(H5="Congé","CP",IF(H5="Férié","F",IF(H5="OFF","R",IF(N5&gt;0,"A",IF(ISNUMBER(I5),"P","NR")))))</f>
        <v>P</v>
      </c>
      <c r="R5" s="18"/>
    </row>
    <row r="6" customFormat="false" ht="15" hidden="false" customHeight="false" outlineLevel="0" collapsed="false">
      <c r="A6" s="18" t="s">
        <v>24</v>
      </c>
      <c r="B6" s="8" t="s">
        <v>25</v>
      </c>
      <c r="C6" s="9" t="n">
        <v>46016</v>
      </c>
      <c r="D6" s="8" t="n">
        <v>2025</v>
      </c>
      <c r="E6" s="8" t="n">
        <v>52</v>
      </c>
      <c r="F6" s="18" t="s">
        <v>113</v>
      </c>
      <c r="G6" s="8" t="s">
        <v>119</v>
      </c>
      <c r="H6" s="19" t="s">
        <v>115</v>
      </c>
      <c r="I6" s="19"/>
      <c r="J6" s="19"/>
      <c r="K6" s="19"/>
      <c r="L6" s="19" t="n">
        <v>0</v>
      </c>
      <c r="M6" s="19"/>
      <c r="N6" s="19" t="n">
        <v>0</v>
      </c>
      <c r="O6" s="19" t="n">
        <v>0</v>
      </c>
      <c r="P6" s="17" t="n">
        <f aca="false">IF(AND(ISNUMBER(H6),ISNUMBER(I6)),MAX(0,ROUND((I6-H6)*1440,0)-'Bilan agents'!$C$4),0)</f>
        <v>0</v>
      </c>
      <c r="Q6" s="8" t="str">
        <f aca="false">IF(H6="Congé","CP",IF(H6="Férié","F",IF(H6="OFF","R",IF(N6&gt;0,"A",IF(ISNUMBER(I6),"P","NR")))))</f>
        <v>R</v>
      </c>
      <c r="R6" s="18"/>
    </row>
    <row r="7" customFormat="false" ht="15" hidden="false" customHeight="false" outlineLevel="0" collapsed="false">
      <c r="A7" s="18" t="s">
        <v>24</v>
      </c>
      <c r="B7" s="8" t="s">
        <v>25</v>
      </c>
      <c r="C7" s="9" t="n">
        <v>46017</v>
      </c>
      <c r="D7" s="8" t="n">
        <v>2025</v>
      </c>
      <c r="E7" s="8" t="n">
        <v>52</v>
      </c>
      <c r="F7" s="18" t="s">
        <v>113</v>
      </c>
      <c r="G7" s="8" t="s">
        <v>120</v>
      </c>
      <c r="H7" s="19" t="n">
        <v>0.333333333333333</v>
      </c>
      <c r="I7" s="19" t="n">
        <v>0.333333333333333</v>
      </c>
      <c r="J7" s="19" t="n">
        <v>0.708333333333333</v>
      </c>
      <c r="K7" s="19" t="n">
        <v>0.708333333333333</v>
      </c>
      <c r="L7" s="19" t="n">
        <v>0.333333333333333</v>
      </c>
      <c r="M7" s="19" t="n">
        <v>0.333333333333333</v>
      </c>
      <c r="N7" s="19" t="n">
        <v>0</v>
      </c>
      <c r="O7" s="19" t="n">
        <v>0</v>
      </c>
      <c r="P7" s="17" t="n">
        <f aca="false">IF(AND(ISNUMBER(H7),ISNUMBER(I7)),MAX(0,ROUND((I7-H7)*1440,0)-'Bilan agents'!$C$4),0)</f>
        <v>0</v>
      </c>
      <c r="Q7" s="8" t="str">
        <f aca="false">IF(H7="Congé","CP",IF(H7="Férié","F",IF(H7="OFF","R",IF(N7&gt;0,"A",IF(ISNUMBER(I7),"P","NR")))))</f>
        <v>P</v>
      </c>
      <c r="R7" s="18"/>
    </row>
    <row r="8" customFormat="false" ht="15" hidden="false" customHeight="false" outlineLevel="0" collapsed="false">
      <c r="A8" s="18" t="s">
        <v>24</v>
      </c>
      <c r="B8" s="8" t="s">
        <v>25</v>
      </c>
      <c r="C8" s="9" t="n">
        <v>46018</v>
      </c>
      <c r="D8" s="8" t="n">
        <v>2025</v>
      </c>
      <c r="E8" s="8" t="n">
        <v>52</v>
      </c>
      <c r="F8" s="18" t="s">
        <v>113</v>
      </c>
      <c r="G8" s="8" t="s">
        <v>121</v>
      </c>
      <c r="H8" s="19" t="s">
        <v>115</v>
      </c>
      <c r="I8" s="19"/>
      <c r="J8" s="19"/>
      <c r="K8" s="19"/>
      <c r="L8" s="19" t="n">
        <v>0</v>
      </c>
      <c r="M8" s="19"/>
      <c r="N8" s="19" t="n">
        <v>0</v>
      </c>
      <c r="O8" s="19" t="n">
        <v>0</v>
      </c>
      <c r="P8" s="17" t="n">
        <f aca="false">IF(AND(ISNUMBER(H8),ISNUMBER(I8)),MAX(0,ROUND((I8-H8)*1440,0)-'Bilan agents'!$C$4),0)</f>
        <v>0</v>
      </c>
      <c r="Q8" s="8" t="str">
        <f aca="false">IF(H8="Congé","CP",IF(H8="Férié","F",IF(H8="OFF","R",IF(N8&gt;0,"A",IF(ISNUMBER(I8),"P","NR")))))</f>
        <v>R</v>
      </c>
      <c r="R8" s="18"/>
    </row>
    <row r="9" customFormat="false" ht="15" hidden="false" customHeight="false" outlineLevel="0" collapsed="false">
      <c r="A9" s="18" t="s">
        <v>24</v>
      </c>
      <c r="B9" s="8" t="s">
        <v>25</v>
      </c>
      <c r="C9" s="9" t="n">
        <v>46019</v>
      </c>
      <c r="D9" s="8" t="n">
        <v>2025</v>
      </c>
      <c r="E9" s="8" t="n">
        <v>52</v>
      </c>
      <c r="F9" s="18" t="s">
        <v>113</v>
      </c>
      <c r="G9" s="8" t="s">
        <v>114</v>
      </c>
      <c r="H9" s="19" t="s">
        <v>115</v>
      </c>
      <c r="I9" s="19"/>
      <c r="J9" s="19"/>
      <c r="K9" s="19"/>
      <c r="L9" s="19" t="n">
        <v>0</v>
      </c>
      <c r="M9" s="19"/>
      <c r="N9" s="19" t="n">
        <v>0</v>
      </c>
      <c r="O9" s="19" t="n">
        <v>0</v>
      </c>
      <c r="P9" s="17" t="n">
        <f aca="false">IF(AND(ISNUMBER(H9),ISNUMBER(I9)),MAX(0,ROUND((I9-H9)*1440,0)-'Bilan agents'!$C$4),0)</f>
        <v>0</v>
      </c>
      <c r="Q9" s="8" t="str">
        <f aca="false">IF(H9="Congé","CP",IF(H9="Férié","F",IF(H9="OFF","R",IF(N9&gt;0,"A",IF(ISNUMBER(I9),"P","NR")))))</f>
        <v>R</v>
      </c>
      <c r="R9" s="18"/>
    </row>
    <row r="10" customFormat="false" ht="15" hidden="false" customHeight="false" outlineLevel="0" collapsed="false">
      <c r="A10" s="18" t="s">
        <v>24</v>
      </c>
      <c r="B10" s="8" t="s">
        <v>25</v>
      </c>
      <c r="C10" s="9" t="n">
        <v>46020</v>
      </c>
      <c r="D10" s="8" t="n">
        <v>2026</v>
      </c>
      <c r="E10" s="8" t="n">
        <v>1</v>
      </c>
      <c r="F10" s="18" t="s">
        <v>113</v>
      </c>
      <c r="G10" s="8" t="s">
        <v>116</v>
      </c>
      <c r="H10" s="19" t="n">
        <v>0.333333333333333</v>
      </c>
      <c r="I10" s="19" t="n">
        <v>0.332638888888889</v>
      </c>
      <c r="J10" s="19" t="n">
        <v>0.75</v>
      </c>
      <c r="K10" s="19" t="n">
        <v>0.75</v>
      </c>
      <c r="L10" s="19" t="n">
        <v>0.375</v>
      </c>
      <c r="M10" s="19" t="n">
        <v>0.375</v>
      </c>
      <c r="N10" s="19" t="n">
        <v>0</v>
      </c>
      <c r="O10" s="19" t="n">
        <v>0</v>
      </c>
      <c r="P10" s="17" t="n">
        <f aca="false">IF(AND(ISNUMBER(H10),ISNUMBER(I10)),MAX(0,ROUND((I10-H10)*1440,0)-'Bilan agents'!$C$4),0)</f>
        <v>0</v>
      </c>
      <c r="Q10" s="8" t="str">
        <f aca="false">IF(H10="Congé","CP",IF(H10="Férié","F",IF(H10="OFF","R",IF(N10&gt;0,"A",IF(ISNUMBER(I10),"P","NR")))))</f>
        <v>P</v>
      </c>
      <c r="R10" s="18"/>
    </row>
    <row r="11" customFormat="false" ht="15" hidden="false" customHeight="false" outlineLevel="0" collapsed="false">
      <c r="A11" s="18" t="s">
        <v>24</v>
      </c>
      <c r="B11" s="8" t="s">
        <v>25</v>
      </c>
      <c r="C11" s="9" t="n">
        <v>46021</v>
      </c>
      <c r="D11" s="8" t="n">
        <v>2026</v>
      </c>
      <c r="E11" s="8" t="n">
        <v>1</v>
      </c>
      <c r="F11" s="18" t="s">
        <v>113</v>
      </c>
      <c r="G11" s="8" t="s">
        <v>117</v>
      </c>
      <c r="H11" s="19" t="n">
        <v>0.333333333333333</v>
      </c>
      <c r="I11" s="19" t="n">
        <v>0.332638888888889</v>
      </c>
      <c r="J11" s="19" t="n">
        <v>0.75</v>
      </c>
      <c r="K11" s="19" t="n">
        <v>0.75</v>
      </c>
      <c r="L11" s="19" t="n">
        <v>0.375</v>
      </c>
      <c r="M11" s="19" t="n">
        <v>0.375</v>
      </c>
      <c r="N11" s="19" t="n">
        <v>0</v>
      </c>
      <c r="O11" s="19" t="n">
        <v>0</v>
      </c>
      <c r="P11" s="17" t="n">
        <f aca="false">IF(AND(ISNUMBER(H11),ISNUMBER(I11)),MAX(0,ROUND((I11-H11)*1440,0)-'Bilan agents'!$C$4),0)</f>
        <v>0</v>
      </c>
      <c r="Q11" s="8" t="str">
        <f aca="false">IF(H11="Congé","CP",IF(H11="Férié","F",IF(H11="OFF","R",IF(N11&gt;0,"A",IF(ISNUMBER(I11),"P","NR")))))</f>
        <v>P</v>
      </c>
      <c r="R11" s="18"/>
    </row>
    <row r="12" customFormat="false" ht="15" hidden="false" customHeight="false" outlineLevel="0" collapsed="false">
      <c r="A12" s="18" t="s">
        <v>24</v>
      </c>
      <c r="B12" s="8" t="s">
        <v>25</v>
      </c>
      <c r="C12" s="9" t="n">
        <v>46022</v>
      </c>
      <c r="D12" s="8" t="n">
        <v>2026</v>
      </c>
      <c r="E12" s="8" t="n">
        <v>1</v>
      </c>
      <c r="F12" s="18" t="s">
        <v>113</v>
      </c>
      <c r="G12" s="8" t="s">
        <v>118</v>
      </c>
      <c r="H12" s="19" t="n">
        <v>0.333333333333333</v>
      </c>
      <c r="I12" s="19" t="n">
        <v>0.332638888888889</v>
      </c>
      <c r="J12" s="19" t="n">
        <v>0.75</v>
      </c>
      <c r="K12" s="19" t="n">
        <v>0.75</v>
      </c>
      <c r="L12" s="19" t="n">
        <v>0.375</v>
      </c>
      <c r="M12" s="19" t="n">
        <v>0.375</v>
      </c>
      <c r="N12" s="19" t="n">
        <v>0</v>
      </c>
      <c r="O12" s="19" t="n">
        <v>0</v>
      </c>
      <c r="P12" s="17" t="n">
        <f aca="false">IF(AND(ISNUMBER(H12),ISNUMBER(I12)),MAX(0,ROUND((I12-H12)*1440,0)-'Bilan agents'!$C$4),0)</f>
        <v>0</v>
      </c>
      <c r="Q12" s="8" t="str">
        <f aca="false">IF(H12="Congé","CP",IF(H12="Férié","F",IF(H12="OFF","R",IF(N12&gt;0,"A",IF(ISNUMBER(I12),"P","NR")))))</f>
        <v>P</v>
      </c>
      <c r="R12" s="18"/>
    </row>
    <row r="13" customFormat="false" ht="15" hidden="false" customHeight="false" outlineLevel="0" collapsed="false">
      <c r="A13" s="18" t="s">
        <v>24</v>
      </c>
      <c r="B13" s="8" t="s">
        <v>25</v>
      </c>
      <c r="C13" s="9" t="n">
        <v>46023</v>
      </c>
      <c r="D13" s="8" t="n">
        <v>2026</v>
      </c>
      <c r="E13" s="8" t="n">
        <v>1</v>
      </c>
      <c r="F13" s="18" t="s">
        <v>122</v>
      </c>
      <c r="G13" s="8" t="s">
        <v>119</v>
      </c>
      <c r="H13" s="19" t="s">
        <v>45</v>
      </c>
      <c r="I13" s="19"/>
      <c r="J13" s="19"/>
      <c r="K13" s="19"/>
      <c r="L13" s="19" t="n">
        <v>0</v>
      </c>
      <c r="M13" s="19"/>
      <c r="N13" s="19" t="n">
        <v>0</v>
      </c>
      <c r="O13" s="19" t="n">
        <v>0</v>
      </c>
      <c r="P13" s="17" t="n">
        <f aca="false">IF(AND(ISNUMBER(H13),ISNUMBER(I13)),MAX(0,ROUND((I13-H13)*1440,0)-'Bilan agents'!$C$4),0)</f>
        <v>0</v>
      </c>
      <c r="Q13" s="8" t="str">
        <f aca="false">IF(H13="Congé","CP",IF(H13="Férié","F",IF(H13="OFF","R",IF(N13&gt;0,"A",IF(ISNUMBER(I13),"P","NR")))))</f>
        <v>F</v>
      </c>
      <c r="R13" s="18"/>
    </row>
    <row r="14" customFormat="false" ht="15" hidden="false" customHeight="false" outlineLevel="0" collapsed="false">
      <c r="A14" s="18" t="s">
        <v>24</v>
      </c>
      <c r="B14" s="8" t="s">
        <v>25</v>
      </c>
      <c r="C14" s="9" t="n">
        <v>46024</v>
      </c>
      <c r="D14" s="8" t="n">
        <v>2026</v>
      </c>
      <c r="E14" s="8" t="n">
        <v>1</v>
      </c>
      <c r="F14" s="18" t="s">
        <v>122</v>
      </c>
      <c r="G14" s="8" t="s">
        <v>120</v>
      </c>
      <c r="H14" s="19" t="n">
        <v>0.333333333333333</v>
      </c>
      <c r="I14" s="19" t="n">
        <v>0.333333333333333</v>
      </c>
      <c r="J14" s="19" t="n">
        <v>0.708333333333333</v>
      </c>
      <c r="K14" s="19" t="n">
        <v>0.708333333333333</v>
      </c>
      <c r="L14" s="19" t="n">
        <v>0.333333333333333</v>
      </c>
      <c r="M14" s="19" t="n">
        <v>0.333333333333333</v>
      </c>
      <c r="N14" s="19" t="n">
        <v>0</v>
      </c>
      <c r="O14" s="19" t="n">
        <v>0</v>
      </c>
      <c r="P14" s="17" t="n">
        <f aca="false">IF(AND(ISNUMBER(H14),ISNUMBER(I14)),MAX(0,ROUND((I14-H14)*1440,0)-'Bilan agents'!$C$4),0)</f>
        <v>0</v>
      </c>
      <c r="Q14" s="8" t="str">
        <f aca="false">IF(H14="Congé","CP",IF(H14="Férié","F",IF(H14="OFF","R",IF(N14&gt;0,"A",IF(ISNUMBER(I14),"P","NR")))))</f>
        <v>P</v>
      </c>
      <c r="R14" s="18"/>
    </row>
    <row r="15" customFormat="false" ht="15" hidden="false" customHeight="false" outlineLevel="0" collapsed="false">
      <c r="A15" s="18" t="s">
        <v>24</v>
      </c>
      <c r="B15" s="8" t="s">
        <v>25</v>
      </c>
      <c r="C15" s="9" t="n">
        <v>46025</v>
      </c>
      <c r="D15" s="8" t="n">
        <v>2026</v>
      </c>
      <c r="E15" s="8" t="n">
        <v>1</v>
      </c>
      <c r="F15" s="18" t="s">
        <v>122</v>
      </c>
      <c r="G15" s="8" t="s">
        <v>121</v>
      </c>
      <c r="H15" s="19" t="s">
        <v>115</v>
      </c>
      <c r="I15" s="19"/>
      <c r="J15" s="19"/>
      <c r="K15" s="19"/>
      <c r="L15" s="19" t="n">
        <v>0</v>
      </c>
      <c r="M15" s="19"/>
      <c r="N15" s="19" t="n">
        <v>0</v>
      </c>
      <c r="O15" s="19" t="n">
        <v>0</v>
      </c>
      <c r="P15" s="17" t="n">
        <f aca="false">IF(AND(ISNUMBER(H15),ISNUMBER(I15)),MAX(0,ROUND((I15-H15)*1440,0)-'Bilan agents'!$C$4),0)</f>
        <v>0</v>
      </c>
      <c r="Q15" s="8" t="str">
        <f aca="false">IF(H15="Congé","CP",IF(H15="Férié","F",IF(H15="OFF","R",IF(N15&gt;0,"A",IF(ISNUMBER(I15),"P","NR")))))</f>
        <v>R</v>
      </c>
      <c r="R15" s="18"/>
    </row>
    <row r="16" customFormat="false" ht="15" hidden="false" customHeight="false" outlineLevel="0" collapsed="false">
      <c r="A16" s="18" t="s">
        <v>24</v>
      </c>
      <c r="B16" s="8" t="s">
        <v>25</v>
      </c>
      <c r="C16" s="9" t="n">
        <v>46026</v>
      </c>
      <c r="D16" s="8" t="n">
        <v>2026</v>
      </c>
      <c r="E16" s="8" t="n">
        <v>1</v>
      </c>
      <c r="F16" s="18" t="s">
        <v>122</v>
      </c>
      <c r="G16" s="8" t="s">
        <v>114</v>
      </c>
      <c r="H16" s="19" t="s">
        <v>115</v>
      </c>
      <c r="I16" s="19"/>
      <c r="J16" s="19"/>
      <c r="K16" s="19"/>
      <c r="L16" s="19" t="n">
        <v>0</v>
      </c>
      <c r="M16" s="19"/>
      <c r="N16" s="19" t="n">
        <v>0</v>
      </c>
      <c r="O16" s="19" t="n">
        <v>0</v>
      </c>
      <c r="P16" s="17" t="n">
        <f aca="false">IF(AND(ISNUMBER(H16),ISNUMBER(I16)),MAX(0,ROUND((I16-H16)*1440,0)-'Bilan agents'!$C$4),0)</f>
        <v>0</v>
      </c>
      <c r="Q16" s="8" t="str">
        <f aca="false">IF(H16="Congé","CP",IF(H16="Férié","F",IF(H16="OFF","R",IF(N16&gt;0,"A",IF(ISNUMBER(I16),"P","NR")))))</f>
        <v>R</v>
      </c>
      <c r="R16" s="18"/>
    </row>
    <row r="17" customFormat="false" ht="15" hidden="false" customHeight="false" outlineLevel="0" collapsed="false">
      <c r="A17" s="18" t="s">
        <v>24</v>
      </c>
      <c r="B17" s="8" t="s">
        <v>25</v>
      </c>
      <c r="C17" s="9" t="n">
        <v>46027</v>
      </c>
      <c r="D17" s="8" t="n">
        <v>2026</v>
      </c>
      <c r="E17" s="8" t="n">
        <v>2</v>
      </c>
      <c r="F17" s="18" t="s">
        <v>122</v>
      </c>
      <c r="G17" s="8" t="s">
        <v>116</v>
      </c>
      <c r="H17" s="19" t="n">
        <v>0.333333333333333</v>
      </c>
      <c r="I17" s="19" t="n">
        <v>0.332638888888889</v>
      </c>
      <c r="J17" s="19" t="n">
        <v>0.75</v>
      </c>
      <c r="K17" s="19" t="n">
        <v>0.75</v>
      </c>
      <c r="L17" s="19" t="n">
        <v>0.375</v>
      </c>
      <c r="M17" s="19" t="n">
        <v>0.375</v>
      </c>
      <c r="N17" s="19" t="n">
        <v>0</v>
      </c>
      <c r="O17" s="19" t="n">
        <v>0</v>
      </c>
      <c r="P17" s="17" t="n">
        <f aca="false">IF(AND(ISNUMBER(H17),ISNUMBER(I17)),MAX(0,ROUND((I17-H17)*1440,0)-'Bilan agents'!$C$4),0)</f>
        <v>0</v>
      </c>
      <c r="Q17" s="8" t="str">
        <f aca="false">IF(H17="Congé","CP",IF(H17="Férié","F",IF(H17="OFF","R",IF(N17&gt;0,"A",IF(ISNUMBER(I17),"P","NR")))))</f>
        <v>P</v>
      </c>
      <c r="R17" s="18"/>
    </row>
    <row r="18" customFormat="false" ht="15" hidden="false" customHeight="false" outlineLevel="0" collapsed="false">
      <c r="A18" s="18" t="s">
        <v>24</v>
      </c>
      <c r="B18" s="8" t="s">
        <v>25</v>
      </c>
      <c r="C18" s="9" t="n">
        <v>46028</v>
      </c>
      <c r="D18" s="8" t="n">
        <v>2026</v>
      </c>
      <c r="E18" s="8" t="n">
        <v>2</v>
      </c>
      <c r="F18" s="18" t="s">
        <v>122</v>
      </c>
      <c r="G18" s="8" t="s">
        <v>117</v>
      </c>
      <c r="H18" s="19" t="n">
        <v>0.333333333333333</v>
      </c>
      <c r="I18" s="19" t="n">
        <v>0.332638888888889</v>
      </c>
      <c r="J18" s="19" t="n">
        <v>0.75</v>
      </c>
      <c r="K18" s="19" t="n">
        <v>0.75</v>
      </c>
      <c r="L18" s="19" t="n">
        <v>0.375</v>
      </c>
      <c r="M18" s="19" t="n">
        <v>0.375</v>
      </c>
      <c r="N18" s="19" t="n">
        <v>0</v>
      </c>
      <c r="O18" s="19" t="n">
        <v>0</v>
      </c>
      <c r="P18" s="17" t="n">
        <f aca="false">IF(AND(ISNUMBER(H18),ISNUMBER(I18)),MAX(0,ROUND((I18-H18)*1440,0)-'Bilan agents'!$C$4),0)</f>
        <v>0</v>
      </c>
      <c r="Q18" s="8" t="str">
        <f aca="false">IF(H18="Congé","CP",IF(H18="Férié","F",IF(H18="OFF","R",IF(N18&gt;0,"A",IF(ISNUMBER(I18),"P","NR")))))</f>
        <v>P</v>
      </c>
      <c r="R18" s="18"/>
    </row>
    <row r="19" customFormat="false" ht="15" hidden="false" customHeight="false" outlineLevel="0" collapsed="false">
      <c r="A19" s="18" t="s">
        <v>24</v>
      </c>
      <c r="B19" s="8" t="s">
        <v>25</v>
      </c>
      <c r="C19" s="9" t="n">
        <v>46029</v>
      </c>
      <c r="D19" s="8" t="n">
        <v>2026</v>
      </c>
      <c r="E19" s="8" t="n">
        <v>2</v>
      </c>
      <c r="F19" s="18" t="s">
        <v>122</v>
      </c>
      <c r="G19" s="8" t="s">
        <v>118</v>
      </c>
      <c r="H19" s="19" t="n">
        <v>0.333333333333333</v>
      </c>
      <c r="I19" s="19" t="n">
        <v>0.332638888888889</v>
      </c>
      <c r="J19" s="19" t="n">
        <v>0.75</v>
      </c>
      <c r="K19" s="19" t="n">
        <v>0.75</v>
      </c>
      <c r="L19" s="19" t="n">
        <v>0.375</v>
      </c>
      <c r="M19" s="19" t="n">
        <v>0.375</v>
      </c>
      <c r="N19" s="19" t="n">
        <v>0</v>
      </c>
      <c r="O19" s="19" t="n">
        <v>0</v>
      </c>
      <c r="P19" s="17" t="n">
        <f aca="false">IF(AND(ISNUMBER(H19),ISNUMBER(I19)),MAX(0,ROUND((I19-H19)*1440,0)-'Bilan agents'!$C$4),0)</f>
        <v>0</v>
      </c>
      <c r="Q19" s="8" t="str">
        <f aca="false">IF(H19="Congé","CP",IF(H19="Férié","F",IF(H19="OFF","R",IF(N19&gt;0,"A",IF(ISNUMBER(I19),"P","NR")))))</f>
        <v>P</v>
      </c>
      <c r="R19" s="18"/>
    </row>
    <row r="20" customFormat="false" ht="15" hidden="false" customHeight="false" outlineLevel="0" collapsed="false">
      <c r="A20" s="18" t="s">
        <v>24</v>
      </c>
      <c r="B20" s="8" t="s">
        <v>25</v>
      </c>
      <c r="C20" s="9" t="n">
        <v>46030</v>
      </c>
      <c r="D20" s="8" t="n">
        <v>2026</v>
      </c>
      <c r="E20" s="8" t="n">
        <v>2</v>
      </c>
      <c r="F20" s="18" t="s">
        <v>122</v>
      </c>
      <c r="G20" s="8" t="s">
        <v>119</v>
      </c>
      <c r="H20" s="19" t="n">
        <v>0.333333333333333</v>
      </c>
      <c r="I20" s="19" t="n">
        <v>0.336805555555556</v>
      </c>
      <c r="J20" s="19" t="n">
        <v>0.75</v>
      </c>
      <c r="K20" s="19" t="n">
        <v>0.75</v>
      </c>
      <c r="L20" s="19" t="n">
        <v>0.375</v>
      </c>
      <c r="M20" s="19" t="n">
        <v>0.375</v>
      </c>
      <c r="N20" s="19" t="n">
        <v>0</v>
      </c>
      <c r="O20" s="19" t="n">
        <v>0</v>
      </c>
      <c r="P20" s="17" t="n">
        <f aca="false">IF(AND(ISNUMBER(H20),ISNUMBER(I20)),MAX(0,ROUND((I20-H20)*1440,0)-'Bilan agents'!$C$4),0)</f>
        <v>5</v>
      </c>
      <c r="Q20" s="8" t="str">
        <f aca="false">IF(H20="Congé","CP",IF(H20="Férié","F",IF(H20="OFF","R",IF(N20&gt;0,"A",IF(ISNUMBER(I20),"P","NR")))))</f>
        <v>P</v>
      </c>
      <c r="R20" s="18"/>
    </row>
    <row r="21" customFormat="false" ht="15" hidden="false" customHeight="false" outlineLevel="0" collapsed="false">
      <c r="A21" s="18" t="s">
        <v>24</v>
      </c>
      <c r="B21" s="8" t="s">
        <v>25</v>
      </c>
      <c r="C21" s="9" t="n">
        <v>46031</v>
      </c>
      <c r="D21" s="8" t="n">
        <v>2026</v>
      </c>
      <c r="E21" s="8" t="n">
        <v>2</v>
      </c>
      <c r="F21" s="18" t="s">
        <v>122</v>
      </c>
      <c r="G21" s="8" t="s">
        <v>120</v>
      </c>
      <c r="H21" s="19" t="s">
        <v>43</v>
      </c>
      <c r="I21" s="19"/>
      <c r="J21" s="19"/>
      <c r="K21" s="19"/>
      <c r="L21" s="19" t="n">
        <v>0</v>
      </c>
      <c r="M21" s="19"/>
      <c r="N21" s="19" t="n">
        <v>0</v>
      </c>
      <c r="O21" s="19" t="n">
        <v>0</v>
      </c>
      <c r="P21" s="17" t="n">
        <f aca="false">IF(AND(ISNUMBER(H21),ISNUMBER(I21)),MAX(0,ROUND((I21-H21)*1440,0)-'Bilan agents'!$C$4),0)</f>
        <v>0</v>
      </c>
      <c r="Q21" s="8" t="str">
        <f aca="false">IF(H21="Congé","CP",IF(H21="Férié","F",IF(H21="OFF","R",IF(N21&gt;0,"A",IF(ISNUMBER(I21),"P","NR")))))</f>
        <v>CP</v>
      </c>
      <c r="R21" s="18"/>
    </row>
    <row r="22" customFormat="false" ht="15" hidden="false" customHeight="false" outlineLevel="0" collapsed="false">
      <c r="A22" s="18" t="s">
        <v>24</v>
      </c>
      <c r="B22" s="8" t="s">
        <v>25</v>
      </c>
      <c r="C22" s="9" t="n">
        <v>46032</v>
      </c>
      <c r="D22" s="8" t="n">
        <v>2026</v>
      </c>
      <c r="E22" s="8" t="n">
        <v>2</v>
      </c>
      <c r="F22" s="18" t="s">
        <v>122</v>
      </c>
      <c r="G22" s="8" t="s">
        <v>121</v>
      </c>
      <c r="H22" s="19" t="s">
        <v>115</v>
      </c>
      <c r="I22" s="19"/>
      <c r="J22" s="19"/>
      <c r="K22" s="19"/>
      <c r="L22" s="19" t="n">
        <v>0</v>
      </c>
      <c r="M22" s="19"/>
      <c r="N22" s="19" t="n">
        <v>0</v>
      </c>
      <c r="O22" s="19" t="n">
        <v>0</v>
      </c>
      <c r="P22" s="17" t="n">
        <f aca="false">IF(AND(ISNUMBER(H22),ISNUMBER(I22)),MAX(0,ROUND((I22-H22)*1440,0)-'Bilan agents'!$C$4),0)</f>
        <v>0</v>
      </c>
      <c r="Q22" s="8" t="str">
        <f aca="false">IF(H22="Congé","CP",IF(H22="Férié","F",IF(H22="OFF","R",IF(N22&gt;0,"A",IF(ISNUMBER(I22),"P","NR")))))</f>
        <v>R</v>
      </c>
      <c r="R22" s="18"/>
    </row>
    <row r="23" customFormat="false" ht="15" hidden="false" customHeight="false" outlineLevel="0" collapsed="false">
      <c r="A23" s="18" t="s">
        <v>24</v>
      </c>
      <c r="B23" s="8" t="s">
        <v>25</v>
      </c>
      <c r="C23" s="9" t="n">
        <v>46033</v>
      </c>
      <c r="D23" s="8" t="n">
        <v>2026</v>
      </c>
      <c r="E23" s="8" t="n">
        <v>2</v>
      </c>
      <c r="F23" s="18" t="s">
        <v>122</v>
      </c>
      <c r="G23" s="8" t="s">
        <v>114</v>
      </c>
      <c r="H23" s="19" t="s">
        <v>115</v>
      </c>
      <c r="I23" s="19"/>
      <c r="J23" s="19"/>
      <c r="K23" s="19"/>
      <c r="L23" s="19" t="n">
        <v>0</v>
      </c>
      <c r="M23" s="19"/>
      <c r="N23" s="19" t="n">
        <v>0</v>
      </c>
      <c r="O23" s="19" t="n">
        <v>0</v>
      </c>
      <c r="P23" s="17" t="n">
        <f aca="false">IF(AND(ISNUMBER(H23),ISNUMBER(I23)),MAX(0,ROUND((I23-H23)*1440,0)-'Bilan agents'!$C$4),0)</f>
        <v>0</v>
      </c>
      <c r="Q23" s="8" t="str">
        <f aca="false">IF(H23="Congé","CP",IF(H23="Férié","F",IF(H23="OFF","R",IF(N23&gt;0,"A",IF(ISNUMBER(I23),"P","NR")))))</f>
        <v>R</v>
      </c>
      <c r="R23" s="18"/>
    </row>
    <row r="24" customFormat="false" ht="15" hidden="false" customHeight="false" outlineLevel="0" collapsed="false">
      <c r="A24" s="18" t="s">
        <v>24</v>
      </c>
      <c r="B24" s="8" t="s">
        <v>25</v>
      </c>
      <c r="C24" s="9" t="n">
        <v>46034</v>
      </c>
      <c r="D24" s="8" t="n">
        <v>2026</v>
      </c>
      <c r="E24" s="8" t="n">
        <v>3</v>
      </c>
      <c r="F24" s="18" t="s">
        <v>122</v>
      </c>
      <c r="G24" s="8" t="s">
        <v>116</v>
      </c>
      <c r="H24" s="19" t="n">
        <v>0.333333333333333</v>
      </c>
      <c r="I24" s="19" t="n">
        <v>0.331944444444444</v>
      </c>
      <c r="J24" s="19" t="n">
        <v>0.75</v>
      </c>
      <c r="K24" s="19" t="n">
        <v>0.75</v>
      </c>
      <c r="L24" s="19" t="n">
        <v>0.375</v>
      </c>
      <c r="M24" s="19" t="n">
        <v>0.375</v>
      </c>
      <c r="N24" s="19" t="n">
        <v>0</v>
      </c>
      <c r="O24" s="19" t="n">
        <v>0.00138888888888889</v>
      </c>
      <c r="P24" s="17" t="n">
        <f aca="false">IF(AND(ISNUMBER(H24),ISNUMBER(I24)),MAX(0,ROUND((I24-H24)*1440,0)-'Bilan agents'!$C$4),0)</f>
        <v>0</v>
      </c>
      <c r="Q24" s="8" t="str">
        <f aca="false">IF(H24="Congé","CP",IF(H24="Férié","F",IF(H24="OFF","R",IF(N24&gt;0,"A",IF(ISNUMBER(I24),"P","NR")))))</f>
        <v>P</v>
      </c>
      <c r="R24" s="18"/>
    </row>
    <row r="25" customFormat="false" ht="15" hidden="false" customHeight="false" outlineLevel="0" collapsed="false">
      <c r="A25" s="18" t="s">
        <v>24</v>
      </c>
      <c r="B25" s="8" t="s">
        <v>25</v>
      </c>
      <c r="C25" s="9" t="n">
        <v>46035</v>
      </c>
      <c r="D25" s="8" t="n">
        <v>2026</v>
      </c>
      <c r="E25" s="8" t="n">
        <v>3</v>
      </c>
      <c r="F25" s="18" t="s">
        <v>122</v>
      </c>
      <c r="G25" s="8" t="s">
        <v>117</v>
      </c>
      <c r="H25" s="19" t="n">
        <v>0.333333333333333</v>
      </c>
      <c r="I25" s="19" t="n">
        <v>0.331944444444444</v>
      </c>
      <c r="J25" s="19" t="n">
        <v>0.75</v>
      </c>
      <c r="K25" s="19" t="n">
        <v>0.75</v>
      </c>
      <c r="L25" s="19" t="n">
        <v>0.375</v>
      </c>
      <c r="M25" s="19" t="n">
        <v>0.375</v>
      </c>
      <c r="N25" s="19" t="n">
        <v>0</v>
      </c>
      <c r="O25" s="19" t="n">
        <v>0.00138888888888889</v>
      </c>
      <c r="P25" s="17" t="n">
        <f aca="false">IF(AND(ISNUMBER(H25),ISNUMBER(I25)),MAX(0,ROUND((I25-H25)*1440,0)-'Bilan agents'!$C$4),0)</f>
        <v>0</v>
      </c>
      <c r="Q25" s="8" t="str">
        <f aca="false">IF(H25="Congé","CP",IF(H25="Férié","F",IF(H25="OFF","R",IF(N25&gt;0,"A",IF(ISNUMBER(I25),"P","NR")))))</f>
        <v>P</v>
      </c>
      <c r="R25" s="18"/>
    </row>
    <row r="26" customFormat="false" ht="15" hidden="false" customHeight="false" outlineLevel="0" collapsed="false">
      <c r="A26" s="18" t="s">
        <v>24</v>
      </c>
      <c r="B26" s="8" t="s">
        <v>25</v>
      </c>
      <c r="C26" s="9" t="n">
        <v>46036</v>
      </c>
      <c r="D26" s="8" t="n">
        <v>2026</v>
      </c>
      <c r="E26" s="8" t="n">
        <v>3</v>
      </c>
      <c r="F26" s="18" t="s">
        <v>122</v>
      </c>
      <c r="G26" s="8" t="s">
        <v>118</v>
      </c>
      <c r="H26" s="19" t="n">
        <v>0.333333333333333</v>
      </c>
      <c r="I26" s="19" t="n">
        <v>0.333333333333333</v>
      </c>
      <c r="J26" s="19" t="n">
        <v>0.75</v>
      </c>
      <c r="K26" s="19" t="n">
        <v>0.75</v>
      </c>
      <c r="L26" s="19" t="n">
        <v>0.375</v>
      </c>
      <c r="M26" s="19" t="n">
        <v>0.375</v>
      </c>
      <c r="N26" s="19" t="n">
        <v>0</v>
      </c>
      <c r="O26" s="19" t="n">
        <v>0</v>
      </c>
      <c r="P26" s="17" t="n">
        <f aca="false">IF(AND(ISNUMBER(H26),ISNUMBER(I26)),MAX(0,ROUND((I26-H26)*1440,0)-'Bilan agents'!$C$4),0)</f>
        <v>0</v>
      </c>
      <c r="Q26" s="8" t="str">
        <f aca="false">IF(H26="Congé","CP",IF(H26="Férié","F",IF(H26="OFF","R",IF(N26&gt;0,"A",IF(ISNUMBER(I26),"P","NR")))))</f>
        <v>P</v>
      </c>
      <c r="R26" s="18"/>
    </row>
    <row r="27" customFormat="false" ht="15" hidden="false" customHeight="false" outlineLevel="0" collapsed="false">
      <c r="A27" s="18" t="s">
        <v>24</v>
      </c>
      <c r="B27" s="8" t="s">
        <v>25</v>
      </c>
      <c r="C27" s="9" t="n">
        <v>46037</v>
      </c>
      <c r="D27" s="8" t="n">
        <v>2026</v>
      </c>
      <c r="E27" s="8" t="n">
        <v>3</v>
      </c>
      <c r="F27" s="18" t="s">
        <v>122</v>
      </c>
      <c r="G27" s="8" t="s">
        <v>119</v>
      </c>
      <c r="H27" s="19" t="n">
        <v>0.333333333333333</v>
      </c>
      <c r="I27" s="19" t="n">
        <v>0.332638888888889</v>
      </c>
      <c r="J27" s="19" t="n">
        <v>0.75</v>
      </c>
      <c r="K27" s="19" t="n">
        <v>0.75</v>
      </c>
      <c r="L27" s="19" t="n">
        <v>0.375</v>
      </c>
      <c r="M27" s="19" t="n">
        <v>0.375</v>
      </c>
      <c r="N27" s="19" t="n">
        <v>0</v>
      </c>
      <c r="O27" s="19" t="n">
        <v>0</v>
      </c>
      <c r="P27" s="17" t="n">
        <f aca="false">IF(AND(ISNUMBER(H27),ISNUMBER(I27)),MAX(0,ROUND((I27-H27)*1440,0)-'Bilan agents'!$C$4),0)</f>
        <v>0</v>
      </c>
      <c r="Q27" s="8" t="str">
        <f aca="false">IF(H27="Congé","CP",IF(H27="Férié","F",IF(H27="OFF","R",IF(N27&gt;0,"A",IF(ISNUMBER(I27),"P","NR")))))</f>
        <v>P</v>
      </c>
      <c r="R27" s="18"/>
    </row>
    <row r="28" customFormat="false" ht="15" hidden="false" customHeight="false" outlineLevel="0" collapsed="false">
      <c r="A28" s="18" t="s">
        <v>24</v>
      </c>
      <c r="B28" s="8" t="s">
        <v>25</v>
      </c>
      <c r="C28" s="9" t="n">
        <v>46038</v>
      </c>
      <c r="D28" s="8" t="n">
        <v>2026</v>
      </c>
      <c r="E28" s="8" t="n">
        <v>3</v>
      </c>
      <c r="F28" s="18" t="s">
        <v>122</v>
      </c>
      <c r="G28" s="8" t="s">
        <v>120</v>
      </c>
      <c r="H28" s="19" t="n">
        <v>0.333333333333333</v>
      </c>
      <c r="I28" s="19" t="n">
        <v>0.332638888888889</v>
      </c>
      <c r="J28" s="19" t="n">
        <v>0.708333333333333</v>
      </c>
      <c r="K28" s="19" t="n">
        <v>0.708333333333333</v>
      </c>
      <c r="L28" s="19" t="n">
        <v>0.333333333333333</v>
      </c>
      <c r="M28" s="19" t="n">
        <v>0.333333333333333</v>
      </c>
      <c r="N28" s="19" t="n">
        <v>0</v>
      </c>
      <c r="O28" s="19" t="n">
        <v>0</v>
      </c>
      <c r="P28" s="17" t="n">
        <f aca="false">IF(AND(ISNUMBER(H28),ISNUMBER(I28)),MAX(0,ROUND((I28-H28)*1440,0)-'Bilan agents'!$C$4),0)</f>
        <v>0</v>
      </c>
      <c r="Q28" s="8" t="str">
        <f aca="false">IF(H28="Congé","CP",IF(H28="Férié","F",IF(H28="OFF","R",IF(N28&gt;0,"A",IF(ISNUMBER(I28),"P","NR")))))</f>
        <v>P</v>
      </c>
      <c r="R28" s="18"/>
    </row>
    <row r="29" customFormat="false" ht="15" hidden="false" customHeight="false" outlineLevel="0" collapsed="false">
      <c r="A29" s="18" t="s">
        <v>24</v>
      </c>
      <c r="B29" s="8" t="s">
        <v>25</v>
      </c>
      <c r="C29" s="9" t="n">
        <v>46039</v>
      </c>
      <c r="D29" s="8" t="n">
        <v>2026</v>
      </c>
      <c r="E29" s="8" t="n">
        <v>3</v>
      </c>
      <c r="F29" s="18" t="s">
        <v>122</v>
      </c>
      <c r="G29" s="8" t="s">
        <v>121</v>
      </c>
      <c r="H29" s="19" t="s">
        <v>115</v>
      </c>
      <c r="I29" s="19"/>
      <c r="J29" s="19"/>
      <c r="K29" s="19"/>
      <c r="L29" s="19" t="n">
        <v>0</v>
      </c>
      <c r="M29" s="19"/>
      <c r="N29" s="19" t="n">
        <v>0</v>
      </c>
      <c r="O29" s="19" t="n">
        <v>0</v>
      </c>
      <c r="P29" s="17" t="n">
        <f aca="false">IF(AND(ISNUMBER(H29),ISNUMBER(I29)),MAX(0,ROUND((I29-H29)*1440,0)-'Bilan agents'!$C$4),0)</f>
        <v>0</v>
      </c>
      <c r="Q29" s="8" t="str">
        <f aca="false">IF(H29="Congé","CP",IF(H29="Férié","F",IF(H29="OFF","R",IF(N29&gt;0,"A",IF(ISNUMBER(I29),"P","NR")))))</f>
        <v>R</v>
      </c>
      <c r="R29" s="18"/>
    </row>
    <row r="30" customFormat="false" ht="15" hidden="false" customHeight="false" outlineLevel="0" collapsed="false">
      <c r="A30" s="18" t="s">
        <v>24</v>
      </c>
      <c r="B30" s="8" t="s">
        <v>25</v>
      </c>
      <c r="C30" s="9" t="n">
        <v>46040</v>
      </c>
      <c r="D30" s="8" t="n">
        <v>2026</v>
      </c>
      <c r="E30" s="8" t="n">
        <v>3</v>
      </c>
      <c r="F30" s="18" t="s">
        <v>122</v>
      </c>
      <c r="G30" s="8" t="s">
        <v>114</v>
      </c>
      <c r="H30" s="19" t="s">
        <v>115</v>
      </c>
      <c r="I30" s="19"/>
      <c r="J30" s="19"/>
      <c r="K30" s="19"/>
      <c r="L30" s="19" t="n">
        <v>0</v>
      </c>
      <c r="M30" s="19"/>
      <c r="N30" s="19" t="n">
        <v>0</v>
      </c>
      <c r="O30" s="19" t="n">
        <v>0</v>
      </c>
      <c r="P30" s="17" t="n">
        <f aca="false">IF(AND(ISNUMBER(H30),ISNUMBER(I30)),MAX(0,ROUND((I30-H30)*1440,0)-'Bilan agents'!$C$4),0)</f>
        <v>0</v>
      </c>
      <c r="Q30" s="8" t="str">
        <f aca="false">IF(H30="Congé","CP",IF(H30="Férié","F",IF(H30="OFF","R",IF(N30&gt;0,"A",IF(ISNUMBER(I30),"P","NR")))))</f>
        <v>R</v>
      </c>
      <c r="R30" s="18"/>
    </row>
    <row r="31" customFormat="false" ht="15" hidden="false" customHeight="false" outlineLevel="0" collapsed="false">
      <c r="A31" s="18" t="s">
        <v>24</v>
      </c>
      <c r="B31" s="8" t="s">
        <v>25</v>
      </c>
      <c r="C31" s="9" t="n">
        <v>46043</v>
      </c>
      <c r="D31" s="8" t="n">
        <v>2026</v>
      </c>
      <c r="E31" s="8" t="n">
        <v>4</v>
      </c>
      <c r="F31" s="18" t="s">
        <v>122</v>
      </c>
      <c r="G31" s="8" t="s">
        <v>118</v>
      </c>
      <c r="H31" s="19" t="n">
        <v>0.333333333333333</v>
      </c>
      <c r="I31" s="19" t="n">
        <v>0.332638888888889</v>
      </c>
      <c r="J31" s="19" t="n">
        <v>0.75</v>
      </c>
      <c r="K31" s="19" t="n">
        <v>0.75</v>
      </c>
      <c r="L31" s="19" t="n">
        <v>0.375</v>
      </c>
      <c r="M31" s="19" t="n">
        <v>0.375</v>
      </c>
      <c r="N31" s="19" t="n">
        <v>0</v>
      </c>
      <c r="O31" s="19" t="n">
        <v>0</v>
      </c>
      <c r="P31" s="17" t="n">
        <f aca="false">IF(AND(ISNUMBER(H31),ISNUMBER(I31)),MAX(0,ROUND((I31-H31)*1440,0)-'Bilan agents'!$C$4),0)</f>
        <v>0</v>
      </c>
      <c r="Q31" s="8" t="str">
        <f aca="false">IF(H31="Congé","CP",IF(H31="Férié","F",IF(H31="OFF","R",IF(N31&gt;0,"A",IF(ISNUMBER(I31),"P","NR")))))</f>
        <v>P</v>
      </c>
      <c r="R31" s="18"/>
    </row>
    <row r="32" customFormat="false" ht="15" hidden="false" customHeight="false" outlineLevel="0" collapsed="false">
      <c r="A32" s="18" t="s">
        <v>24</v>
      </c>
      <c r="B32" s="8" t="s">
        <v>25</v>
      </c>
      <c r="C32" s="9" t="n">
        <v>46044</v>
      </c>
      <c r="D32" s="8" t="n">
        <v>2026</v>
      </c>
      <c r="E32" s="8" t="n">
        <v>4</v>
      </c>
      <c r="F32" s="18" t="s">
        <v>122</v>
      </c>
      <c r="G32" s="8" t="s">
        <v>119</v>
      </c>
      <c r="H32" s="19" t="n">
        <v>0.333333333333333</v>
      </c>
      <c r="I32" s="19"/>
      <c r="J32" s="19" t="n">
        <v>0.75</v>
      </c>
      <c r="K32" s="19"/>
      <c r="L32" s="19" t="n">
        <v>0.375</v>
      </c>
      <c r="M32" s="19"/>
      <c r="N32" s="19" t="n">
        <v>0.375</v>
      </c>
      <c r="O32" s="19" t="n">
        <v>0</v>
      </c>
      <c r="P32" s="17" t="n">
        <f aca="false">IF(AND(ISNUMBER(H32),ISNUMBER(I32)),MAX(0,ROUND((I32-H32)*1440,0)-'Bilan agents'!$C$4),0)</f>
        <v>0</v>
      </c>
      <c r="Q32" s="8" t="str">
        <f aca="false">IF(H32="Congé","CP",IF(H32="Férié","F",IF(H32="OFF","R",IF(N32&gt;0,"A",IF(ISNUMBER(I32),"P","NR")))))</f>
        <v>A</v>
      </c>
      <c r="R32" s="18"/>
    </row>
    <row r="33" customFormat="false" ht="15" hidden="false" customHeight="false" outlineLevel="0" collapsed="false">
      <c r="A33" s="18" t="s">
        <v>24</v>
      </c>
      <c r="B33" s="8" t="s">
        <v>25</v>
      </c>
      <c r="C33" s="9" t="n">
        <v>46045</v>
      </c>
      <c r="D33" s="8" t="n">
        <v>2026</v>
      </c>
      <c r="E33" s="8" t="n">
        <v>4</v>
      </c>
      <c r="F33" s="18" t="s">
        <v>122</v>
      </c>
      <c r="G33" s="8" t="s">
        <v>120</v>
      </c>
      <c r="H33" s="19" t="n">
        <v>0.333333333333333</v>
      </c>
      <c r="I33" s="19" t="n">
        <v>0.332638888888889</v>
      </c>
      <c r="J33" s="19" t="n">
        <v>0.708333333333333</v>
      </c>
      <c r="K33" s="19" t="n">
        <v>0.708333333333333</v>
      </c>
      <c r="L33" s="19" t="n">
        <v>0.333333333333333</v>
      </c>
      <c r="M33" s="19" t="n">
        <v>0.333333333333333</v>
      </c>
      <c r="N33" s="19" t="n">
        <v>0</v>
      </c>
      <c r="O33" s="19" t="n">
        <v>0</v>
      </c>
      <c r="P33" s="17" t="n">
        <f aca="false">IF(AND(ISNUMBER(H33),ISNUMBER(I33)),MAX(0,ROUND((I33-H33)*1440,0)-'Bilan agents'!$C$4),0)</f>
        <v>0</v>
      </c>
      <c r="Q33" s="8" t="str">
        <f aca="false">IF(H33="Congé","CP",IF(H33="Férié","F",IF(H33="OFF","R",IF(N33&gt;0,"A",IF(ISNUMBER(I33),"P","NR")))))</f>
        <v>P</v>
      </c>
      <c r="R33" s="18"/>
    </row>
    <row r="34" customFormat="false" ht="15" hidden="false" customHeight="false" outlineLevel="0" collapsed="false">
      <c r="A34" s="18" t="s">
        <v>24</v>
      </c>
      <c r="B34" s="8" t="s">
        <v>25</v>
      </c>
      <c r="C34" s="9" t="n">
        <v>46046</v>
      </c>
      <c r="D34" s="8" t="n">
        <v>2026</v>
      </c>
      <c r="E34" s="8" t="n">
        <v>4</v>
      </c>
      <c r="F34" s="18" t="s">
        <v>122</v>
      </c>
      <c r="G34" s="8" t="s">
        <v>121</v>
      </c>
      <c r="H34" s="19" t="s">
        <v>115</v>
      </c>
      <c r="I34" s="19"/>
      <c r="J34" s="19"/>
      <c r="K34" s="19"/>
      <c r="L34" s="19" t="n">
        <v>0</v>
      </c>
      <c r="M34" s="19"/>
      <c r="N34" s="19" t="n">
        <v>0</v>
      </c>
      <c r="O34" s="19" t="n">
        <v>0</v>
      </c>
      <c r="P34" s="17" t="n">
        <f aca="false">IF(AND(ISNUMBER(H34),ISNUMBER(I34)),MAX(0,ROUND((I34-H34)*1440,0)-'Bilan agents'!$C$4),0)</f>
        <v>0</v>
      </c>
      <c r="Q34" s="8" t="str">
        <f aca="false">IF(H34="Congé","CP",IF(H34="Férié","F",IF(H34="OFF","R",IF(N34&gt;0,"A",IF(ISNUMBER(I34),"P","NR")))))</f>
        <v>R</v>
      </c>
      <c r="R34" s="18"/>
    </row>
    <row r="35" customFormat="false" ht="15" hidden="false" customHeight="false" outlineLevel="0" collapsed="false">
      <c r="A35" s="18" t="s">
        <v>24</v>
      </c>
      <c r="B35" s="8" t="s">
        <v>25</v>
      </c>
      <c r="C35" s="9" t="n">
        <v>46047</v>
      </c>
      <c r="D35" s="8" t="n">
        <v>2026</v>
      </c>
      <c r="E35" s="8" t="n">
        <v>4</v>
      </c>
      <c r="F35" s="18" t="s">
        <v>122</v>
      </c>
      <c r="G35" s="8" t="s">
        <v>114</v>
      </c>
      <c r="H35" s="19" t="s">
        <v>115</v>
      </c>
      <c r="I35" s="19"/>
      <c r="J35" s="19"/>
      <c r="K35" s="19"/>
      <c r="L35" s="19" t="n">
        <v>0</v>
      </c>
      <c r="M35" s="19"/>
      <c r="N35" s="19" t="n">
        <v>0</v>
      </c>
      <c r="O35" s="19" t="n">
        <v>0</v>
      </c>
      <c r="P35" s="17" t="n">
        <f aca="false">IF(AND(ISNUMBER(H35),ISNUMBER(I35)),MAX(0,ROUND((I35-H35)*1440,0)-'Bilan agents'!$C$4),0)</f>
        <v>0</v>
      </c>
      <c r="Q35" s="8" t="str">
        <f aca="false">IF(H35="Congé","CP",IF(H35="Férié","F",IF(H35="OFF","R",IF(N35&gt;0,"A",IF(ISNUMBER(I35),"P","NR")))))</f>
        <v>R</v>
      </c>
      <c r="R35" s="18"/>
    </row>
    <row r="36" customFormat="false" ht="15" hidden="false" customHeight="false" outlineLevel="0" collapsed="false">
      <c r="A36" s="18" t="s">
        <v>24</v>
      </c>
      <c r="B36" s="8" t="s">
        <v>25</v>
      </c>
      <c r="C36" s="9" t="n">
        <v>46048</v>
      </c>
      <c r="D36" s="8" t="n">
        <v>2026</v>
      </c>
      <c r="E36" s="8" t="n">
        <v>5</v>
      </c>
      <c r="F36" s="18" t="s">
        <v>122</v>
      </c>
      <c r="G36" s="8" t="s">
        <v>116</v>
      </c>
      <c r="H36" s="19" t="n">
        <v>0.333333333333333</v>
      </c>
      <c r="I36" s="19" t="n">
        <v>0.333333333333333</v>
      </c>
      <c r="J36" s="19" t="n">
        <v>0.75</v>
      </c>
      <c r="K36" s="19" t="n">
        <v>0.75</v>
      </c>
      <c r="L36" s="19" t="n">
        <v>0.375</v>
      </c>
      <c r="M36" s="19" t="n">
        <v>0.375</v>
      </c>
      <c r="N36" s="19" t="n">
        <v>0</v>
      </c>
      <c r="O36" s="19" t="n">
        <v>0</v>
      </c>
      <c r="P36" s="17" t="n">
        <f aca="false">IF(AND(ISNUMBER(H36),ISNUMBER(I36)),MAX(0,ROUND((I36-H36)*1440,0)-'Bilan agents'!$C$4),0)</f>
        <v>0</v>
      </c>
      <c r="Q36" s="8" t="str">
        <f aca="false">IF(H36="Congé","CP",IF(H36="Férié","F",IF(H36="OFF","R",IF(N36&gt;0,"A",IF(ISNUMBER(I36),"P","NR")))))</f>
        <v>P</v>
      </c>
      <c r="R36" s="18"/>
    </row>
    <row r="37" customFormat="false" ht="15" hidden="false" customHeight="false" outlineLevel="0" collapsed="false">
      <c r="A37" s="18" t="s">
        <v>24</v>
      </c>
      <c r="B37" s="8" t="s">
        <v>25</v>
      </c>
      <c r="C37" s="9" t="n">
        <v>46049</v>
      </c>
      <c r="D37" s="8" t="n">
        <v>2026</v>
      </c>
      <c r="E37" s="8" t="n">
        <v>5</v>
      </c>
      <c r="F37" s="18" t="s">
        <v>122</v>
      </c>
      <c r="G37" s="8" t="s">
        <v>117</v>
      </c>
      <c r="H37" s="19" t="n">
        <v>0.333333333333333</v>
      </c>
      <c r="I37" s="19" t="n">
        <v>0.332638888888889</v>
      </c>
      <c r="J37" s="19" t="n">
        <v>0.75</v>
      </c>
      <c r="K37" s="19" t="n">
        <v>0.75</v>
      </c>
      <c r="L37" s="19" t="n">
        <v>0.375</v>
      </c>
      <c r="M37" s="19" t="n">
        <v>0.375</v>
      </c>
      <c r="N37" s="19" t="n">
        <v>0</v>
      </c>
      <c r="O37" s="19" t="n">
        <v>0</v>
      </c>
      <c r="P37" s="17" t="n">
        <f aca="false">IF(AND(ISNUMBER(H37),ISNUMBER(I37)),MAX(0,ROUND((I37-H37)*1440,0)-'Bilan agents'!$C$4),0)</f>
        <v>0</v>
      </c>
      <c r="Q37" s="8" t="str">
        <f aca="false">IF(H37="Congé","CP",IF(H37="Férié","F",IF(H37="OFF","R",IF(N37&gt;0,"A",IF(ISNUMBER(I37),"P","NR")))))</f>
        <v>P</v>
      </c>
      <c r="R37" s="18"/>
    </row>
    <row r="38" customFormat="false" ht="15" hidden="false" customHeight="false" outlineLevel="0" collapsed="false">
      <c r="A38" s="18" t="s">
        <v>24</v>
      </c>
      <c r="B38" s="8" t="s">
        <v>25</v>
      </c>
      <c r="C38" s="9" t="n">
        <v>46050</v>
      </c>
      <c r="D38" s="8" t="n">
        <v>2026</v>
      </c>
      <c r="E38" s="8" t="n">
        <v>5</v>
      </c>
      <c r="F38" s="18" t="s">
        <v>122</v>
      </c>
      <c r="G38" s="8" t="s">
        <v>118</v>
      </c>
      <c r="H38" s="19" t="n">
        <v>0.333333333333333</v>
      </c>
      <c r="I38" s="19" t="n">
        <v>0.332638888888889</v>
      </c>
      <c r="J38" s="19" t="n">
        <v>0.75</v>
      </c>
      <c r="K38" s="19" t="n">
        <v>0.75</v>
      </c>
      <c r="L38" s="19" t="n">
        <v>0.375</v>
      </c>
      <c r="M38" s="19" t="n">
        <v>0.375</v>
      </c>
      <c r="N38" s="19" t="n">
        <v>0</v>
      </c>
      <c r="O38" s="19" t="n">
        <v>0</v>
      </c>
      <c r="P38" s="17" t="n">
        <f aca="false">IF(AND(ISNUMBER(H38),ISNUMBER(I38)),MAX(0,ROUND((I38-H38)*1440,0)-'Bilan agents'!$C$4),0)</f>
        <v>0</v>
      </c>
      <c r="Q38" s="8" t="str">
        <f aca="false">IF(H38="Congé","CP",IF(H38="Férié","F",IF(H38="OFF","R",IF(N38&gt;0,"A",IF(ISNUMBER(I38),"P","NR")))))</f>
        <v>P</v>
      </c>
      <c r="R38" s="18"/>
    </row>
    <row r="39" customFormat="false" ht="15" hidden="false" customHeight="false" outlineLevel="0" collapsed="false">
      <c r="A39" s="18" t="s">
        <v>24</v>
      </c>
      <c r="B39" s="8" t="s">
        <v>25</v>
      </c>
      <c r="C39" s="9" t="n">
        <v>46051</v>
      </c>
      <c r="D39" s="8" t="n">
        <v>2026</v>
      </c>
      <c r="E39" s="8" t="n">
        <v>5</v>
      </c>
      <c r="F39" s="18" t="s">
        <v>122</v>
      </c>
      <c r="G39" s="8" t="s">
        <v>119</v>
      </c>
      <c r="H39" s="19" t="n">
        <v>0.333333333333333</v>
      </c>
      <c r="I39" s="19" t="n">
        <v>0.332638888888889</v>
      </c>
      <c r="J39" s="19" t="n">
        <v>0.75</v>
      </c>
      <c r="K39" s="19" t="n">
        <v>0.75</v>
      </c>
      <c r="L39" s="19" t="n">
        <v>0.375</v>
      </c>
      <c r="M39" s="19" t="n">
        <v>0.375</v>
      </c>
      <c r="N39" s="19" t="n">
        <v>0</v>
      </c>
      <c r="O39" s="19" t="n">
        <v>0</v>
      </c>
      <c r="P39" s="17" t="n">
        <f aca="false">IF(AND(ISNUMBER(H39),ISNUMBER(I39)),MAX(0,ROUND((I39-H39)*1440,0)-'Bilan agents'!$C$4),0)</f>
        <v>0</v>
      </c>
      <c r="Q39" s="8" t="str">
        <f aca="false">IF(H39="Congé","CP",IF(H39="Férié","F",IF(H39="OFF","R",IF(N39&gt;0,"A",IF(ISNUMBER(I39),"P","NR")))))</f>
        <v>P</v>
      </c>
      <c r="R39" s="18"/>
    </row>
    <row r="40" customFormat="false" ht="15" hidden="false" customHeight="false" outlineLevel="0" collapsed="false">
      <c r="A40" s="18" t="s">
        <v>24</v>
      </c>
      <c r="B40" s="8" t="s">
        <v>25</v>
      </c>
      <c r="C40" s="9" t="n">
        <v>46052</v>
      </c>
      <c r="D40" s="8" t="n">
        <v>2026</v>
      </c>
      <c r="E40" s="8" t="n">
        <v>5</v>
      </c>
      <c r="F40" s="18" t="s">
        <v>122</v>
      </c>
      <c r="G40" s="8" t="s">
        <v>120</v>
      </c>
      <c r="H40" s="19" t="n">
        <v>0.333333333333333</v>
      </c>
      <c r="I40" s="19" t="n">
        <v>0.333333333333333</v>
      </c>
      <c r="J40" s="19" t="n">
        <v>0.708333333333333</v>
      </c>
      <c r="K40" s="19" t="n">
        <v>0.708333333333333</v>
      </c>
      <c r="L40" s="19" t="n">
        <v>0.333333333333333</v>
      </c>
      <c r="M40" s="19" t="n">
        <v>0.333333333333333</v>
      </c>
      <c r="N40" s="19" t="n">
        <v>0</v>
      </c>
      <c r="O40" s="19" t="n">
        <v>0</v>
      </c>
      <c r="P40" s="17" t="n">
        <f aca="false">IF(AND(ISNUMBER(H40),ISNUMBER(I40)),MAX(0,ROUND((I40-H40)*1440,0)-'Bilan agents'!$C$4),0)</f>
        <v>0</v>
      </c>
      <c r="Q40" s="8" t="str">
        <f aca="false">IF(H40="Congé","CP",IF(H40="Férié","F",IF(H40="OFF","R",IF(N40&gt;0,"A",IF(ISNUMBER(I40),"P","NR")))))</f>
        <v>P</v>
      </c>
      <c r="R40" s="18"/>
    </row>
    <row r="41" customFormat="false" ht="15" hidden="false" customHeight="false" outlineLevel="0" collapsed="false">
      <c r="A41" s="18" t="s">
        <v>24</v>
      </c>
      <c r="B41" s="8" t="s">
        <v>25</v>
      </c>
      <c r="C41" s="9" t="n">
        <v>46053</v>
      </c>
      <c r="D41" s="8" t="n">
        <v>2026</v>
      </c>
      <c r="E41" s="8" t="n">
        <v>5</v>
      </c>
      <c r="F41" s="18" t="s">
        <v>122</v>
      </c>
      <c r="G41" s="8" t="s">
        <v>121</v>
      </c>
      <c r="H41" s="19" t="s">
        <v>115</v>
      </c>
      <c r="I41" s="19"/>
      <c r="J41" s="19"/>
      <c r="K41" s="19"/>
      <c r="L41" s="19" t="n">
        <v>0</v>
      </c>
      <c r="M41" s="19"/>
      <c r="N41" s="19" t="n">
        <v>0</v>
      </c>
      <c r="O41" s="19" t="n">
        <v>0</v>
      </c>
      <c r="P41" s="17" t="n">
        <f aca="false">IF(AND(ISNUMBER(H41),ISNUMBER(I41)),MAX(0,ROUND((I41-H41)*1440,0)-'Bilan agents'!$C$4),0)</f>
        <v>0</v>
      </c>
      <c r="Q41" s="8" t="str">
        <f aca="false">IF(H41="Congé","CP",IF(H41="Férié","F",IF(H41="OFF","R",IF(N41&gt;0,"A",IF(ISNUMBER(I41),"P","NR")))))</f>
        <v>R</v>
      </c>
      <c r="R41" s="18"/>
    </row>
    <row r="42" customFormat="false" ht="15" hidden="false" customHeight="false" outlineLevel="0" collapsed="false">
      <c r="A42" s="18" t="s">
        <v>24</v>
      </c>
      <c r="B42" s="8" t="s">
        <v>25</v>
      </c>
      <c r="C42" s="9" t="n">
        <v>46054</v>
      </c>
      <c r="D42" s="8" t="n">
        <v>2026</v>
      </c>
      <c r="E42" s="8" t="n">
        <v>5</v>
      </c>
      <c r="F42" s="18" t="s">
        <v>123</v>
      </c>
      <c r="G42" s="8" t="s">
        <v>114</v>
      </c>
      <c r="H42" s="19" t="s">
        <v>115</v>
      </c>
      <c r="I42" s="19"/>
      <c r="J42" s="19"/>
      <c r="K42" s="19"/>
      <c r="L42" s="19" t="n">
        <v>0</v>
      </c>
      <c r="M42" s="19"/>
      <c r="N42" s="19" t="n">
        <v>0</v>
      </c>
      <c r="O42" s="19" t="n">
        <v>0</v>
      </c>
      <c r="P42" s="17" t="n">
        <f aca="false">IF(AND(ISNUMBER(H42),ISNUMBER(I42)),MAX(0,ROUND((I42-H42)*1440,0)-'Bilan agents'!$C$4),0)</f>
        <v>0</v>
      </c>
      <c r="Q42" s="8" t="str">
        <f aca="false">IF(H42="Congé","CP",IF(H42="Férié","F",IF(H42="OFF","R",IF(N42&gt;0,"A",IF(ISNUMBER(I42),"P","NR")))))</f>
        <v>R</v>
      </c>
      <c r="R42" s="18"/>
    </row>
    <row r="43" customFormat="false" ht="15" hidden="false" customHeight="false" outlineLevel="0" collapsed="false">
      <c r="A43" s="18" t="s">
        <v>24</v>
      </c>
      <c r="B43" s="8" t="s">
        <v>25</v>
      </c>
      <c r="C43" s="9" t="n">
        <v>46055</v>
      </c>
      <c r="D43" s="8" t="n">
        <v>2026</v>
      </c>
      <c r="E43" s="8" t="n">
        <v>6</v>
      </c>
      <c r="F43" s="18" t="s">
        <v>123</v>
      </c>
      <c r="G43" s="8" t="s">
        <v>116</v>
      </c>
      <c r="H43" s="19" t="n">
        <v>0.333333333333333</v>
      </c>
      <c r="I43" s="19" t="n">
        <v>0.333333333333333</v>
      </c>
      <c r="J43" s="19" t="n">
        <v>0.75</v>
      </c>
      <c r="K43" s="19" t="n">
        <v>0.75</v>
      </c>
      <c r="L43" s="19" t="n">
        <v>0.375</v>
      </c>
      <c r="M43" s="19" t="n">
        <v>0.375</v>
      </c>
      <c r="N43" s="19" t="n">
        <v>0</v>
      </c>
      <c r="O43" s="19" t="n">
        <v>0</v>
      </c>
      <c r="P43" s="17" t="n">
        <f aca="false">IF(AND(ISNUMBER(H43),ISNUMBER(I43)),MAX(0,ROUND((I43-H43)*1440,0)-'Bilan agents'!$C$4),0)</f>
        <v>0</v>
      </c>
      <c r="Q43" s="8" t="str">
        <f aca="false">IF(H43="Congé","CP",IF(H43="Férié","F",IF(H43="OFF","R",IF(N43&gt;0,"A",IF(ISNUMBER(I43),"P","NR")))))</f>
        <v>P</v>
      </c>
      <c r="R43" s="18"/>
    </row>
    <row r="44" customFormat="false" ht="15" hidden="false" customHeight="false" outlineLevel="0" collapsed="false">
      <c r="A44" s="18" t="s">
        <v>24</v>
      </c>
      <c r="B44" s="8" t="s">
        <v>25</v>
      </c>
      <c r="C44" s="9" t="n">
        <v>46056</v>
      </c>
      <c r="D44" s="8" t="n">
        <v>2026</v>
      </c>
      <c r="E44" s="8" t="n">
        <v>6</v>
      </c>
      <c r="F44" s="18" t="s">
        <v>123</v>
      </c>
      <c r="G44" s="8" t="s">
        <v>117</v>
      </c>
      <c r="H44" s="19" t="n">
        <v>0.333333333333333</v>
      </c>
      <c r="I44" s="19" t="n">
        <v>0.333333333333333</v>
      </c>
      <c r="J44" s="19" t="n">
        <v>0.75</v>
      </c>
      <c r="K44" s="19" t="n">
        <v>0.75</v>
      </c>
      <c r="L44" s="19" t="n">
        <v>0.375</v>
      </c>
      <c r="M44" s="19" t="n">
        <v>0.375</v>
      </c>
      <c r="N44" s="19" t="n">
        <v>0</v>
      </c>
      <c r="O44" s="19" t="n">
        <v>0</v>
      </c>
      <c r="P44" s="17" t="n">
        <f aca="false">IF(AND(ISNUMBER(H44),ISNUMBER(I44)),MAX(0,ROUND((I44-H44)*1440,0)-'Bilan agents'!$C$4),0)</f>
        <v>0</v>
      </c>
      <c r="Q44" s="8" t="str">
        <f aca="false">IF(H44="Congé","CP",IF(H44="Férié","F",IF(H44="OFF","R",IF(N44&gt;0,"A",IF(ISNUMBER(I44),"P","NR")))))</f>
        <v>P</v>
      </c>
      <c r="R44" s="18"/>
    </row>
    <row r="45" customFormat="false" ht="15" hidden="false" customHeight="false" outlineLevel="0" collapsed="false">
      <c r="A45" s="18" t="s">
        <v>24</v>
      </c>
      <c r="B45" s="8" t="s">
        <v>25</v>
      </c>
      <c r="C45" s="9" t="n">
        <v>46057</v>
      </c>
      <c r="D45" s="8" t="n">
        <v>2026</v>
      </c>
      <c r="E45" s="8" t="n">
        <v>6</v>
      </c>
      <c r="F45" s="18" t="s">
        <v>123</v>
      </c>
      <c r="G45" s="8" t="s">
        <v>118</v>
      </c>
      <c r="H45" s="19" t="n">
        <v>0.333333333333333</v>
      </c>
      <c r="I45" s="19" t="n">
        <v>0.332638888888889</v>
      </c>
      <c r="J45" s="19" t="n">
        <v>0.75</v>
      </c>
      <c r="K45" s="19" t="n">
        <v>0.75</v>
      </c>
      <c r="L45" s="19" t="n">
        <v>0.375</v>
      </c>
      <c r="M45" s="19" t="n">
        <v>0.375</v>
      </c>
      <c r="N45" s="19" t="n">
        <v>0</v>
      </c>
      <c r="O45" s="19" t="n">
        <v>0</v>
      </c>
      <c r="P45" s="17" t="n">
        <f aca="false">IF(AND(ISNUMBER(H45),ISNUMBER(I45)),MAX(0,ROUND((I45-H45)*1440,0)-'Bilan agents'!$C$4),0)</f>
        <v>0</v>
      </c>
      <c r="Q45" s="8" t="str">
        <f aca="false">IF(H45="Congé","CP",IF(H45="Férié","F",IF(H45="OFF","R",IF(N45&gt;0,"A",IF(ISNUMBER(I45),"P","NR")))))</f>
        <v>P</v>
      </c>
      <c r="R45" s="18"/>
    </row>
    <row r="46" customFormat="false" ht="15" hidden="false" customHeight="false" outlineLevel="0" collapsed="false">
      <c r="A46" s="18" t="s">
        <v>24</v>
      </c>
      <c r="B46" s="8" t="s">
        <v>25</v>
      </c>
      <c r="C46" s="9" t="n">
        <v>46058</v>
      </c>
      <c r="D46" s="8" t="n">
        <v>2026</v>
      </c>
      <c r="E46" s="8" t="n">
        <v>6</v>
      </c>
      <c r="F46" s="18" t="s">
        <v>123</v>
      </c>
      <c r="G46" s="8" t="s">
        <v>119</v>
      </c>
      <c r="H46" s="19" t="n">
        <v>0.333333333333333</v>
      </c>
      <c r="I46" s="19" t="n">
        <v>0.349305555555556</v>
      </c>
      <c r="J46" s="19" t="n">
        <v>0.75</v>
      </c>
      <c r="K46" s="19" t="n">
        <v>0.75</v>
      </c>
      <c r="L46" s="19" t="n">
        <v>0.375</v>
      </c>
      <c r="M46" s="19" t="n">
        <v>0.375</v>
      </c>
      <c r="N46" s="19" t="n">
        <v>0</v>
      </c>
      <c r="O46" s="19" t="n">
        <v>0</v>
      </c>
      <c r="P46" s="17" t="n">
        <f aca="false">IF(AND(ISNUMBER(H46),ISNUMBER(I46)),MAX(0,ROUND((I46-H46)*1440,0)-'Bilan agents'!$C$4),0)</f>
        <v>23</v>
      </c>
      <c r="Q46" s="8" t="str">
        <f aca="false">IF(H46="Congé","CP",IF(H46="Férié","F",IF(H46="OFF","R",IF(N46&gt;0,"A",IF(ISNUMBER(I46),"P","NR")))))</f>
        <v>P</v>
      </c>
      <c r="R46" s="18"/>
    </row>
    <row r="47" customFormat="false" ht="15" hidden="false" customHeight="false" outlineLevel="0" collapsed="false">
      <c r="A47" s="18" t="s">
        <v>24</v>
      </c>
      <c r="B47" s="8" t="s">
        <v>25</v>
      </c>
      <c r="C47" s="9" t="n">
        <v>46059</v>
      </c>
      <c r="D47" s="8" t="n">
        <v>2026</v>
      </c>
      <c r="E47" s="8" t="n">
        <v>6</v>
      </c>
      <c r="F47" s="18" t="s">
        <v>123</v>
      </c>
      <c r="G47" s="8" t="s">
        <v>120</v>
      </c>
      <c r="H47" s="19" t="n">
        <v>0.333333333333333</v>
      </c>
      <c r="I47" s="19" t="n">
        <v>0.332638888888889</v>
      </c>
      <c r="J47" s="19" t="n">
        <v>0.708333333333333</v>
      </c>
      <c r="K47" s="19" t="n">
        <v>0.708333333333333</v>
      </c>
      <c r="L47" s="19" t="n">
        <v>0.333333333333333</v>
      </c>
      <c r="M47" s="19" t="n">
        <v>0.333333333333333</v>
      </c>
      <c r="N47" s="19" t="n">
        <v>0</v>
      </c>
      <c r="O47" s="19" t="n">
        <v>0</v>
      </c>
      <c r="P47" s="17" t="n">
        <f aca="false">IF(AND(ISNUMBER(H47),ISNUMBER(I47)),MAX(0,ROUND((I47-H47)*1440,0)-'Bilan agents'!$C$4),0)</f>
        <v>0</v>
      </c>
      <c r="Q47" s="8" t="str">
        <f aca="false">IF(H47="Congé","CP",IF(H47="Férié","F",IF(H47="OFF","R",IF(N47&gt;0,"A",IF(ISNUMBER(I47),"P","NR")))))</f>
        <v>P</v>
      </c>
      <c r="R47" s="18"/>
    </row>
    <row r="48" customFormat="false" ht="15" hidden="false" customHeight="false" outlineLevel="0" collapsed="false">
      <c r="A48" s="18" t="s">
        <v>24</v>
      </c>
      <c r="B48" s="8" t="s">
        <v>25</v>
      </c>
      <c r="C48" s="9" t="n">
        <v>46060</v>
      </c>
      <c r="D48" s="8" t="n">
        <v>2026</v>
      </c>
      <c r="E48" s="8" t="n">
        <v>6</v>
      </c>
      <c r="F48" s="18" t="s">
        <v>123</v>
      </c>
      <c r="G48" s="8" t="s">
        <v>121</v>
      </c>
      <c r="H48" s="19" t="s">
        <v>115</v>
      </c>
      <c r="I48" s="19"/>
      <c r="J48" s="19"/>
      <c r="K48" s="19"/>
      <c r="L48" s="19" t="n">
        <v>0</v>
      </c>
      <c r="M48" s="19"/>
      <c r="N48" s="19" t="n">
        <v>0</v>
      </c>
      <c r="O48" s="19" t="n">
        <v>0</v>
      </c>
      <c r="P48" s="17" t="n">
        <f aca="false">IF(AND(ISNUMBER(H48),ISNUMBER(I48)),MAX(0,ROUND((I48-H48)*1440,0)-'Bilan agents'!$C$4),0)</f>
        <v>0</v>
      </c>
      <c r="Q48" s="8" t="str">
        <f aca="false">IF(H48="Congé","CP",IF(H48="Férié","F",IF(H48="OFF","R",IF(N48&gt;0,"A",IF(ISNUMBER(I48),"P","NR")))))</f>
        <v>R</v>
      </c>
      <c r="R48" s="18"/>
    </row>
    <row r="49" customFormat="false" ht="15" hidden="false" customHeight="false" outlineLevel="0" collapsed="false">
      <c r="A49" s="18" t="s">
        <v>24</v>
      </c>
      <c r="B49" s="8" t="s">
        <v>25</v>
      </c>
      <c r="C49" s="9" t="n">
        <v>46061</v>
      </c>
      <c r="D49" s="8" t="n">
        <v>2026</v>
      </c>
      <c r="E49" s="8" t="n">
        <v>6</v>
      </c>
      <c r="F49" s="18" t="s">
        <v>123</v>
      </c>
      <c r="G49" s="8" t="s">
        <v>114</v>
      </c>
      <c r="H49" s="19" t="s">
        <v>115</v>
      </c>
      <c r="I49" s="19"/>
      <c r="J49" s="19"/>
      <c r="K49" s="19"/>
      <c r="L49" s="19" t="n">
        <v>0</v>
      </c>
      <c r="M49" s="19"/>
      <c r="N49" s="19" t="n">
        <v>0</v>
      </c>
      <c r="O49" s="19" t="n">
        <v>0</v>
      </c>
      <c r="P49" s="17" t="n">
        <f aca="false">IF(AND(ISNUMBER(H49),ISNUMBER(I49)),MAX(0,ROUND((I49-H49)*1440,0)-'Bilan agents'!$C$4),0)</f>
        <v>0</v>
      </c>
      <c r="Q49" s="8" t="str">
        <f aca="false">IF(H49="Congé","CP",IF(H49="Férié","F",IF(H49="OFF","R",IF(N49&gt;0,"A",IF(ISNUMBER(I49),"P","NR")))))</f>
        <v>R</v>
      </c>
      <c r="R49" s="18"/>
    </row>
    <row r="50" customFormat="false" ht="15" hidden="false" customHeight="false" outlineLevel="0" collapsed="false">
      <c r="A50" s="18" t="s">
        <v>24</v>
      </c>
      <c r="B50" s="8" t="s">
        <v>25</v>
      </c>
      <c r="C50" s="9" t="n">
        <v>46062</v>
      </c>
      <c r="D50" s="8" t="n">
        <v>2026</v>
      </c>
      <c r="E50" s="8" t="n">
        <v>7</v>
      </c>
      <c r="F50" s="18" t="s">
        <v>123</v>
      </c>
      <c r="G50" s="8" t="s">
        <v>116</v>
      </c>
      <c r="H50" s="19" t="n">
        <v>0.333333333333333</v>
      </c>
      <c r="I50" s="19" t="n">
        <v>0.331944444444444</v>
      </c>
      <c r="J50" s="19" t="n">
        <v>0.75</v>
      </c>
      <c r="K50" s="19" t="n">
        <v>0.75</v>
      </c>
      <c r="L50" s="19" t="n">
        <v>0.375</v>
      </c>
      <c r="M50" s="19" t="n">
        <v>0.375</v>
      </c>
      <c r="N50" s="19" t="n">
        <v>0</v>
      </c>
      <c r="O50" s="19" t="n">
        <v>0.00138888888888889</v>
      </c>
      <c r="P50" s="17" t="n">
        <f aca="false">IF(AND(ISNUMBER(H50),ISNUMBER(I50)),MAX(0,ROUND((I50-H50)*1440,0)-'Bilan agents'!$C$4),0)</f>
        <v>0</v>
      </c>
      <c r="Q50" s="8" t="str">
        <f aca="false">IF(H50="Congé","CP",IF(H50="Férié","F",IF(H50="OFF","R",IF(N50&gt;0,"A",IF(ISNUMBER(I50),"P","NR")))))</f>
        <v>P</v>
      </c>
      <c r="R50" s="18"/>
    </row>
    <row r="51" customFormat="false" ht="15" hidden="false" customHeight="false" outlineLevel="0" collapsed="false">
      <c r="A51" s="18" t="s">
        <v>24</v>
      </c>
      <c r="B51" s="8" t="s">
        <v>25</v>
      </c>
      <c r="C51" s="9" t="n">
        <v>46063</v>
      </c>
      <c r="D51" s="8" t="n">
        <v>2026</v>
      </c>
      <c r="E51" s="8" t="n">
        <v>7</v>
      </c>
      <c r="F51" s="18" t="s">
        <v>123</v>
      </c>
      <c r="G51" s="8" t="s">
        <v>117</v>
      </c>
      <c r="H51" s="19" t="n">
        <v>0.333333333333333</v>
      </c>
      <c r="I51" s="19" t="n">
        <v>0.332638888888889</v>
      </c>
      <c r="J51" s="19" t="n">
        <v>0.75</v>
      </c>
      <c r="K51" s="19" t="n">
        <v>0.75</v>
      </c>
      <c r="L51" s="19" t="n">
        <v>0.375</v>
      </c>
      <c r="M51" s="19" t="n">
        <v>0.375</v>
      </c>
      <c r="N51" s="19" t="n">
        <v>0</v>
      </c>
      <c r="O51" s="19" t="n">
        <v>0</v>
      </c>
      <c r="P51" s="17" t="n">
        <f aca="false">IF(AND(ISNUMBER(H51),ISNUMBER(I51)),MAX(0,ROUND((I51-H51)*1440,0)-'Bilan agents'!$C$4),0)</f>
        <v>0</v>
      </c>
      <c r="Q51" s="8" t="str">
        <f aca="false">IF(H51="Congé","CP",IF(H51="Férié","F",IF(H51="OFF","R",IF(N51&gt;0,"A",IF(ISNUMBER(I51),"P","NR")))))</f>
        <v>P</v>
      </c>
      <c r="R51" s="18"/>
    </row>
    <row r="52" customFormat="false" ht="15" hidden="false" customHeight="false" outlineLevel="0" collapsed="false">
      <c r="A52" s="18" t="s">
        <v>24</v>
      </c>
      <c r="B52" s="8" t="s">
        <v>25</v>
      </c>
      <c r="C52" s="9" t="n">
        <v>46064</v>
      </c>
      <c r="D52" s="8" t="n">
        <v>2026</v>
      </c>
      <c r="E52" s="8" t="n">
        <v>7</v>
      </c>
      <c r="F52" s="18" t="s">
        <v>123</v>
      </c>
      <c r="G52" s="8" t="s">
        <v>118</v>
      </c>
      <c r="H52" s="19" t="n">
        <v>0.333333333333333</v>
      </c>
      <c r="I52" s="19" t="n">
        <v>0.332638888888889</v>
      </c>
      <c r="J52" s="19" t="n">
        <v>0.75</v>
      </c>
      <c r="K52" s="19" t="n">
        <v>0.75</v>
      </c>
      <c r="L52" s="19" t="n">
        <v>0.375</v>
      </c>
      <c r="M52" s="19" t="n">
        <v>0.375</v>
      </c>
      <c r="N52" s="19" t="n">
        <v>0</v>
      </c>
      <c r="O52" s="19" t="n">
        <v>0</v>
      </c>
      <c r="P52" s="17" t="n">
        <f aca="false">IF(AND(ISNUMBER(H52),ISNUMBER(I52)),MAX(0,ROUND((I52-H52)*1440,0)-'Bilan agents'!$C$4),0)</f>
        <v>0</v>
      </c>
      <c r="Q52" s="8" t="str">
        <f aca="false">IF(H52="Congé","CP",IF(H52="Férié","F",IF(H52="OFF","R",IF(N52&gt;0,"A",IF(ISNUMBER(I52),"P","NR")))))</f>
        <v>P</v>
      </c>
      <c r="R52" s="18"/>
    </row>
    <row r="53" customFormat="false" ht="15" hidden="false" customHeight="false" outlineLevel="0" collapsed="false">
      <c r="A53" s="18" t="s">
        <v>24</v>
      </c>
      <c r="B53" s="8" t="s">
        <v>25</v>
      </c>
      <c r="C53" s="9" t="n">
        <v>46065</v>
      </c>
      <c r="D53" s="8" t="n">
        <v>2026</v>
      </c>
      <c r="E53" s="8" t="n">
        <v>7</v>
      </c>
      <c r="F53" s="18" t="s">
        <v>123</v>
      </c>
      <c r="G53" s="8" t="s">
        <v>119</v>
      </c>
      <c r="H53" s="19" t="n">
        <v>0.333333333333333</v>
      </c>
      <c r="I53" s="19" t="n">
        <v>0.333333333333333</v>
      </c>
      <c r="J53" s="19" t="n">
        <v>0.75</v>
      </c>
      <c r="K53" s="19" t="n">
        <v>0.75</v>
      </c>
      <c r="L53" s="19" t="n">
        <v>0.375</v>
      </c>
      <c r="M53" s="19" t="n">
        <v>0.375</v>
      </c>
      <c r="N53" s="19" t="n">
        <v>0</v>
      </c>
      <c r="O53" s="19" t="n">
        <v>0</v>
      </c>
      <c r="P53" s="17" t="n">
        <f aca="false">IF(AND(ISNUMBER(H53),ISNUMBER(I53)),MAX(0,ROUND((I53-H53)*1440,0)-'Bilan agents'!$C$4),0)</f>
        <v>0</v>
      </c>
      <c r="Q53" s="8" t="str">
        <f aca="false">IF(H53="Congé","CP",IF(H53="Férié","F",IF(H53="OFF","R",IF(N53&gt;0,"A",IF(ISNUMBER(I53),"P","NR")))))</f>
        <v>P</v>
      </c>
      <c r="R53" s="18"/>
    </row>
    <row r="54" customFormat="false" ht="15" hidden="false" customHeight="false" outlineLevel="0" collapsed="false">
      <c r="A54" s="18" t="s">
        <v>24</v>
      </c>
      <c r="B54" s="8" t="s">
        <v>25</v>
      </c>
      <c r="C54" s="9" t="n">
        <v>46066</v>
      </c>
      <c r="D54" s="8" t="n">
        <v>2026</v>
      </c>
      <c r="E54" s="8" t="n">
        <v>7</v>
      </c>
      <c r="F54" s="18" t="s">
        <v>123</v>
      </c>
      <c r="G54" s="8" t="s">
        <v>120</v>
      </c>
      <c r="H54" s="19" t="n">
        <v>0.333333333333333</v>
      </c>
      <c r="I54" s="19" t="n">
        <v>0.333333333333333</v>
      </c>
      <c r="J54" s="19" t="n">
        <v>0.708333333333333</v>
      </c>
      <c r="K54" s="19" t="n">
        <v>0.708333333333333</v>
      </c>
      <c r="L54" s="19" t="n">
        <v>0.333333333333333</v>
      </c>
      <c r="M54" s="19" t="n">
        <v>0.333333333333333</v>
      </c>
      <c r="N54" s="19" t="n">
        <v>0</v>
      </c>
      <c r="O54" s="19" t="n">
        <v>0</v>
      </c>
      <c r="P54" s="17" t="n">
        <f aca="false">IF(AND(ISNUMBER(H54),ISNUMBER(I54)),MAX(0,ROUND((I54-H54)*1440,0)-'Bilan agents'!$C$4),0)</f>
        <v>0</v>
      </c>
      <c r="Q54" s="8" t="str">
        <f aca="false">IF(H54="Congé","CP",IF(H54="Férié","F",IF(H54="OFF","R",IF(N54&gt;0,"A",IF(ISNUMBER(I54),"P","NR")))))</f>
        <v>P</v>
      </c>
      <c r="R54" s="18"/>
    </row>
    <row r="55" customFormat="false" ht="15" hidden="false" customHeight="false" outlineLevel="0" collapsed="false">
      <c r="A55" s="18" t="s">
        <v>24</v>
      </c>
      <c r="B55" s="8" t="s">
        <v>25</v>
      </c>
      <c r="C55" s="9" t="n">
        <v>46067</v>
      </c>
      <c r="D55" s="8" t="n">
        <v>2026</v>
      </c>
      <c r="E55" s="8" t="n">
        <v>7</v>
      </c>
      <c r="F55" s="18" t="s">
        <v>123</v>
      </c>
      <c r="G55" s="8" t="s">
        <v>121</v>
      </c>
      <c r="H55" s="19" t="s">
        <v>115</v>
      </c>
      <c r="I55" s="19"/>
      <c r="J55" s="19"/>
      <c r="K55" s="19"/>
      <c r="L55" s="19" t="n">
        <v>0</v>
      </c>
      <c r="M55" s="19"/>
      <c r="N55" s="19" t="n">
        <v>0</v>
      </c>
      <c r="O55" s="19" t="n">
        <v>0</v>
      </c>
      <c r="P55" s="17" t="n">
        <f aca="false">IF(AND(ISNUMBER(H55),ISNUMBER(I55)),MAX(0,ROUND((I55-H55)*1440,0)-'Bilan agents'!$C$4),0)</f>
        <v>0</v>
      </c>
      <c r="Q55" s="8" t="str">
        <f aca="false">IF(H55="Congé","CP",IF(H55="Férié","F",IF(H55="OFF","R",IF(N55&gt;0,"A",IF(ISNUMBER(I55),"P","NR")))))</f>
        <v>R</v>
      </c>
      <c r="R55" s="18"/>
    </row>
    <row r="56" customFormat="false" ht="15" hidden="false" customHeight="false" outlineLevel="0" collapsed="false">
      <c r="A56" s="18" t="s">
        <v>24</v>
      </c>
      <c r="B56" s="8" t="s">
        <v>25</v>
      </c>
      <c r="C56" s="9" t="n">
        <v>46068</v>
      </c>
      <c r="D56" s="8" t="n">
        <v>2026</v>
      </c>
      <c r="E56" s="8" t="n">
        <v>7</v>
      </c>
      <c r="F56" s="18" t="s">
        <v>123</v>
      </c>
      <c r="G56" s="8" t="s">
        <v>114</v>
      </c>
      <c r="H56" s="19" t="s">
        <v>115</v>
      </c>
      <c r="I56" s="19"/>
      <c r="J56" s="19"/>
      <c r="K56" s="19"/>
      <c r="L56" s="19" t="n">
        <v>0</v>
      </c>
      <c r="M56" s="19"/>
      <c r="N56" s="19" t="n">
        <v>0</v>
      </c>
      <c r="O56" s="19" t="n">
        <v>0</v>
      </c>
      <c r="P56" s="17" t="n">
        <f aca="false">IF(AND(ISNUMBER(H56),ISNUMBER(I56)),MAX(0,ROUND((I56-H56)*1440,0)-'Bilan agents'!$C$4),0)</f>
        <v>0</v>
      </c>
      <c r="Q56" s="8" t="str">
        <f aca="false">IF(H56="Congé","CP",IF(H56="Férié","F",IF(H56="OFF","R",IF(N56&gt;0,"A",IF(ISNUMBER(I56),"P","NR")))))</f>
        <v>R</v>
      </c>
      <c r="R56" s="18"/>
    </row>
    <row r="57" customFormat="false" ht="15" hidden="false" customHeight="false" outlineLevel="0" collapsed="false">
      <c r="A57" s="18" t="s">
        <v>24</v>
      </c>
      <c r="B57" s="8" t="s">
        <v>25</v>
      </c>
      <c r="C57" s="9" t="n">
        <v>46074</v>
      </c>
      <c r="D57" s="8" t="n">
        <v>2026</v>
      </c>
      <c r="E57" s="8" t="n">
        <v>8</v>
      </c>
      <c r="F57" s="18" t="s">
        <v>123</v>
      </c>
      <c r="G57" s="8" t="s">
        <v>121</v>
      </c>
      <c r="H57" s="19" t="s">
        <v>115</v>
      </c>
      <c r="I57" s="19"/>
      <c r="J57" s="19"/>
      <c r="K57" s="19"/>
      <c r="L57" s="19" t="n">
        <v>0</v>
      </c>
      <c r="M57" s="19"/>
      <c r="N57" s="19" t="n">
        <v>0</v>
      </c>
      <c r="O57" s="19" t="n">
        <v>0</v>
      </c>
      <c r="P57" s="17" t="n">
        <f aca="false">IF(AND(ISNUMBER(H57),ISNUMBER(I57)),MAX(0,ROUND((I57-H57)*1440,0)-'Bilan agents'!$C$4),0)</f>
        <v>0</v>
      </c>
      <c r="Q57" s="8" t="str">
        <f aca="false">IF(H57="Congé","CP",IF(H57="Férié","F",IF(H57="OFF","R",IF(N57&gt;0,"A",IF(ISNUMBER(I57),"P","NR")))))</f>
        <v>R</v>
      </c>
      <c r="R57" s="18"/>
    </row>
    <row r="58" customFormat="false" ht="15" hidden="false" customHeight="false" outlineLevel="0" collapsed="false">
      <c r="A58" s="18" t="s">
        <v>24</v>
      </c>
      <c r="B58" s="8" t="s">
        <v>25</v>
      </c>
      <c r="C58" s="9" t="n">
        <v>46075</v>
      </c>
      <c r="D58" s="8" t="n">
        <v>2026</v>
      </c>
      <c r="E58" s="8" t="n">
        <v>8</v>
      </c>
      <c r="F58" s="18" t="s">
        <v>123</v>
      </c>
      <c r="G58" s="8" t="s">
        <v>114</v>
      </c>
      <c r="H58" s="19" t="s">
        <v>115</v>
      </c>
      <c r="I58" s="19"/>
      <c r="J58" s="19"/>
      <c r="K58" s="19"/>
      <c r="L58" s="19" t="n">
        <v>0</v>
      </c>
      <c r="M58" s="19"/>
      <c r="N58" s="19" t="n">
        <v>0</v>
      </c>
      <c r="O58" s="19" t="n">
        <v>0</v>
      </c>
      <c r="P58" s="17" t="n">
        <f aca="false">IF(AND(ISNUMBER(H58),ISNUMBER(I58)),MAX(0,ROUND((I58-H58)*1440,0)-'Bilan agents'!$C$4),0)</f>
        <v>0</v>
      </c>
      <c r="Q58" s="8" t="str">
        <f aca="false">IF(H58="Congé","CP",IF(H58="Férié","F",IF(H58="OFF","R",IF(N58&gt;0,"A",IF(ISNUMBER(I58),"P","NR")))))</f>
        <v>R</v>
      </c>
      <c r="R58" s="18"/>
    </row>
    <row r="59" customFormat="false" ht="15" hidden="false" customHeight="false" outlineLevel="0" collapsed="false">
      <c r="A59" s="18" t="s">
        <v>24</v>
      </c>
      <c r="B59" s="8" t="s">
        <v>25</v>
      </c>
      <c r="C59" s="9" t="n">
        <v>46076</v>
      </c>
      <c r="D59" s="8" t="n">
        <v>2026</v>
      </c>
      <c r="E59" s="8" t="n">
        <v>9</v>
      </c>
      <c r="F59" s="18" t="s">
        <v>123</v>
      </c>
      <c r="G59" s="8" t="s">
        <v>116</v>
      </c>
      <c r="H59" s="19" t="n">
        <v>0.333333333333333</v>
      </c>
      <c r="I59" s="19" t="n">
        <v>0.332638888888889</v>
      </c>
      <c r="J59" s="19" t="n">
        <v>0.708333333333333</v>
      </c>
      <c r="K59" s="19" t="n">
        <v>0.708333333333333</v>
      </c>
      <c r="L59" s="19" t="n">
        <v>0.375</v>
      </c>
      <c r="M59" s="19" t="n">
        <v>0.375</v>
      </c>
      <c r="N59" s="19" t="n">
        <v>0</v>
      </c>
      <c r="O59" s="19" t="n">
        <v>0</v>
      </c>
      <c r="P59" s="17" t="n">
        <f aca="false">IF(AND(ISNUMBER(H59),ISNUMBER(I59)),MAX(0,ROUND((I59-H59)*1440,0)-'Bilan agents'!$C$4),0)</f>
        <v>0</v>
      </c>
      <c r="Q59" s="8" t="str">
        <f aca="false">IF(H59="Congé","CP",IF(H59="Férié","F",IF(H59="OFF","R",IF(N59&gt;0,"A",IF(ISNUMBER(I59),"P","NR")))))</f>
        <v>P</v>
      </c>
      <c r="R59" s="18"/>
    </row>
    <row r="60" customFormat="false" ht="15" hidden="false" customHeight="false" outlineLevel="0" collapsed="false">
      <c r="A60" s="18" t="s">
        <v>24</v>
      </c>
      <c r="B60" s="8" t="s">
        <v>25</v>
      </c>
      <c r="C60" s="9" t="n">
        <v>46077</v>
      </c>
      <c r="D60" s="8" t="n">
        <v>2026</v>
      </c>
      <c r="E60" s="8" t="n">
        <v>9</v>
      </c>
      <c r="F60" s="18" t="s">
        <v>123</v>
      </c>
      <c r="G60" s="8" t="s">
        <v>117</v>
      </c>
      <c r="H60" s="19" t="n">
        <v>0.333333333333333</v>
      </c>
      <c r="I60" s="19" t="n">
        <v>0.333333333333333</v>
      </c>
      <c r="J60" s="19" t="n">
        <v>0.708333333333333</v>
      </c>
      <c r="K60" s="19" t="n">
        <v>0.708333333333333</v>
      </c>
      <c r="L60" s="19" t="n">
        <v>0.375</v>
      </c>
      <c r="M60" s="19" t="n">
        <v>0.375</v>
      </c>
      <c r="N60" s="19" t="n">
        <v>0</v>
      </c>
      <c r="O60" s="19" t="n">
        <v>0</v>
      </c>
      <c r="P60" s="17" t="n">
        <f aca="false">IF(AND(ISNUMBER(H60),ISNUMBER(I60)),MAX(0,ROUND((I60-H60)*1440,0)-'Bilan agents'!$C$4),0)</f>
        <v>0</v>
      </c>
      <c r="Q60" s="8" t="str">
        <f aca="false">IF(H60="Congé","CP",IF(H60="Férié","F",IF(H60="OFF","R",IF(N60&gt;0,"A",IF(ISNUMBER(I60),"P","NR")))))</f>
        <v>P</v>
      </c>
      <c r="R60" s="18"/>
    </row>
    <row r="61" customFormat="false" ht="15" hidden="false" customHeight="false" outlineLevel="0" collapsed="false">
      <c r="A61" s="18" t="s">
        <v>24</v>
      </c>
      <c r="B61" s="8" t="s">
        <v>25</v>
      </c>
      <c r="C61" s="9" t="n">
        <v>46078</v>
      </c>
      <c r="D61" s="8" t="n">
        <v>2026</v>
      </c>
      <c r="E61" s="8" t="n">
        <v>9</v>
      </c>
      <c r="F61" s="18" t="s">
        <v>123</v>
      </c>
      <c r="G61" s="8" t="s">
        <v>118</v>
      </c>
      <c r="H61" s="19" t="n">
        <v>0.333333333333333</v>
      </c>
      <c r="I61" s="19" t="n">
        <v>0.333333333333333</v>
      </c>
      <c r="J61" s="19" t="n">
        <v>0.708333333333333</v>
      </c>
      <c r="K61" s="19" t="n">
        <v>0.708333333333333</v>
      </c>
      <c r="L61" s="19" t="n">
        <v>0.375</v>
      </c>
      <c r="M61" s="19" t="n">
        <v>0.375</v>
      </c>
      <c r="N61" s="19" t="n">
        <v>0</v>
      </c>
      <c r="O61" s="19" t="n">
        <v>0</v>
      </c>
      <c r="P61" s="17" t="n">
        <f aca="false">IF(AND(ISNUMBER(H61),ISNUMBER(I61)),MAX(0,ROUND((I61-H61)*1440,0)-'Bilan agents'!$C$4),0)</f>
        <v>0</v>
      </c>
      <c r="Q61" s="8" t="str">
        <f aca="false">IF(H61="Congé","CP",IF(H61="Férié","F",IF(H61="OFF","R",IF(N61&gt;0,"A",IF(ISNUMBER(I61),"P","NR")))))</f>
        <v>P</v>
      </c>
      <c r="R61" s="18"/>
    </row>
    <row r="62" customFormat="false" ht="15" hidden="false" customHeight="false" outlineLevel="0" collapsed="false">
      <c r="A62" s="18" t="s">
        <v>24</v>
      </c>
      <c r="B62" s="8" t="s">
        <v>25</v>
      </c>
      <c r="C62" s="9" t="n">
        <v>46079</v>
      </c>
      <c r="D62" s="8" t="n">
        <v>2026</v>
      </c>
      <c r="E62" s="8" t="n">
        <v>9</v>
      </c>
      <c r="F62" s="18" t="s">
        <v>123</v>
      </c>
      <c r="G62" s="8" t="s">
        <v>119</v>
      </c>
      <c r="H62" s="19" t="n">
        <v>0.333333333333333</v>
      </c>
      <c r="I62" s="19" t="n">
        <v>0.333333333333333</v>
      </c>
      <c r="J62" s="19" t="n">
        <v>0.708333333333333</v>
      </c>
      <c r="K62" s="19" t="n">
        <v>0.708333333333333</v>
      </c>
      <c r="L62" s="19" t="n">
        <v>0.375</v>
      </c>
      <c r="M62" s="19" t="n">
        <v>0.375</v>
      </c>
      <c r="N62" s="19" t="n">
        <v>0</v>
      </c>
      <c r="O62" s="19" t="n">
        <v>0</v>
      </c>
      <c r="P62" s="17" t="n">
        <f aca="false">IF(AND(ISNUMBER(H62),ISNUMBER(I62)),MAX(0,ROUND((I62-H62)*1440,0)-'Bilan agents'!$C$4),0)</f>
        <v>0</v>
      </c>
      <c r="Q62" s="8" t="str">
        <f aca="false">IF(H62="Congé","CP",IF(H62="Férié","F",IF(H62="OFF","R",IF(N62&gt;0,"A",IF(ISNUMBER(I62),"P","NR")))))</f>
        <v>P</v>
      </c>
      <c r="R62" s="18"/>
    </row>
    <row r="63" customFormat="false" ht="15" hidden="false" customHeight="false" outlineLevel="0" collapsed="false">
      <c r="A63" s="18" t="s">
        <v>24</v>
      </c>
      <c r="B63" s="8" t="s">
        <v>25</v>
      </c>
      <c r="C63" s="9" t="n">
        <v>46080</v>
      </c>
      <c r="D63" s="8" t="n">
        <v>2026</v>
      </c>
      <c r="E63" s="8" t="n">
        <v>9</v>
      </c>
      <c r="F63" s="18" t="s">
        <v>123</v>
      </c>
      <c r="G63" s="8" t="s">
        <v>120</v>
      </c>
      <c r="H63" s="19" t="n">
        <v>0.333333333333333</v>
      </c>
      <c r="I63" s="19" t="n">
        <v>0.333333333333333</v>
      </c>
      <c r="J63" s="19" t="n">
        <v>0.666666666666667</v>
      </c>
      <c r="K63" s="19" t="n">
        <v>0.666666666666667</v>
      </c>
      <c r="L63" s="19" t="n">
        <v>0.333333333333333</v>
      </c>
      <c r="M63" s="19" t="n">
        <v>0.333333333333333</v>
      </c>
      <c r="N63" s="19" t="n">
        <v>0</v>
      </c>
      <c r="O63" s="19" t="n">
        <v>0</v>
      </c>
      <c r="P63" s="17" t="n">
        <f aca="false">IF(AND(ISNUMBER(H63),ISNUMBER(I63)),MAX(0,ROUND((I63-H63)*1440,0)-'Bilan agents'!$C$4),0)</f>
        <v>0</v>
      </c>
      <c r="Q63" s="8" t="str">
        <f aca="false">IF(H63="Congé","CP",IF(H63="Férié","F",IF(H63="OFF","R",IF(N63&gt;0,"A",IF(ISNUMBER(I63),"P","NR")))))</f>
        <v>P</v>
      </c>
      <c r="R63" s="18"/>
    </row>
    <row r="64" customFormat="false" ht="15" hidden="false" customHeight="false" outlineLevel="0" collapsed="false">
      <c r="A64" s="18" t="s">
        <v>24</v>
      </c>
      <c r="B64" s="8" t="s">
        <v>25</v>
      </c>
      <c r="C64" s="9" t="n">
        <v>46081</v>
      </c>
      <c r="D64" s="8" t="n">
        <v>2026</v>
      </c>
      <c r="E64" s="8" t="n">
        <v>9</v>
      </c>
      <c r="F64" s="18" t="s">
        <v>123</v>
      </c>
      <c r="G64" s="8" t="s">
        <v>121</v>
      </c>
      <c r="H64" s="19" t="s">
        <v>115</v>
      </c>
      <c r="I64" s="19"/>
      <c r="J64" s="19"/>
      <c r="K64" s="19"/>
      <c r="L64" s="19" t="n">
        <v>0</v>
      </c>
      <c r="M64" s="19"/>
      <c r="N64" s="19" t="n">
        <v>0</v>
      </c>
      <c r="O64" s="19" t="n">
        <v>0</v>
      </c>
      <c r="P64" s="17" t="n">
        <f aca="false">IF(AND(ISNUMBER(H64),ISNUMBER(I64)),MAX(0,ROUND((I64-H64)*1440,0)-'Bilan agents'!$C$4),0)</f>
        <v>0</v>
      </c>
      <c r="Q64" s="8" t="str">
        <f aca="false">IF(H64="Congé","CP",IF(H64="Férié","F",IF(H64="OFF","R",IF(N64&gt;0,"A",IF(ISNUMBER(I64),"P","NR")))))</f>
        <v>R</v>
      </c>
      <c r="R64" s="18"/>
    </row>
    <row r="65" customFormat="false" ht="15" hidden="false" customHeight="false" outlineLevel="0" collapsed="false">
      <c r="A65" s="18" t="s">
        <v>24</v>
      </c>
      <c r="B65" s="8" t="s">
        <v>25</v>
      </c>
      <c r="C65" s="9" t="n">
        <v>46082</v>
      </c>
      <c r="D65" s="8" t="n">
        <v>2026</v>
      </c>
      <c r="E65" s="8" t="n">
        <v>9</v>
      </c>
      <c r="F65" s="18" t="s">
        <v>124</v>
      </c>
      <c r="G65" s="8" t="s">
        <v>114</v>
      </c>
      <c r="H65" s="19" t="s">
        <v>115</v>
      </c>
      <c r="I65" s="19"/>
      <c r="J65" s="19"/>
      <c r="K65" s="19"/>
      <c r="L65" s="19" t="n">
        <v>0</v>
      </c>
      <c r="M65" s="19"/>
      <c r="N65" s="19" t="n">
        <v>0</v>
      </c>
      <c r="O65" s="19" t="n">
        <v>0</v>
      </c>
      <c r="P65" s="17" t="n">
        <f aca="false">IF(AND(ISNUMBER(H65),ISNUMBER(I65)),MAX(0,ROUND((I65-H65)*1440,0)-'Bilan agents'!$C$4),0)</f>
        <v>0</v>
      </c>
      <c r="Q65" s="8" t="str">
        <f aca="false">IF(H65="Congé","CP",IF(H65="Férié","F",IF(H65="OFF","R",IF(N65&gt;0,"A",IF(ISNUMBER(I65),"P","NR")))))</f>
        <v>R</v>
      </c>
      <c r="R65" s="18"/>
    </row>
    <row r="66" customFormat="false" ht="15" hidden="false" customHeight="false" outlineLevel="0" collapsed="false">
      <c r="A66" s="18" t="s">
        <v>24</v>
      </c>
      <c r="B66" s="8" t="s">
        <v>25</v>
      </c>
      <c r="C66" s="9" t="n">
        <v>46083</v>
      </c>
      <c r="D66" s="8" t="n">
        <v>2026</v>
      </c>
      <c r="E66" s="8" t="n">
        <v>10</v>
      </c>
      <c r="F66" s="18" t="s">
        <v>124</v>
      </c>
      <c r="G66" s="8" t="s">
        <v>116</v>
      </c>
      <c r="H66" s="19" t="n">
        <v>0.333333333333333</v>
      </c>
      <c r="I66" s="19" t="n">
        <v>0.332638888888889</v>
      </c>
      <c r="J66" s="19" t="n">
        <v>0.708333333333333</v>
      </c>
      <c r="K66" s="19" t="n">
        <v>0.708333333333333</v>
      </c>
      <c r="L66" s="19" t="n">
        <v>0.375</v>
      </c>
      <c r="M66" s="19" t="n">
        <v>0.375</v>
      </c>
      <c r="N66" s="19" t="n">
        <v>0</v>
      </c>
      <c r="O66" s="19" t="n">
        <v>0</v>
      </c>
      <c r="P66" s="17" t="n">
        <f aca="false">IF(AND(ISNUMBER(H66),ISNUMBER(I66)),MAX(0,ROUND((I66-H66)*1440,0)-'Bilan agents'!$C$4),0)</f>
        <v>0</v>
      </c>
      <c r="Q66" s="8" t="str">
        <f aca="false">IF(H66="Congé","CP",IF(H66="Férié","F",IF(H66="OFF","R",IF(N66&gt;0,"A",IF(ISNUMBER(I66),"P","NR")))))</f>
        <v>P</v>
      </c>
      <c r="R66" s="18"/>
    </row>
    <row r="67" customFormat="false" ht="15" hidden="false" customHeight="false" outlineLevel="0" collapsed="false">
      <c r="A67" s="18" t="s">
        <v>24</v>
      </c>
      <c r="B67" s="8" t="s">
        <v>25</v>
      </c>
      <c r="C67" s="9" t="n">
        <v>46084</v>
      </c>
      <c r="D67" s="8" t="n">
        <v>2026</v>
      </c>
      <c r="E67" s="8" t="n">
        <v>10</v>
      </c>
      <c r="F67" s="18" t="s">
        <v>124</v>
      </c>
      <c r="G67" s="8" t="s">
        <v>117</v>
      </c>
      <c r="H67" s="19" t="n">
        <v>0.333333333333333</v>
      </c>
      <c r="I67" s="19" t="n">
        <v>0.332638888888889</v>
      </c>
      <c r="J67" s="19" t="n">
        <v>0.708333333333333</v>
      </c>
      <c r="K67" s="19" t="n">
        <v>0.708333333333333</v>
      </c>
      <c r="L67" s="19" t="n">
        <v>0.375</v>
      </c>
      <c r="M67" s="19" t="n">
        <v>0.375</v>
      </c>
      <c r="N67" s="19" t="n">
        <v>0</v>
      </c>
      <c r="O67" s="19" t="n">
        <v>0</v>
      </c>
      <c r="P67" s="17" t="n">
        <f aca="false">IF(AND(ISNUMBER(H67),ISNUMBER(I67)),MAX(0,ROUND((I67-H67)*1440,0)-'Bilan agents'!$C$4),0)</f>
        <v>0</v>
      </c>
      <c r="Q67" s="8" t="str">
        <f aca="false">IF(H67="Congé","CP",IF(H67="Férié","F",IF(H67="OFF","R",IF(N67&gt;0,"A",IF(ISNUMBER(I67),"P","NR")))))</f>
        <v>P</v>
      </c>
      <c r="R67" s="18"/>
    </row>
    <row r="68" customFormat="false" ht="15" hidden="false" customHeight="false" outlineLevel="0" collapsed="false">
      <c r="A68" s="18" t="s">
        <v>24</v>
      </c>
      <c r="B68" s="8" t="s">
        <v>25</v>
      </c>
      <c r="C68" s="9" t="n">
        <v>46085</v>
      </c>
      <c r="D68" s="8" t="n">
        <v>2026</v>
      </c>
      <c r="E68" s="8" t="n">
        <v>10</v>
      </c>
      <c r="F68" s="18" t="s">
        <v>124</v>
      </c>
      <c r="G68" s="8" t="s">
        <v>118</v>
      </c>
      <c r="H68" s="19" t="n">
        <v>0.333333333333333</v>
      </c>
      <c r="I68" s="19" t="n">
        <v>0.332638888888889</v>
      </c>
      <c r="J68" s="19" t="n">
        <v>0.708333333333333</v>
      </c>
      <c r="K68" s="19" t="n">
        <v>0.708333333333333</v>
      </c>
      <c r="L68" s="19" t="n">
        <v>0.375</v>
      </c>
      <c r="M68" s="19" t="n">
        <v>0.375</v>
      </c>
      <c r="N68" s="19" t="n">
        <v>0</v>
      </c>
      <c r="O68" s="19" t="n">
        <v>0</v>
      </c>
      <c r="P68" s="17" t="n">
        <f aca="false">IF(AND(ISNUMBER(H68),ISNUMBER(I68)),MAX(0,ROUND((I68-H68)*1440,0)-'Bilan agents'!$C$4),0)</f>
        <v>0</v>
      </c>
      <c r="Q68" s="8" t="str">
        <f aca="false">IF(H68="Congé","CP",IF(H68="Férié","F",IF(H68="OFF","R",IF(N68&gt;0,"A",IF(ISNUMBER(I68),"P","NR")))))</f>
        <v>P</v>
      </c>
      <c r="R68" s="18"/>
    </row>
    <row r="69" customFormat="false" ht="15" hidden="false" customHeight="false" outlineLevel="0" collapsed="false">
      <c r="A69" s="18" t="s">
        <v>24</v>
      </c>
      <c r="B69" s="8" t="s">
        <v>25</v>
      </c>
      <c r="C69" s="9" t="n">
        <v>46086</v>
      </c>
      <c r="D69" s="8" t="n">
        <v>2026</v>
      </c>
      <c r="E69" s="8" t="n">
        <v>10</v>
      </c>
      <c r="F69" s="18" t="s">
        <v>124</v>
      </c>
      <c r="G69" s="8" t="s">
        <v>119</v>
      </c>
      <c r="H69" s="19" t="n">
        <v>0.333333333333333</v>
      </c>
      <c r="I69" s="19" t="n">
        <v>0.333333333333333</v>
      </c>
      <c r="J69" s="19" t="n">
        <v>0.708333333333333</v>
      </c>
      <c r="K69" s="19" t="n">
        <v>0.708333333333333</v>
      </c>
      <c r="L69" s="19" t="n">
        <v>0.375</v>
      </c>
      <c r="M69" s="19" t="n">
        <v>0.375</v>
      </c>
      <c r="N69" s="19" t="n">
        <v>0</v>
      </c>
      <c r="O69" s="19" t="n">
        <v>0</v>
      </c>
      <c r="P69" s="17" t="n">
        <f aca="false">IF(AND(ISNUMBER(H69),ISNUMBER(I69)),MAX(0,ROUND((I69-H69)*1440,0)-'Bilan agents'!$C$4),0)</f>
        <v>0</v>
      </c>
      <c r="Q69" s="8" t="str">
        <f aca="false">IF(H69="Congé","CP",IF(H69="Férié","F",IF(H69="OFF","R",IF(N69&gt;0,"A",IF(ISNUMBER(I69),"P","NR")))))</f>
        <v>P</v>
      </c>
      <c r="R69" s="18"/>
    </row>
    <row r="70" customFormat="false" ht="15" hidden="false" customHeight="false" outlineLevel="0" collapsed="false">
      <c r="A70" s="18" t="s">
        <v>24</v>
      </c>
      <c r="B70" s="8" t="s">
        <v>25</v>
      </c>
      <c r="C70" s="9" t="n">
        <v>46087</v>
      </c>
      <c r="D70" s="8" t="n">
        <v>2026</v>
      </c>
      <c r="E70" s="8" t="n">
        <v>10</v>
      </c>
      <c r="F70" s="18" t="s">
        <v>124</v>
      </c>
      <c r="G70" s="8" t="s">
        <v>120</v>
      </c>
      <c r="H70" s="19" t="n">
        <v>0.333333333333333</v>
      </c>
      <c r="I70" s="19" t="n">
        <v>0.333333333333333</v>
      </c>
      <c r="J70" s="19" t="n">
        <v>0.666666666666667</v>
      </c>
      <c r="K70" s="19" t="n">
        <v>0.666666666666667</v>
      </c>
      <c r="L70" s="19" t="n">
        <v>0.333333333333333</v>
      </c>
      <c r="M70" s="19" t="n">
        <v>0.333333333333333</v>
      </c>
      <c r="N70" s="19" t="n">
        <v>0</v>
      </c>
      <c r="O70" s="19" t="n">
        <v>0</v>
      </c>
      <c r="P70" s="17" t="n">
        <f aca="false">IF(AND(ISNUMBER(H70),ISNUMBER(I70)),MAX(0,ROUND((I70-H70)*1440,0)-'Bilan agents'!$C$4),0)</f>
        <v>0</v>
      </c>
      <c r="Q70" s="8" t="str">
        <f aca="false">IF(H70="Congé","CP",IF(H70="Férié","F",IF(H70="OFF","R",IF(N70&gt;0,"A",IF(ISNUMBER(I70),"P","NR")))))</f>
        <v>P</v>
      </c>
      <c r="R70" s="18"/>
    </row>
    <row r="71" customFormat="false" ht="15" hidden="false" customHeight="false" outlineLevel="0" collapsed="false">
      <c r="A71" s="18" t="s">
        <v>24</v>
      </c>
      <c r="B71" s="8" t="s">
        <v>25</v>
      </c>
      <c r="C71" s="9" t="n">
        <v>46088</v>
      </c>
      <c r="D71" s="8" t="n">
        <v>2026</v>
      </c>
      <c r="E71" s="8" t="n">
        <v>10</v>
      </c>
      <c r="F71" s="18" t="s">
        <v>124</v>
      </c>
      <c r="G71" s="8" t="s">
        <v>121</v>
      </c>
      <c r="H71" s="19" t="s">
        <v>115</v>
      </c>
      <c r="I71" s="19"/>
      <c r="J71" s="19"/>
      <c r="K71" s="19"/>
      <c r="L71" s="19" t="n">
        <v>0</v>
      </c>
      <c r="M71" s="19"/>
      <c r="N71" s="19" t="n">
        <v>0</v>
      </c>
      <c r="O71" s="19" t="n">
        <v>0</v>
      </c>
      <c r="P71" s="17" t="n">
        <f aca="false">IF(AND(ISNUMBER(H71),ISNUMBER(I71)),MAX(0,ROUND((I71-H71)*1440,0)-'Bilan agents'!$C$4),0)</f>
        <v>0</v>
      </c>
      <c r="Q71" s="8" t="str">
        <f aca="false">IF(H71="Congé","CP",IF(H71="Férié","F",IF(H71="OFF","R",IF(N71&gt;0,"A",IF(ISNUMBER(I71),"P","NR")))))</f>
        <v>R</v>
      </c>
      <c r="R71" s="18"/>
    </row>
    <row r="72" customFormat="false" ht="15" hidden="false" customHeight="false" outlineLevel="0" collapsed="false">
      <c r="A72" s="18" t="s">
        <v>24</v>
      </c>
      <c r="B72" s="8" t="s">
        <v>25</v>
      </c>
      <c r="C72" s="9" t="n">
        <v>46089</v>
      </c>
      <c r="D72" s="8" t="n">
        <v>2026</v>
      </c>
      <c r="E72" s="8" t="n">
        <v>10</v>
      </c>
      <c r="F72" s="18" t="s">
        <v>124</v>
      </c>
      <c r="G72" s="8" t="s">
        <v>114</v>
      </c>
      <c r="H72" s="19" t="s">
        <v>115</v>
      </c>
      <c r="I72" s="19"/>
      <c r="J72" s="19"/>
      <c r="K72" s="19"/>
      <c r="L72" s="19" t="n">
        <v>0</v>
      </c>
      <c r="M72" s="19"/>
      <c r="N72" s="19" t="n">
        <v>0</v>
      </c>
      <c r="O72" s="19" t="n">
        <v>0</v>
      </c>
      <c r="P72" s="17" t="n">
        <f aca="false">IF(AND(ISNUMBER(H72),ISNUMBER(I72)),MAX(0,ROUND((I72-H72)*1440,0)-'Bilan agents'!$C$4),0)</f>
        <v>0</v>
      </c>
      <c r="Q72" s="8" t="str">
        <f aca="false">IF(H72="Congé","CP",IF(H72="Férié","F",IF(H72="OFF","R",IF(N72&gt;0,"A",IF(ISNUMBER(I72),"P","NR")))))</f>
        <v>R</v>
      </c>
      <c r="R72" s="18"/>
    </row>
    <row r="73" customFormat="false" ht="15" hidden="false" customHeight="false" outlineLevel="0" collapsed="false">
      <c r="A73" s="18" t="s">
        <v>24</v>
      </c>
      <c r="B73" s="8" t="s">
        <v>25</v>
      </c>
      <c r="C73" s="9" t="n">
        <v>46090</v>
      </c>
      <c r="D73" s="8" t="n">
        <v>2026</v>
      </c>
      <c r="E73" s="8" t="n">
        <v>11</v>
      </c>
      <c r="F73" s="18" t="s">
        <v>124</v>
      </c>
      <c r="G73" s="8" t="s">
        <v>116</v>
      </c>
      <c r="H73" s="19" t="n">
        <v>0.333333333333333</v>
      </c>
      <c r="I73" s="19" t="n">
        <v>0.332638888888889</v>
      </c>
      <c r="J73" s="19" t="n">
        <v>0.708333333333333</v>
      </c>
      <c r="K73" s="19" t="n">
        <v>0.708333333333333</v>
      </c>
      <c r="L73" s="19" t="n">
        <v>0.375</v>
      </c>
      <c r="M73" s="19" t="n">
        <v>0.375</v>
      </c>
      <c r="N73" s="19" t="n">
        <v>0</v>
      </c>
      <c r="O73" s="19" t="n">
        <v>0</v>
      </c>
      <c r="P73" s="17" t="n">
        <f aca="false">IF(AND(ISNUMBER(H73),ISNUMBER(I73)),MAX(0,ROUND((I73-H73)*1440,0)-'Bilan agents'!$C$4),0)</f>
        <v>0</v>
      </c>
      <c r="Q73" s="8" t="str">
        <f aca="false">IF(H73="Congé","CP",IF(H73="Férié","F",IF(H73="OFF","R",IF(N73&gt;0,"A",IF(ISNUMBER(I73),"P","NR")))))</f>
        <v>P</v>
      </c>
      <c r="R73" s="18"/>
    </row>
    <row r="74" customFormat="false" ht="15" hidden="false" customHeight="false" outlineLevel="0" collapsed="false">
      <c r="A74" s="18" t="s">
        <v>24</v>
      </c>
      <c r="B74" s="8" t="s">
        <v>25</v>
      </c>
      <c r="C74" s="9" t="n">
        <v>46091</v>
      </c>
      <c r="D74" s="8" t="n">
        <v>2026</v>
      </c>
      <c r="E74" s="8" t="n">
        <v>11</v>
      </c>
      <c r="F74" s="18" t="s">
        <v>124</v>
      </c>
      <c r="G74" s="8" t="s">
        <v>117</v>
      </c>
      <c r="H74" s="19" t="n">
        <v>0.333333333333333</v>
      </c>
      <c r="I74" s="19" t="n">
        <v>0.332638888888889</v>
      </c>
      <c r="J74" s="19" t="n">
        <v>0.708333333333333</v>
      </c>
      <c r="K74" s="19" t="n">
        <v>0.708333333333333</v>
      </c>
      <c r="L74" s="19" t="n">
        <v>0.375</v>
      </c>
      <c r="M74" s="19" t="n">
        <v>0.375</v>
      </c>
      <c r="N74" s="19" t="n">
        <v>0</v>
      </c>
      <c r="O74" s="19" t="n">
        <v>0</v>
      </c>
      <c r="P74" s="17" t="n">
        <f aca="false">IF(AND(ISNUMBER(H74),ISNUMBER(I74)),MAX(0,ROUND((I74-H74)*1440,0)-'Bilan agents'!$C$4),0)</f>
        <v>0</v>
      </c>
      <c r="Q74" s="8" t="str">
        <f aca="false">IF(H74="Congé","CP",IF(H74="Férié","F",IF(H74="OFF","R",IF(N74&gt;0,"A",IF(ISNUMBER(I74),"P","NR")))))</f>
        <v>P</v>
      </c>
      <c r="R74" s="18"/>
    </row>
    <row r="75" customFormat="false" ht="15" hidden="false" customHeight="false" outlineLevel="0" collapsed="false">
      <c r="A75" s="18" t="s">
        <v>24</v>
      </c>
      <c r="B75" s="8" t="s">
        <v>25</v>
      </c>
      <c r="C75" s="9" t="n">
        <v>46092</v>
      </c>
      <c r="D75" s="8" t="n">
        <v>2026</v>
      </c>
      <c r="E75" s="8" t="n">
        <v>11</v>
      </c>
      <c r="F75" s="18" t="s">
        <v>124</v>
      </c>
      <c r="G75" s="8" t="s">
        <v>118</v>
      </c>
      <c r="H75" s="19" t="n">
        <v>0.333333333333333</v>
      </c>
      <c r="I75" s="19" t="n">
        <v>0.333333333333333</v>
      </c>
      <c r="J75" s="19" t="n">
        <v>0.708333333333333</v>
      </c>
      <c r="K75" s="19" t="n">
        <v>0.708333333333333</v>
      </c>
      <c r="L75" s="19" t="n">
        <v>0.375</v>
      </c>
      <c r="M75" s="19" t="n">
        <v>0.375</v>
      </c>
      <c r="N75" s="19" t="n">
        <v>0</v>
      </c>
      <c r="O75" s="19" t="n">
        <v>0</v>
      </c>
      <c r="P75" s="17" t="n">
        <f aca="false">IF(AND(ISNUMBER(H75),ISNUMBER(I75)),MAX(0,ROUND((I75-H75)*1440,0)-'Bilan agents'!$C$4),0)</f>
        <v>0</v>
      </c>
      <c r="Q75" s="8" t="str">
        <f aca="false">IF(H75="Congé","CP",IF(H75="Férié","F",IF(H75="OFF","R",IF(N75&gt;0,"A",IF(ISNUMBER(I75),"P","NR")))))</f>
        <v>P</v>
      </c>
      <c r="R75" s="18"/>
    </row>
    <row r="76" customFormat="false" ht="15" hidden="false" customHeight="false" outlineLevel="0" collapsed="false">
      <c r="A76" s="18" t="s">
        <v>24</v>
      </c>
      <c r="B76" s="8" t="s">
        <v>25</v>
      </c>
      <c r="C76" s="9" t="n">
        <v>46093</v>
      </c>
      <c r="D76" s="8" t="n">
        <v>2026</v>
      </c>
      <c r="E76" s="8" t="n">
        <v>11</v>
      </c>
      <c r="F76" s="18" t="s">
        <v>124</v>
      </c>
      <c r="G76" s="8" t="s">
        <v>119</v>
      </c>
      <c r="H76" s="19" t="n">
        <v>0.333333333333333</v>
      </c>
      <c r="I76" s="19" t="n">
        <v>0.333333333333333</v>
      </c>
      <c r="J76" s="19" t="n">
        <v>0.708333333333333</v>
      </c>
      <c r="K76" s="19" t="n">
        <v>0.708333333333333</v>
      </c>
      <c r="L76" s="19" t="n">
        <v>0.375</v>
      </c>
      <c r="M76" s="19" t="n">
        <v>0.375</v>
      </c>
      <c r="N76" s="19" t="n">
        <v>0</v>
      </c>
      <c r="O76" s="19" t="n">
        <v>0</v>
      </c>
      <c r="P76" s="17" t="n">
        <f aca="false">IF(AND(ISNUMBER(H76),ISNUMBER(I76)),MAX(0,ROUND((I76-H76)*1440,0)-'Bilan agents'!$C$4),0)</f>
        <v>0</v>
      </c>
      <c r="Q76" s="8" t="str">
        <f aca="false">IF(H76="Congé","CP",IF(H76="Férié","F",IF(H76="OFF","R",IF(N76&gt;0,"A",IF(ISNUMBER(I76),"P","NR")))))</f>
        <v>P</v>
      </c>
      <c r="R76" s="18"/>
    </row>
    <row r="77" customFormat="false" ht="15" hidden="false" customHeight="false" outlineLevel="0" collapsed="false">
      <c r="A77" s="18" t="s">
        <v>24</v>
      </c>
      <c r="B77" s="8" t="s">
        <v>25</v>
      </c>
      <c r="C77" s="9" t="n">
        <v>46094</v>
      </c>
      <c r="D77" s="8" t="n">
        <v>2026</v>
      </c>
      <c r="E77" s="8" t="n">
        <v>11</v>
      </c>
      <c r="F77" s="18" t="s">
        <v>124</v>
      </c>
      <c r="G77" s="8" t="s">
        <v>120</v>
      </c>
      <c r="H77" s="19" t="n">
        <v>0.333333333333333</v>
      </c>
      <c r="I77" s="19" t="n">
        <v>0.333333333333333</v>
      </c>
      <c r="J77" s="19" t="n">
        <v>0.666666666666667</v>
      </c>
      <c r="K77" s="19" t="n">
        <v>0.666666666666667</v>
      </c>
      <c r="L77" s="19" t="n">
        <v>0.333333333333333</v>
      </c>
      <c r="M77" s="19" t="n">
        <v>0.333333333333333</v>
      </c>
      <c r="N77" s="19" t="n">
        <v>0</v>
      </c>
      <c r="O77" s="19" t="n">
        <v>0</v>
      </c>
      <c r="P77" s="17" t="n">
        <f aca="false">IF(AND(ISNUMBER(H77),ISNUMBER(I77)),MAX(0,ROUND((I77-H77)*1440,0)-'Bilan agents'!$C$4),0)</f>
        <v>0</v>
      </c>
      <c r="Q77" s="8" t="str">
        <f aca="false">IF(H77="Congé","CP",IF(H77="Férié","F",IF(H77="OFF","R",IF(N77&gt;0,"A",IF(ISNUMBER(I77),"P","NR")))))</f>
        <v>P</v>
      </c>
      <c r="R77" s="18"/>
    </row>
    <row r="78" customFormat="false" ht="15" hidden="false" customHeight="false" outlineLevel="0" collapsed="false">
      <c r="A78" s="18" t="s">
        <v>24</v>
      </c>
      <c r="B78" s="8" t="s">
        <v>25</v>
      </c>
      <c r="C78" s="9" t="n">
        <v>46095</v>
      </c>
      <c r="D78" s="8" t="n">
        <v>2026</v>
      </c>
      <c r="E78" s="8" t="n">
        <v>11</v>
      </c>
      <c r="F78" s="18" t="s">
        <v>124</v>
      </c>
      <c r="G78" s="8" t="s">
        <v>121</v>
      </c>
      <c r="H78" s="19" t="s">
        <v>115</v>
      </c>
      <c r="I78" s="19"/>
      <c r="J78" s="19"/>
      <c r="K78" s="19"/>
      <c r="L78" s="19" t="n">
        <v>0</v>
      </c>
      <c r="M78" s="19"/>
      <c r="N78" s="19" t="n">
        <v>0</v>
      </c>
      <c r="O78" s="19" t="n">
        <v>0</v>
      </c>
      <c r="P78" s="17" t="n">
        <f aca="false">IF(AND(ISNUMBER(H78),ISNUMBER(I78)),MAX(0,ROUND((I78-H78)*1440,0)-'Bilan agents'!$C$4),0)</f>
        <v>0</v>
      </c>
      <c r="Q78" s="8" t="str">
        <f aca="false">IF(H78="Congé","CP",IF(H78="Férié","F",IF(H78="OFF","R",IF(N78&gt;0,"A",IF(ISNUMBER(I78),"P","NR")))))</f>
        <v>R</v>
      </c>
      <c r="R78" s="18"/>
    </row>
    <row r="79" customFormat="false" ht="15" hidden="false" customHeight="false" outlineLevel="0" collapsed="false">
      <c r="A79" s="18" t="s">
        <v>24</v>
      </c>
      <c r="B79" s="8" t="s">
        <v>25</v>
      </c>
      <c r="C79" s="9" t="n">
        <v>46096</v>
      </c>
      <c r="D79" s="8" t="n">
        <v>2026</v>
      </c>
      <c r="E79" s="8" t="n">
        <v>11</v>
      </c>
      <c r="F79" s="18" t="s">
        <v>124</v>
      </c>
      <c r="G79" s="8" t="s">
        <v>114</v>
      </c>
      <c r="H79" s="19" t="s">
        <v>115</v>
      </c>
      <c r="I79" s="19"/>
      <c r="J79" s="19"/>
      <c r="K79" s="19"/>
      <c r="L79" s="19" t="n">
        <v>0</v>
      </c>
      <c r="M79" s="19"/>
      <c r="N79" s="19" t="n">
        <v>0</v>
      </c>
      <c r="O79" s="19" t="n">
        <v>0</v>
      </c>
      <c r="P79" s="17" t="n">
        <f aca="false">IF(AND(ISNUMBER(H79),ISNUMBER(I79)),MAX(0,ROUND((I79-H79)*1440,0)-'Bilan agents'!$C$4),0)</f>
        <v>0</v>
      </c>
      <c r="Q79" s="8" t="str">
        <f aca="false">IF(H79="Congé","CP",IF(H79="Férié","F",IF(H79="OFF","R",IF(N79&gt;0,"A",IF(ISNUMBER(I79),"P","NR")))))</f>
        <v>R</v>
      </c>
      <c r="R79" s="18"/>
    </row>
    <row r="80" customFormat="false" ht="15" hidden="false" customHeight="false" outlineLevel="0" collapsed="false">
      <c r="A80" s="18" t="s">
        <v>24</v>
      </c>
      <c r="B80" s="8" t="s">
        <v>25</v>
      </c>
      <c r="C80" s="9" t="n">
        <v>46102</v>
      </c>
      <c r="D80" s="8" t="n">
        <v>2026</v>
      </c>
      <c r="E80" s="8" t="n">
        <v>12</v>
      </c>
      <c r="F80" s="18" t="s">
        <v>124</v>
      </c>
      <c r="G80" s="8" t="s">
        <v>121</v>
      </c>
      <c r="H80" s="19" t="s">
        <v>115</v>
      </c>
      <c r="I80" s="19"/>
      <c r="J80" s="19"/>
      <c r="K80" s="19"/>
      <c r="L80" s="19" t="n">
        <v>0</v>
      </c>
      <c r="M80" s="19"/>
      <c r="N80" s="19" t="n">
        <v>0</v>
      </c>
      <c r="O80" s="19" t="n">
        <v>0</v>
      </c>
      <c r="P80" s="17" t="n">
        <f aca="false">IF(AND(ISNUMBER(H80),ISNUMBER(I80)),MAX(0,ROUND((I80-H80)*1440,0)-'Bilan agents'!$C$4),0)</f>
        <v>0</v>
      </c>
      <c r="Q80" s="8" t="str">
        <f aca="false">IF(H80="Congé","CP",IF(H80="Férié","F",IF(H80="OFF","R",IF(N80&gt;0,"A",IF(ISNUMBER(I80),"P","NR")))))</f>
        <v>R</v>
      </c>
      <c r="R80" s="18"/>
    </row>
    <row r="81" customFormat="false" ht="15" hidden="false" customHeight="false" outlineLevel="0" collapsed="false">
      <c r="A81" s="18" t="s">
        <v>24</v>
      </c>
      <c r="B81" s="8" t="s">
        <v>25</v>
      </c>
      <c r="C81" s="9" t="n">
        <v>46103</v>
      </c>
      <c r="D81" s="8" t="n">
        <v>2026</v>
      </c>
      <c r="E81" s="8" t="n">
        <v>12</v>
      </c>
      <c r="F81" s="18" t="s">
        <v>124</v>
      </c>
      <c r="G81" s="8" t="s">
        <v>114</v>
      </c>
      <c r="H81" s="19" t="s">
        <v>115</v>
      </c>
      <c r="I81" s="19"/>
      <c r="J81" s="19"/>
      <c r="K81" s="19"/>
      <c r="L81" s="19" t="n">
        <v>0</v>
      </c>
      <c r="M81" s="19"/>
      <c r="N81" s="19" t="n">
        <v>0</v>
      </c>
      <c r="O81" s="19" t="n">
        <v>0</v>
      </c>
      <c r="P81" s="17" t="n">
        <f aca="false">IF(AND(ISNUMBER(H81),ISNUMBER(I81)),MAX(0,ROUND((I81-H81)*1440,0)-'Bilan agents'!$C$4),0)</f>
        <v>0</v>
      </c>
      <c r="Q81" s="8" t="str">
        <f aca="false">IF(H81="Congé","CP",IF(H81="Férié","F",IF(H81="OFF","R",IF(N81&gt;0,"A",IF(ISNUMBER(I81),"P","NR")))))</f>
        <v>R</v>
      </c>
      <c r="R81" s="18"/>
    </row>
    <row r="82" customFormat="false" ht="15" hidden="false" customHeight="false" outlineLevel="0" collapsed="false">
      <c r="A82" s="18" t="s">
        <v>24</v>
      </c>
      <c r="B82" s="8" t="s">
        <v>25</v>
      </c>
      <c r="C82" s="9" t="n">
        <v>46104</v>
      </c>
      <c r="D82" s="8" t="n">
        <v>2026</v>
      </c>
      <c r="E82" s="8" t="n">
        <v>13</v>
      </c>
      <c r="F82" s="18" t="s">
        <v>124</v>
      </c>
      <c r="G82" s="8" t="s">
        <v>116</v>
      </c>
      <c r="H82" s="19" t="n">
        <v>0.333333333333333</v>
      </c>
      <c r="I82" s="19" t="n">
        <v>0.332638888888889</v>
      </c>
      <c r="J82" s="19" t="n">
        <v>0.75</v>
      </c>
      <c r="K82" s="19" t="n">
        <v>0.75</v>
      </c>
      <c r="L82" s="19" t="n">
        <v>0.375</v>
      </c>
      <c r="M82" s="19" t="n">
        <v>0.375</v>
      </c>
      <c r="N82" s="19" t="n">
        <v>0</v>
      </c>
      <c r="O82" s="19" t="n">
        <v>0</v>
      </c>
      <c r="P82" s="17" t="n">
        <f aca="false">IF(AND(ISNUMBER(H82),ISNUMBER(I82)),MAX(0,ROUND((I82-H82)*1440,0)-'Bilan agents'!$C$4),0)</f>
        <v>0</v>
      </c>
      <c r="Q82" s="8" t="str">
        <f aca="false">IF(H82="Congé","CP",IF(H82="Férié","F",IF(H82="OFF","R",IF(N82&gt;0,"A",IF(ISNUMBER(I82),"P","NR")))))</f>
        <v>P</v>
      </c>
      <c r="R82" s="18"/>
    </row>
    <row r="83" customFormat="false" ht="15" hidden="false" customHeight="false" outlineLevel="0" collapsed="false">
      <c r="A83" s="18" t="s">
        <v>24</v>
      </c>
      <c r="B83" s="8" t="s">
        <v>25</v>
      </c>
      <c r="C83" s="9" t="n">
        <v>46105</v>
      </c>
      <c r="D83" s="8" t="n">
        <v>2026</v>
      </c>
      <c r="E83" s="8" t="n">
        <v>13</v>
      </c>
      <c r="F83" s="18" t="s">
        <v>124</v>
      </c>
      <c r="G83" s="8" t="s">
        <v>117</v>
      </c>
      <c r="H83" s="19" t="n">
        <v>0.333333333333333</v>
      </c>
      <c r="I83" s="19" t="n">
        <v>0.332638888888889</v>
      </c>
      <c r="J83" s="19" t="n">
        <v>0.75</v>
      </c>
      <c r="K83" s="19" t="n">
        <v>0.75</v>
      </c>
      <c r="L83" s="19" t="n">
        <v>0.375</v>
      </c>
      <c r="M83" s="19" t="n">
        <v>0.375</v>
      </c>
      <c r="N83" s="19" t="n">
        <v>0</v>
      </c>
      <c r="O83" s="19" t="n">
        <v>0</v>
      </c>
      <c r="P83" s="17" t="n">
        <f aca="false">IF(AND(ISNUMBER(H83),ISNUMBER(I83)),MAX(0,ROUND((I83-H83)*1440,0)-'Bilan agents'!$C$4),0)</f>
        <v>0</v>
      </c>
      <c r="Q83" s="8" t="str">
        <f aca="false">IF(H83="Congé","CP",IF(H83="Férié","F",IF(H83="OFF","R",IF(N83&gt;0,"A",IF(ISNUMBER(I83),"P","NR")))))</f>
        <v>P</v>
      </c>
      <c r="R83" s="18"/>
    </row>
    <row r="84" customFormat="false" ht="15" hidden="false" customHeight="false" outlineLevel="0" collapsed="false">
      <c r="A84" s="18" t="s">
        <v>24</v>
      </c>
      <c r="B84" s="8" t="s">
        <v>25</v>
      </c>
      <c r="C84" s="9" t="n">
        <v>46106</v>
      </c>
      <c r="D84" s="8" t="n">
        <v>2026</v>
      </c>
      <c r="E84" s="8" t="n">
        <v>13</v>
      </c>
      <c r="F84" s="18" t="s">
        <v>124</v>
      </c>
      <c r="G84" s="8" t="s">
        <v>118</v>
      </c>
      <c r="H84" s="19" t="n">
        <v>0.333333333333333</v>
      </c>
      <c r="I84" s="19" t="n">
        <v>0.333333333333333</v>
      </c>
      <c r="J84" s="19" t="n">
        <v>0.75</v>
      </c>
      <c r="K84" s="19" t="n">
        <v>0.75</v>
      </c>
      <c r="L84" s="19" t="n">
        <v>0.375</v>
      </c>
      <c r="M84" s="19" t="n">
        <v>0.375</v>
      </c>
      <c r="N84" s="19" t="n">
        <v>0</v>
      </c>
      <c r="O84" s="19" t="n">
        <v>0</v>
      </c>
      <c r="P84" s="17" t="n">
        <f aca="false">IF(AND(ISNUMBER(H84),ISNUMBER(I84)),MAX(0,ROUND((I84-H84)*1440,0)-'Bilan agents'!$C$4),0)</f>
        <v>0</v>
      </c>
      <c r="Q84" s="8" t="str">
        <f aca="false">IF(H84="Congé","CP",IF(H84="Férié","F",IF(H84="OFF","R",IF(N84&gt;0,"A",IF(ISNUMBER(I84),"P","NR")))))</f>
        <v>P</v>
      </c>
      <c r="R84" s="18"/>
    </row>
    <row r="85" customFormat="false" ht="15" hidden="false" customHeight="false" outlineLevel="0" collapsed="false">
      <c r="A85" s="18" t="s">
        <v>24</v>
      </c>
      <c r="B85" s="8" t="s">
        <v>25</v>
      </c>
      <c r="C85" s="9" t="n">
        <v>46107</v>
      </c>
      <c r="D85" s="8" t="n">
        <v>2026</v>
      </c>
      <c r="E85" s="8" t="n">
        <v>13</v>
      </c>
      <c r="F85" s="18" t="s">
        <v>124</v>
      </c>
      <c r="G85" s="8" t="s">
        <v>119</v>
      </c>
      <c r="H85" s="19" t="n">
        <v>0.333333333333333</v>
      </c>
      <c r="I85" s="19" t="n">
        <v>0.333333333333333</v>
      </c>
      <c r="J85" s="19" t="n">
        <v>0.75</v>
      </c>
      <c r="K85" s="19" t="n">
        <v>0.75</v>
      </c>
      <c r="L85" s="19" t="n">
        <v>0.375</v>
      </c>
      <c r="M85" s="19" t="n">
        <v>0.375</v>
      </c>
      <c r="N85" s="19" t="n">
        <v>0</v>
      </c>
      <c r="O85" s="19" t="n">
        <v>0</v>
      </c>
      <c r="P85" s="17" t="n">
        <f aca="false">IF(AND(ISNUMBER(H85),ISNUMBER(I85)),MAX(0,ROUND((I85-H85)*1440,0)-'Bilan agents'!$C$4),0)</f>
        <v>0</v>
      </c>
      <c r="Q85" s="8" t="str">
        <f aca="false">IF(H85="Congé","CP",IF(H85="Férié","F",IF(H85="OFF","R",IF(N85&gt;0,"A",IF(ISNUMBER(I85),"P","NR")))))</f>
        <v>P</v>
      </c>
      <c r="R85" s="18"/>
    </row>
    <row r="86" customFormat="false" ht="15" hidden="false" customHeight="false" outlineLevel="0" collapsed="false">
      <c r="A86" s="18" t="s">
        <v>24</v>
      </c>
      <c r="B86" s="8" t="s">
        <v>25</v>
      </c>
      <c r="C86" s="9" t="n">
        <v>46108</v>
      </c>
      <c r="D86" s="8" t="n">
        <v>2026</v>
      </c>
      <c r="E86" s="8" t="n">
        <v>13</v>
      </c>
      <c r="F86" s="18" t="s">
        <v>124</v>
      </c>
      <c r="G86" s="8" t="s">
        <v>120</v>
      </c>
      <c r="H86" s="19" t="n">
        <v>0.333333333333333</v>
      </c>
      <c r="I86" s="19" t="n">
        <v>0.333333333333333</v>
      </c>
      <c r="J86" s="19" t="n">
        <v>0.708333333333333</v>
      </c>
      <c r="K86" s="19" t="n">
        <v>0.708333333333333</v>
      </c>
      <c r="L86" s="19" t="n">
        <v>0.333333333333333</v>
      </c>
      <c r="M86" s="19" t="n">
        <v>0.333333333333333</v>
      </c>
      <c r="N86" s="19" t="n">
        <v>0</v>
      </c>
      <c r="O86" s="19" t="n">
        <v>0</v>
      </c>
      <c r="P86" s="17" t="n">
        <f aca="false">IF(AND(ISNUMBER(H86),ISNUMBER(I86)),MAX(0,ROUND((I86-H86)*1440,0)-'Bilan agents'!$C$4),0)</f>
        <v>0</v>
      </c>
      <c r="Q86" s="8" t="str">
        <f aca="false">IF(H86="Congé","CP",IF(H86="Férié","F",IF(H86="OFF","R",IF(N86&gt;0,"A",IF(ISNUMBER(I86),"P","NR")))))</f>
        <v>P</v>
      </c>
      <c r="R86" s="18"/>
    </row>
    <row r="87" customFormat="false" ht="15" hidden="false" customHeight="false" outlineLevel="0" collapsed="false">
      <c r="A87" s="18" t="s">
        <v>24</v>
      </c>
      <c r="B87" s="8" t="s">
        <v>25</v>
      </c>
      <c r="C87" s="9" t="n">
        <v>46109</v>
      </c>
      <c r="D87" s="8" t="n">
        <v>2026</v>
      </c>
      <c r="E87" s="8" t="n">
        <v>13</v>
      </c>
      <c r="F87" s="18" t="s">
        <v>124</v>
      </c>
      <c r="G87" s="8" t="s">
        <v>121</v>
      </c>
      <c r="H87" s="19" t="s">
        <v>115</v>
      </c>
      <c r="I87" s="19"/>
      <c r="J87" s="19"/>
      <c r="K87" s="19"/>
      <c r="L87" s="19" t="n">
        <v>0</v>
      </c>
      <c r="M87" s="19"/>
      <c r="N87" s="19" t="n">
        <v>0</v>
      </c>
      <c r="O87" s="19" t="n">
        <v>0</v>
      </c>
      <c r="P87" s="17" t="n">
        <f aca="false">IF(AND(ISNUMBER(H87),ISNUMBER(I87)),MAX(0,ROUND((I87-H87)*1440,0)-'Bilan agents'!$C$4),0)</f>
        <v>0</v>
      </c>
      <c r="Q87" s="8" t="str">
        <f aca="false">IF(H87="Congé","CP",IF(H87="Férié","F",IF(H87="OFF","R",IF(N87&gt;0,"A",IF(ISNUMBER(I87),"P","NR")))))</f>
        <v>R</v>
      </c>
      <c r="R87" s="18"/>
    </row>
    <row r="88" customFormat="false" ht="15" hidden="false" customHeight="false" outlineLevel="0" collapsed="false">
      <c r="A88" s="18" t="s">
        <v>24</v>
      </c>
      <c r="B88" s="8" t="s">
        <v>25</v>
      </c>
      <c r="C88" s="9" t="n">
        <v>46110</v>
      </c>
      <c r="D88" s="8" t="n">
        <v>2026</v>
      </c>
      <c r="E88" s="8" t="n">
        <v>13</v>
      </c>
      <c r="F88" s="18" t="s">
        <v>124</v>
      </c>
      <c r="G88" s="8" t="s">
        <v>114</v>
      </c>
      <c r="H88" s="19" t="s">
        <v>115</v>
      </c>
      <c r="I88" s="19"/>
      <c r="J88" s="19"/>
      <c r="K88" s="19"/>
      <c r="L88" s="19" t="n">
        <v>0</v>
      </c>
      <c r="M88" s="19"/>
      <c r="N88" s="19" t="n">
        <v>0</v>
      </c>
      <c r="O88" s="19" t="n">
        <v>0</v>
      </c>
      <c r="P88" s="17" t="n">
        <f aca="false">IF(AND(ISNUMBER(H88),ISNUMBER(I88)),MAX(0,ROUND((I88-H88)*1440,0)-'Bilan agents'!$C$4),0)</f>
        <v>0</v>
      </c>
      <c r="Q88" s="8" t="str">
        <f aca="false">IF(H88="Congé","CP",IF(H88="Férié","F",IF(H88="OFF","R",IF(N88&gt;0,"A",IF(ISNUMBER(I88),"P","NR")))))</f>
        <v>R</v>
      </c>
      <c r="R88" s="18"/>
    </row>
    <row r="89" customFormat="false" ht="15" hidden="false" customHeight="false" outlineLevel="0" collapsed="false">
      <c r="A89" s="18" t="s">
        <v>24</v>
      </c>
      <c r="B89" s="8" t="s">
        <v>25</v>
      </c>
      <c r="C89" s="9" t="n">
        <v>46111</v>
      </c>
      <c r="D89" s="8" t="n">
        <v>2026</v>
      </c>
      <c r="E89" s="8" t="n">
        <v>14</v>
      </c>
      <c r="F89" s="18" t="s">
        <v>124</v>
      </c>
      <c r="G89" s="8" t="s">
        <v>116</v>
      </c>
      <c r="H89" s="19" t="n">
        <v>0.333333333333333</v>
      </c>
      <c r="I89" s="19" t="n">
        <v>0.332638888888889</v>
      </c>
      <c r="J89" s="19" t="n">
        <v>0.75</v>
      </c>
      <c r="K89" s="19" t="n">
        <v>0.75</v>
      </c>
      <c r="L89" s="19" t="n">
        <v>0.375</v>
      </c>
      <c r="M89" s="19" t="n">
        <v>0.375</v>
      </c>
      <c r="N89" s="19" t="n">
        <v>0</v>
      </c>
      <c r="O89" s="19" t="n">
        <v>0</v>
      </c>
      <c r="P89" s="17" t="n">
        <f aca="false">IF(AND(ISNUMBER(H89),ISNUMBER(I89)),MAX(0,ROUND((I89-H89)*1440,0)-'Bilan agents'!$C$4),0)</f>
        <v>0</v>
      </c>
      <c r="Q89" s="8" t="str">
        <f aca="false">IF(H89="Congé","CP",IF(H89="Férié","F",IF(H89="OFF","R",IF(N89&gt;0,"A",IF(ISNUMBER(I89),"P","NR")))))</f>
        <v>P</v>
      </c>
      <c r="R89" s="18"/>
    </row>
    <row r="90" customFormat="false" ht="15" hidden="false" customHeight="false" outlineLevel="0" collapsed="false">
      <c r="A90" s="18" t="s">
        <v>24</v>
      </c>
      <c r="B90" s="8" t="s">
        <v>25</v>
      </c>
      <c r="C90" s="9" t="n">
        <v>46112</v>
      </c>
      <c r="D90" s="8" t="n">
        <v>2026</v>
      </c>
      <c r="E90" s="8" t="n">
        <v>14</v>
      </c>
      <c r="F90" s="18" t="s">
        <v>124</v>
      </c>
      <c r="G90" s="8" t="s">
        <v>117</v>
      </c>
      <c r="H90" s="19" t="n">
        <v>0.333333333333333</v>
      </c>
      <c r="I90" s="19" t="n">
        <v>0.332638888888889</v>
      </c>
      <c r="J90" s="19" t="n">
        <v>0.75</v>
      </c>
      <c r="K90" s="19" t="n">
        <v>0.75</v>
      </c>
      <c r="L90" s="19" t="n">
        <v>0.375</v>
      </c>
      <c r="M90" s="19" t="n">
        <v>0.375</v>
      </c>
      <c r="N90" s="19" t="n">
        <v>0</v>
      </c>
      <c r="O90" s="19" t="n">
        <v>0</v>
      </c>
      <c r="P90" s="17" t="n">
        <f aca="false">IF(AND(ISNUMBER(H90),ISNUMBER(I90)),MAX(0,ROUND((I90-H90)*1440,0)-'Bilan agents'!$C$4),0)</f>
        <v>0</v>
      </c>
      <c r="Q90" s="8" t="str">
        <f aca="false">IF(H90="Congé","CP",IF(H90="Férié","F",IF(H90="OFF","R",IF(N90&gt;0,"A",IF(ISNUMBER(I90),"P","NR")))))</f>
        <v>P</v>
      </c>
      <c r="R90" s="18"/>
    </row>
    <row r="91" customFormat="false" ht="15" hidden="false" customHeight="false" outlineLevel="0" collapsed="false">
      <c r="A91" s="18" t="s">
        <v>24</v>
      </c>
      <c r="B91" s="8" t="s">
        <v>25</v>
      </c>
      <c r="C91" s="9" t="n">
        <v>46113</v>
      </c>
      <c r="D91" s="8" t="n">
        <v>2026</v>
      </c>
      <c r="E91" s="8" t="n">
        <v>14</v>
      </c>
      <c r="F91" s="18" t="s">
        <v>125</v>
      </c>
      <c r="G91" s="8" t="s">
        <v>118</v>
      </c>
      <c r="H91" s="19" t="n">
        <v>0.333333333333333</v>
      </c>
      <c r="I91" s="19" t="n">
        <v>0.332638888888889</v>
      </c>
      <c r="J91" s="19" t="n">
        <v>0.75</v>
      </c>
      <c r="K91" s="19" t="n">
        <v>0.75</v>
      </c>
      <c r="L91" s="19" t="n">
        <v>0.375</v>
      </c>
      <c r="M91" s="19" t="n">
        <v>0.375</v>
      </c>
      <c r="N91" s="19" t="n">
        <v>0</v>
      </c>
      <c r="O91" s="19" t="n">
        <v>0</v>
      </c>
      <c r="P91" s="17" t="n">
        <f aca="false">IF(AND(ISNUMBER(H91),ISNUMBER(I91)),MAX(0,ROUND((I91-H91)*1440,0)-'Bilan agents'!$C$4),0)</f>
        <v>0</v>
      </c>
      <c r="Q91" s="8" t="str">
        <f aca="false">IF(H91="Congé","CP",IF(H91="Férié","F",IF(H91="OFF","R",IF(N91&gt;0,"A",IF(ISNUMBER(I91),"P","NR")))))</f>
        <v>P</v>
      </c>
      <c r="R91" s="18"/>
    </row>
    <row r="92" customFormat="false" ht="15" hidden="false" customHeight="false" outlineLevel="0" collapsed="false">
      <c r="A92" s="18" t="s">
        <v>24</v>
      </c>
      <c r="B92" s="8" t="s">
        <v>25</v>
      </c>
      <c r="C92" s="9" t="n">
        <v>46114</v>
      </c>
      <c r="D92" s="8" t="n">
        <v>2026</v>
      </c>
      <c r="E92" s="8" t="n">
        <v>14</v>
      </c>
      <c r="F92" s="18" t="s">
        <v>125</v>
      </c>
      <c r="G92" s="8" t="s">
        <v>119</v>
      </c>
      <c r="H92" s="19" t="n">
        <v>0.333333333333333</v>
      </c>
      <c r="I92" s="19" t="n">
        <v>0.333333333333333</v>
      </c>
      <c r="J92" s="19" t="n">
        <v>0.75</v>
      </c>
      <c r="K92" s="19" t="n">
        <v>0.75</v>
      </c>
      <c r="L92" s="19" t="n">
        <v>0.375</v>
      </c>
      <c r="M92" s="19" t="n">
        <v>0.375</v>
      </c>
      <c r="N92" s="19" t="n">
        <v>0</v>
      </c>
      <c r="O92" s="19" t="n">
        <v>0</v>
      </c>
      <c r="P92" s="17" t="n">
        <f aca="false">IF(AND(ISNUMBER(H92),ISNUMBER(I92)),MAX(0,ROUND((I92-H92)*1440,0)-'Bilan agents'!$C$4),0)</f>
        <v>0</v>
      </c>
      <c r="Q92" s="8" t="str">
        <f aca="false">IF(H92="Congé","CP",IF(H92="Férié","F",IF(H92="OFF","R",IF(N92&gt;0,"A",IF(ISNUMBER(I92),"P","NR")))))</f>
        <v>P</v>
      </c>
      <c r="R92" s="18"/>
    </row>
    <row r="93" customFormat="false" ht="15" hidden="false" customHeight="false" outlineLevel="0" collapsed="false">
      <c r="A93" s="18" t="s">
        <v>24</v>
      </c>
      <c r="B93" s="8" t="s">
        <v>25</v>
      </c>
      <c r="C93" s="9" t="n">
        <v>46115</v>
      </c>
      <c r="D93" s="8" t="n">
        <v>2026</v>
      </c>
      <c r="E93" s="8" t="n">
        <v>14</v>
      </c>
      <c r="F93" s="18" t="s">
        <v>125</v>
      </c>
      <c r="G93" s="8" t="s">
        <v>120</v>
      </c>
      <c r="H93" s="19" t="n">
        <v>0.333333333333333</v>
      </c>
      <c r="I93" s="19" t="n">
        <v>0.333333333333333</v>
      </c>
      <c r="J93" s="19" t="n">
        <v>0.708333333333333</v>
      </c>
      <c r="K93" s="19" t="n">
        <v>0.708333333333333</v>
      </c>
      <c r="L93" s="19" t="n">
        <v>0.333333333333333</v>
      </c>
      <c r="M93" s="19" t="n">
        <v>0.333333333333333</v>
      </c>
      <c r="N93" s="19" t="n">
        <v>0</v>
      </c>
      <c r="O93" s="19" t="n">
        <v>0</v>
      </c>
      <c r="P93" s="17" t="n">
        <f aca="false">IF(AND(ISNUMBER(H93),ISNUMBER(I93)),MAX(0,ROUND((I93-H93)*1440,0)-'Bilan agents'!$C$4),0)</f>
        <v>0</v>
      </c>
      <c r="Q93" s="8" t="str">
        <f aca="false">IF(H93="Congé","CP",IF(H93="Férié","F",IF(H93="OFF","R",IF(N93&gt;0,"A",IF(ISNUMBER(I93),"P","NR")))))</f>
        <v>P</v>
      </c>
      <c r="R93" s="18"/>
    </row>
    <row r="94" customFormat="false" ht="15" hidden="false" customHeight="false" outlineLevel="0" collapsed="false">
      <c r="A94" s="18" t="s">
        <v>24</v>
      </c>
      <c r="B94" s="8" t="s">
        <v>25</v>
      </c>
      <c r="C94" s="9" t="n">
        <v>46116</v>
      </c>
      <c r="D94" s="8" t="n">
        <v>2026</v>
      </c>
      <c r="E94" s="8" t="n">
        <v>14</v>
      </c>
      <c r="F94" s="18" t="s">
        <v>125</v>
      </c>
      <c r="G94" s="8" t="s">
        <v>121</v>
      </c>
      <c r="H94" s="19" t="s">
        <v>115</v>
      </c>
      <c r="I94" s="19"/>
      <c r="J94" s="19"/>
      <c r="K94" s="19"/>
      <c r="L94" s="19" t="n">
        <v>0</v>
      </c>
      <c r="M94" s="19"/>
      <c r="N94" s="19" t="n">
        <v>0</v>
      </c>
      <c r="O94" s="19" t="n">
        <v>0</v>
      </c>
      <c r="P94" s="17" t="n">
        <f aca="false">IF(AND(ISNUMBER(H94),ISNUMBER(I94)),MAX(0,ROUND((I94-H94)*1440,0)-'Bilan agents'!$C$4),0)</f>
        <v>0</v>
      </c>
      <c r="Q94" s="8" t="str">
        <f aca="false">IF(H94="Congé","CP",IF(H94="Férié","F",IF(H94="OFF","R",IF(N94&gt;0,"A",IF(ISNUMBER(I94),"P","NR")))))</f>
        <v>R</v>
      </c>
      <c r="R94" s="18"/>
    </row>
    <row r="95" customFormat="false" ht="15" hidden="false" customHeight="false" outlineLevel="0" collapsed="false">
      <c r="A95" s="18" t="s">
        <v>24</v>
      </c>
      <c r="B95" s="8" t="s">
        <v>25</v>
      </c>
      <c r="C95" s="9" t="n">
        <v>46117</v>
      </c>
      <c r="D95" s="8" t="n">
        <v>2026</v>
      </c>
      <c r="E95" s="8" t="n">
        <v>14</v>
      </c>
      <c r="F95" s="18" t="s">
        <v>125</v>
      </c>
      <c r="G95" s="8" t="s">
        <v>114</v>
      </c>
      <c r="H95" s="19" t="s">
        <v>115</v>
      </c>
      <c r="I95" s="19"/>
      <c r="J95" s="19"/>
      <c r="K95" s="19"/>
      <c r="L95" s="19" t="n">
        <v>0</v>
      </c>
      <c r="M95" s="19"/>
      <c r="N95" s="19" t="n">
        <v>0</v>
      </c>
      <c r="O95" s="19" t="n">
        <v>0</v>
      </c>
      <c r="P95" s="17" t="n">
        <f aca="false">IF(AND(ISNUMBER(H95),ISNUMBER(I95)),MAX(0,ROUND((I95-H95)*1440,0)-'Bilan agents'!$C$4),0)</f>
        <v>0</v>
      </c>
      <c r="Q95" s="8" t="str">
        <f aca="false">IF(H95="Congé","CP",IF(H95="Férié","F",IF(H95="OFF","R",IF(N95&gt;0,"A",IF(ISNUMBER(I95),"P","NR")))))</f>
        <v>R</v>
      </c>
      <c r="R95" s="18"/>
    </row>
    <row r="96" customFormat="false" ht="15" hidden="false" customHeight="false" outlineLevel="0" collapsed="false">
      <c r="A96" s="18" t="s">
        <v>24</v>
      </c>
      <c r="B96" s="8" t="s">
        <v>25</v>
      </c>
      <c r="C96" s="9" t="n">
        <v>46118</v>
      </c>
      <c r="D96" s="8" t="n">
        <v>2026</v>
      </c>
      <c r="E96" s="8" t="n">
        <v>15</v>
      </c>
      <c r="F96" s="18" t="s">
        <v>125</v>
      </c>
      <c r="G96" s="8" t="s">
        <v>116</v>
      </c>
      <c r="H96" s="19" t="s">
        <v>115</v>
      </c>
      <c r="I96" s="19"/>
      <c r="J96" s="19"/>
      <c r="K96" s="19"/>
      <c r="L96" s="19" t="n">
        <v>0</v>
      </c>
      <c r="M96" s="19"/>
      <c r="N96" s="19" t="n">
        <v>0</v>
      </c>
      <c r="O96" s="19" t="n">
        <v>0</v>
      </c>
      <c r="P96" s="17" t="n">
        <f aca="false">IF(AND(ISNUMBER(H96),ISNUMBER(I96)),MAX(0,ROUND((I96-H96)*1440,0)-'Bilan agents'!$C$4),0)</f>
        <v>0</v>
      </c>
      <c r="Q96" s="8" t="str">
        <f aca="false">IF(H96="Congé","CP",IF(H96="Férié","F",IF(H96="OFF","R",IF(N96&gt;0,"A",IF(ISNUMBER(I96),"P","NR")))))</f>
        <v>R</v>
      </c>
      <c r="R96" s="18"/>
    </row>
    <row r="97" customFormat="false" ht="15" hidden="false" customHeight="false" outlineLevel="0" collapsed="false">
      <c r="A97" s="18" t="s">
        <v>24</v>
      </c>
      <c r="B97" s="8" t="s">
        <v>25</v>
      </c>
      <c r="C97" s="9" t="n">
        <v>46119</v>
      </c>
      <c r="D97" s="8" t="n">
        <v>2026</v>
      </c>
      <c r="E97" s="8" t="n">
        <v>15</v>
      </c>
      <c r="F97" s="18" t="s">
        <v>125</v>
      </c>
      <c r="G97" s="8" t="s">
        <v>117</v>
      </c>
      <c r="H97" s="19" t="n">
        <v>0.333333333333333</v>
      </c>
      <c r="I97" s="19" t="n">
        <v>0.332638888888889</v>
      </c>
      <c r="J97" s="19" t="n">
        <v>0.75</v>
      </c>
      <c r="K97" s="19" t="n">
        <v>0.75</v>
      </c>
      <c r="L97" s="19" t="n">
        <v>0.375</v>
      </c>
      <c r="M97" s="19" t="n">
        <v>0.375</v>
      </c>
      <c r="N97" s="19" t="n">
        <v>0</v>
      </c>
      <c r="O97" s="19" t="n">
        <v>0</v>
      </c>
      <c r="P97" s="17" t="n">
        <f aca="false">IF(AND(ISNUMBER(H97),ISNUMBER(I97)),MAX(0,ROUND((I97-H97)*1440,0)-'Bilan agents'!$C$4),0)</f>
        <v>0</v>
      </c>
      <c r="Q97" s="8" t="str">
        <f aca="false">IF(H97="Congé","CP",IF(H97="Férié","F",IF(H97="OFF","R",IF(N97&gt;0,"A",IF(ISNUMBER(I97),"P","NR")))))</f>
        <v>P</v>
      </c>
      <c r="R97" s="18"/>
    </row>
    <row r="98" customFormat="false" ht="15" hidden="false" customHeight="false" outlineLevel="0" collapsed="false">
      <c r="A98" s="18" t="s">
        <v>24</v>
      </c>
      <c r="B98" s="8" t="s">
        <v>25</v>
      </c>
      <c r="C98" s="9" t="n">
        <v>46120</v>
      </c>
      <c r="D98" s="8" t="n">
        <v>2026</v>
      </c>
      <c r="E98" s="8" t="n">
        <v>15</v>
      </c>
      <c r="F98" s="18" t="s">
        <v>125</v>
      </c>
      <c r="G98" s="8" t="s">
        <v>118</v>
      </c>
      <c r="H98" s="19" t="n">
        <v>0.333333333333333</v>
      </c>
      <c r="I98" s="19" t="n">
        <v>0.332638888888889</v>
      </c>
      <c r="J98" s="19" t="n">
        <v>0.75</v>
      </c>
      <c r="K98" s="19" t="n">
        <v>0.75</v>
      </c>
      <c r="L98" s="19" t="n">
        <v>0.375</v>
      </c>
      <c r="M98" s="19" t="n">
        <v>0.375</v>
      </c>
      <c r="N98" s="19" t="n">
        <v>0</v>
      </c>
      <c r="O98" s="19" t="n">
        <v>0</v>
      </c>
      <c r="P98" s="17" t="n">
        <f aca="false">IF(AND(ISNUMBER(H98),ISNUMBER(I98)),MAX(0,ROUND((I98-H98)*1440,0)-'Bilan agents'!$C$4),0)</f>
        <v>0</v>
      </c>
      <c r="Q98" s="8" t="str">
        <f aca="false">IF(H98="Congé","CP",IF(H98="Férié","F",IF(H98="OFF","R",IF(N98&gt;0,"A",IF(ISNUMBER(I98),"P","NR")))))</f>
        <v>P</v>
      </c>
      <c r="R98" s="18"/>
    </row>
    <row r="99" customFormat="false" ht="15" hidden="false" customHeight="false" outlineLevel="0" collapsed="false">
      <c r="A99" s="18" t="s">
        <v>24</v>
      </c>
      <c r="B99" s="8" t="s">
        <v>25</v>
      </c>
      <c r="C99" s="9" t="n">
        <v>46121</v>
      </c>
      <c r="D99" s="8" t="n">
        <v>2026</v>
      </c>
      <c r="E99" s="8" t="n">
        <v>15</v>
      </c>
      <c r="F99" s="18" t="s">
        <v>125</v>
      </c>
      <c r="G99" s="8" t="s">
        <v>119</v>
      </c>
      <c r="H99" s="19" t="n">
        <v>0.333333333333333</v>
      </c>
      <c r="I99" s="19" t="n">
        <v>0.333333333333333</v>
      </c>
      <c r="J99" s="19" t="n">
        <v>0.75</v>
      </c>
      <c r="K99" s="19" t="n">
        <v>0.75</v>
      </c>
      <c r="L99" s="19" t="n">
        <v>0.375</v>
      </c>
      <c r="M99" s="19" t="n">
        <v>0.375</v>
      </c>
      <c r="N99" s="19" t="n">
        <v>0</v>
      </c>
      <c r="O99" s="19" t="n">
        <v>0</v>
      </c>
      <c r="P99" s="17" t="n">
        <f aca="false">IF(AND(ISNUMBER(H99),ISNUMBER(I99)),MAX(0,ROUND((I99-H99)*1440,0)-'Bilan agents'!$C$4),0)</f>
        <v>0</v>
      </c>
      <c r="Q99" s="8" t="str">
        <f aca="false">IF(H99="Congé","CP",IF(H99="Férié","F",IF(H99="OFF","R",IF(N99&gt;0,"A",IF(ISNUMBER(I99),"P","NR")))))</f>
        <v>P</v>
      </c>
      <c r="R99" s="18"/>
    </row>
    <row r="100" customFormat="false" ht="15" hidden="false" customHeight="false" outlineLevel="0" collapsed="false">
      <c r="A100" s="18" t="s">
        <v>24</v>
      </c>
      <c r="B100" s="8" t="s">
        <v>25</v>
      </c>
      <c r="C100" s="9" t="n">
        <v>46122</v>
      </c>
      <c r="D100" s="8" t="n">
        <v>2026</v>
      </c>
      <c r="E100" s="8" t="n">
        <v>15</v>
      </c>
      <c r="F100" s="18" t="s">
        <v>125</v>
      </c>
      <c r="G100" s="8" t="s">
        <v>120</v>
      </c>
      <c r="H100" s="19" t="n">
        <v>0.333333333333333</v>
      </c>
      <c r="I100" s="19" t="n">
        <v>0.333333333333333</v>
      </c>
      <c r="J100" s="19" t="n">
        <v>0.708333333333333</v>
      </c>
      <c r="K100" s="19" t="n">
        <v>0.708333333333333</v>
      </c>
      <c r="L100" s="19" t="n">
        <v>0.333333333333333</v>
      </c>
      <c r="M100" s="19" t="n">
        <v>0.333333333333333</v>
      </c>
      <c r="N100" s="19" t="n">
        <v>0</v>
      </c>
      <c r="O100" s="19" t="n">
        <v>0</v>
      </c>
      <c r="P100" s="17" t="n">
        <f aca="false">IF(AND(ISNUMBER(H100),ISNUMBER(I100)),MAX(0,ROUND((I100-H100)*1440,0)-'Bilan agents'!$C$4),0)</f>
        <v>0</v>
      </c>
      <c r="Q100" s="8" t="str">
        <f aca="false">IF(H100="Congé","CP",IF(H100="Férié","F",IF(H100="OFF","R",IF(N100&gt;0,"A",IF(ISNUMBER(I100),"P","NR")))))</f>
        <v>P</v>
      </c>
      <c r="R100" s="18"/>
    </row>
    <row r="101" customFormat="false" ht="15" hidden="false" customHeight="false" outlineLevel="0" collapsed="false">
      <c r="A101" s="18" t="s">
        <v>24</v>
      </c>
      <c r="B101" s="8" t="s">
        <v>25</v>
      </c>
      <c r="C101" s="9" t="n">
        <v>46123</v>
      </c>
      <c r="D101" s="8" t="n">
        <v>2026</v>
      </c>
      <c r="E101" s="8" t="n">
        <v>15</v>
      </c>
      <c r="F101" s="18" t="s">
        <v>125</v>
      </c>
      <c r="G101" s="8" t="s">
        <v>121</v>
      </c>
      <c r="H101" s="19" t="s">
        <v>115</v>
      </c>
      <c r="I101" s="19"/>
      <c r="J101" s="19"/>
      <c r="K101" s="19"/>
      <c r="L101" s="19" t="n">
        <v>0</v>
      </c>
      <c r="M101" s="19"/>
      <c r="N101" s="19" t="n">
        <v>0</v>
      </c>
      <c r="O101" s="19" t="n">
        <v>0</v>
      </c>
      <c r="P101" s="17" t="n">
        <f aca="false">IF(AND(ISNUMBER(H101),ISNUMBER(I101)),MAX(0,ROUND((I101-H101)*1440,0)-'Bilan agents'!$C$4),0)</f>
        <v>0</v>
      </c>
      <c r="Q101" s="8" t="str">
        <f aca="false">IF(H101="Congé","CP",IF(H101="Férié","F",IF(H101="OFF","R",IF(N101&gt;0,"A",IF(ISNUMBER(I101),"P","NR")))))</f>
        <v>R</v>
      </c>
      <c r="R101" s="18"/>
    </row>
    <row r="102" customFormat="false" ht="15" hidden="false" customHeight="false" outlineLevel="0" collapsed="false">
      <c r="A102" s="18" t="s">
        <v>24</v>
      </c>
      <c r="B102" s="8" t="s">
        <v>25</v>
      </c>
      <c r="C102" s="9" t="n">
        <v>46124</v>
      </c>
      <c r="D102" s="8" t="n">
        <v>2026</v>
      </c>
      <c r="E102" s="8" t="n">
        <v>15</v>
      </c>
      <c r="F102" s="18" t="s">
        <v>125</v>
      </c>
      <c r="G102" s="8" t="s">
        <v>114</v>
      </c>
      <c r="H102" s="19" t="s">
        <v>115</v>
      </c>
      <c r="I102" s="19"/>
      <c r="J102" s="19"/>
      <c r="K102" s="19"/>
      <c r="L102" s="19" t="n">
        <v>0</v>
      </c>
      <c r="M102" s="19"/>
      <c r="N102" s="19" t="n">
        <v>0</v>
      </c>
      <c r="O102" s="19" t="n">
        <v>0</v>
      </c>
      <c r="P102" s="17" t="n">
        <f aca="false">IF(AND(ISNUMBER(H102),ISNUMBER(I102)),MAX(0,ROUND((I102-H102)*1440,0)-'Bilan agents'!$C$4),0)</f>
        <v>0</v>
      </c>
      <c r="Q102" s="8" t="str">
        <f aca="false">IF(H102="Congé","CP",IF(H102="Férié","F",IF(H102="OFF","R",IF(N102&gt;0,"A",IF(ISNUMBER(I102),"P","NR")))))</f>
        <v>R</v>
      </c>
      <c r="R102" s="18"/>
    </row>
    <row r="103" customFormat="false" ht="15" hidden="false" customHeight="false" outlineLevel="0" collapsed="false">
      <c r="A103" s="18" t="s">
        <v>24</v>
      </c>
      <c r="B103" s="8" t="s">
        <v>25</v>
      </c>
      <c r="C103" s="9" t="n">
        <v>46125</v>
      </c>
      <c r="D103" s="8" t="n">
        <v>2026</v>
      </c>
      <c r="E103" s="8" t="n">
        <v>16</v>
      </c>
      <c r="F103" s="18" t="s">
        <v>125</v>
      </c>
      <c r="G103" s="8" t="s">
        <v>116</v>
      </c>
      <c r="H103" s="19" t="n">
        <v>0.333333333333333</v>
      </c>
      <c r="I103" s="19" t="n">
        <v>0.33125</v>
      </c>
      <c r="J103" s="19" t="n">
        <v>0.75</v>
      </c>
      <c r="K103" s="19" t="n">
        <v>0.75</v>
      </c>
      <c r="L103" s="19" t="n">
        <v>0.375</v>
      </c>
      <c r="M103" s="19" t="n">
        <v>0.375</v>
      </c>
      <c r="N103" s="19" t="n">
        <v>0</v>
      </c>
      <c r="O103" s="19" t="n">
        <v>0.00208333333333333</v>
      </c>
      <c r="P103" s="17" t="n">
        <f aca="false">IF(AND(ISNUMBER(H103),ISNUMBER(I103)),MAX(0,ROUND((I103-H103)*1440,0)-'Bilan agents'!$C$4),0)</f>
        <v>0</v>
      </c>
      <c r="Q103" s="8" t="str">
        <f aca="false">IF(H103="Congé","CP",IF(H103="Férié","F",IF(H103="OFF","R",IF(N103&gt;0,"A",IF(ISNUMBER(I103),"P","NR")))))</f>
        <v>P</v>
      </c>
      <c r="R103" s="18"/>
    </row>
    <row r="104" customFormat="false" ht="15" hidden="false" customHeight="false" outlineLevel="0" collapsed="false">
      <c r="A104" s="18" t="s">
        <v>24</v>
      </c>
      <c r="B104" s="8" t="s">
        <v>25</v>
      </c>
      <c r="C104" s="9" t="n">
        <v>46126</v>
      </c>
      <c r="D104" s="8" t="n">
        <v>2026</v>
      </c>
      <c r="E104" s="8" t="n">
        <v>16</v>
      </c>
      <c r="F104" s="18" t="s">
        <v>125</v>
      </c>
      <c r="G104" s="8" t="s">
        <v>117</v>
      </c>
      <c r="H104" s="19" t="s">
        <v>43</v>
      </c>
      <c r="I104" s="19"/>
      <c r="J104" s="19"/>
      <c r="K104" s="19"/>
      <c r="L104" s="19" t="n">
        <v>0</v>
      </c>
      <c r="M104" s="19"/>
      <c r="N104" s="19" t="n">
        <v>0</v>
      </c>
      <c r="O104" s="19" t="n">
        <v>0</v>
      </c>
      <c r="P104" s="17" t="n">
        <f aca="false">IF(AND(ISNUMBER(H104),ISNUMBER(I104)),MAX(0,ROUND((I104-H104)*1440,0)-'Bilan agents'!$C$4),0)</f>
        <v>0</v>
      </c>
      <c r="Q104" s="8" t="str">
        <f aca="false">IF(H104="Congé","CP",IF(H104="Férié","F",IF(H104="OFF","R",IF(N104&gt;0,"A",IF(ISNUMBER(I104),"P","NR")))))</f>
        <v>CP</v>
      </c>
      <c r="R104" s="18"/>
    </row>
    <row r="105" customFormat="false" ht="15" hidden="false" customHeight="false" outlineLevel="0" collapsed="false">
      <c r="A105" s="18" t="s">
        <v>24</v>
      </c>
      <c r="B105" s="8" t="s">
        <v>25</v>
      </c>
      <c r="C105" s="9" t="n">
        <v>46127</v>
      </c>
      <c r="D105" s="8" t="n">
        <v>2026</v>
      </c>
      <c r="E105" s="8" t="n">
        <v>16</v>
      </c>
      <c r="F105" s="18" t="s">
        <v>125</v>
      </c>
      <c r="G105" s="8" t="s">
        <v>118</v>
      </c>
      <c r="H105" s="19" t="s">
        <v>43</v>
      </c>
      <c r="I105" s="19"/>
      <c r="J105" s="19"/>
      <c r="K105" s="19"/>
      <c r="L105" s="19" t="n">
        <v>0</v>
      </c>
      <c r="M105" s="19"/>
      <c r="N105" s="19" t="n">
        <v>0</v>
      </c>
      <c r="O105" s="19" t="n">
        <v>0</v>
      </c>
      <c r="P105" s="17" t="n">
        <f aca="false">IF(AND(ISNUMBER(H105),ISNUMBER(I105)),MAX(0,ROUND((I105-H105)*1440,0)-'Bilan agents'!$C$4),0)</f>
        <v>0</v>
      </c>
      <c r="Q105" s="8" t="str">
        <f aca="false">IF(H105="Congé","CP",IF(H105="Férié","F",IF(H105="OFF","R",IF(N105&gt;0,"A",IF(ISNUMBER(I105),"P","NR")))))</f>
        <v>CP</v>
      </c>
      <c r="R105" s="18"/>
    </row>
    <row r="106" customFormat="false" ht="15" hidden="false" customHeight="false" outlineLevel="0" collapsed="false">
      <c r="A106" s="18" t="s">
        <v>24</v>
      </c>
      <c r="B106" s="8" t="s">
        <v>25</v>
      </c>
      <c r="C106" s="9" t="n">
        <v>46128</v>
      </c>
      <c r="D106" s="8" t="n">
        <v>2026</v>
      </c>
      <c r="E106" s="8" t="n">
        <v>16</v>
      </c>
      <c r="F106" s="18" t="s">
        <v>125</v>
      </c>
      <c r="G106" s="8" t="s">
        <v>119</v>
      </c>
      <c r="H106" s="19" t="n">
        <v>0.333333333333333</v>
      </c>
      <c r="I106" s="19" t="n">
        <v>0.331944444444444</v>
      </c>
      <c r="J106" s="19" t="n">
        <v>0.75</v>
      </c>
      <c r="K106" s="19" t="n">
        <v>0.75</v>
      </c>
      <c r="L106" s="19" t="n">
        <v>0.375</v>
      </c>
      <c r="M106" s="19" t="n">
        <v>0.375</v>
      </c>
      <c r="N106" s="19" t="n">
        <v>0</v>
      </c>
      <c r="O106" s="19" t="n">
        <v>0.00138888888888889</v>
      </c>
      <c r="P106" s="17" t="n">
        <f aca="false">IF(AND(ISNUMBER(H106),ISNUMBER(I106)),MAX(0,ROUND((I106-H106)*1440,0)-'Bilan agents'!$C$4),0)</f>
        <v>0</v>
      </c>
      <c r="Q106" s="8" t="str">
        <f aca="false">IF(H106="Congé","CP",IF(H106="Férié","F",IF(H106="OFF","R",IF(N106&gt;0,"A",IF(ISNUMBER(I106),"P","NR")))))</f>
        <v>P</v>
      </c>
      <c r="R106" s="18"/>
    </row>
    <row r="107" customFormat="false" ht="15" hidden="false" customHeight="false" outlineLevel="0" collapsed="false">
      <c r="A107" s="18" t="s">
        <v>24</v>
      </c>
      <c r="B107" s="8" t="s">
        <v>25</v>
      </c>
      <c r="C107" s="9" t="n">
        <v>46129</v>
      </c>
      <c r="D107" s="8" t="n">
        <v>2026</v>
      </c>
      <c r="E107" s="8" t="n">
        <v>16</v>
      </c>
      <c r="F107" s="18" t="s">
        <v>125</v>
      </c>
      <c r="G107" s="8" t="s">
        <v>120</v>
      </c>
      <c r="H107" s="19" t="n">
        <v>0.333333333333333</v>
      </c>
      <c r="I107" s="19" t="n">
        <v>0.333333333333333</v>
      </c>
      <c r="J107" s="19" t="n">
        <v>0.708333333333333</v>
      </c>
      <c r="K107" s="19" t="n">
        <v>0.708333333333333</v>
      </c>
      <c r="L107" s="19" t="n">
        <v>0.333333333333333</v>
      </c>
      <c r="M107" s="19" t="n">
        <v>0.333333333333333</v>
      </c>
      <c r="N107" s="19" t="n">
        <v>0</v>
      </c>
      <c r="O107" s="19" t="n">
        <v>0</v>
      </c>
      <c r="P107" s="17" t="n">
        <f aca="false">IF(AND(ISNUMBER(H107),ISNUMBER(I107)),MAX(0,ROUND((I107-H107)*1440,0)-'Bilan agents'!$C$4),0)</f>
        <v>0</v>
      </c>
      <c r="Q107" s="8" t="str">
        <f aca="false">IF(H107="Congé","CP",IF(H107="Férié","F",IF(H107="OFF","R",IF(N107&gt;0,"A",IF(ISNUMBER(I107),"P","NR")))))</f>
        <v>P</v>
      </c>
      <c r="R107" s="18"/>
    </row>
    <row r="108" customFormat="false" ht="15" hidden="false" customHeight="false" outlineLevel="0" collapsed="false">
      <c r="A108" s="18" t="s">
        <v>24</v>
      </c>
      <c r="B108" s="8" t="s">
        <v>25</v>
      </c>
      <c r="C108" s="9" t="n">
        <v>46130</v>
      </c>
      <c r="D108" s="8" t="n">
        <v>2026</v>
      </c>
      <c r="E108" s="8" t="n">
        <v>16</v>
      </c>
      <c r="F108" s="18" t="s">
        <v>125</v>
      </c>
      <c r="G108" s="8" t="s">
        <v>121</v>
      </c>
      <c r="H108" s="19" t="s">
        <v>115</v>
      </c>
      <c r="I108" s="19"/>
      <c r="J108" s="19"/>
      <c r="K108" s="19"/>
      <c r="L108" s="19" t="n">
        <v>0</v>
      </c>
      <c r="M108" s="19"/>
      <c r="N108" s="19" t="n">
        <v>0</v>
      </c>
      <c r="O108" s="19" t="n">
        <v>0</v>
      </c>
      <c r="P108" s="17" t="n">
        <f aca="false">IF(AND(ISNUMBER(H108),ISNUMBER(I108)),MAX(0,ROUND((I108-H108)*1440,0)-'Bilan agents'!$C$4),0)</f>
        <v>0</v>
      </c>
      <c r="Q108" s="8" t="str">
        <f aca="false">IF(H108="Congé","CP",IF(H108="Férié","F",IF(H108="OFF","R",IF(N108&gt;0,"A",IF(ISNUMBER(I108),"P","NR")))))</f>
        <v>R</v>
      </c>
      <c r="R108" s="18"/>
    </row>
    <row r="109" customFormat="false" ht="15" hidden="false" customHeight="false" outlineLevel="0" collapsed="false">
      <c r="A109" s="18" t="s">
        <v>24</v>
      </c>
      <c r="B109" s="8" t="s">
        <v>25</v>
      </c>
      <c r="C109" s="9" t="n">
        <v>46131</v>
      </c>
      <c r="D109" s="8" t="n">
        <v>2026</v>
      </c>
      <c r="E109" s="8" t="n">
        <v>16</v>
      </c>
      <c r="F109" s="18" t="s">
        <v>125</v>
      </c>
      <c r="G109" s="8" t="s">
        <v>114</v>
      </c>
      <c r="H109" s="19" t="s">
        <v>115</v>
      </c>
      <c r="I109" s="19"/>
      <c r="J109" s="19"/>
      <c r="K109" s="19"/>
      <c r="L109" s="19" t="n">
        <v>0</v>
      </c>
      <c r="M109" s="19"/>
      <c r="N109" s="19" t="n">
        <v>0</v>
      </c>
      <c r="O109" s="19" t="n">
        <v>0</v>
      </c>
      <c r="P109" s="17" t="n">
        <f aca="false">IF(AND(ISNUMBER(H109),ISNUMBER(I109)),MAX(0,ROUND((I109-H109)*1440,0)-'Bilan agents'!$C$4),0)</f>
        <v>0</v>
      </c>
      <c r="Q109" s="8" t="str">
        <f aca="false">IF(H109="Congé","CP",IF(H109="Férié","F",IF(H109="OFF","R",IF(N109&gt;0,"A",IF(ISNUMBER(I109),"P","NR")))))</f>
        <v>R</v>
      </c>
      <c r="R109" s="18"/>
    </row>
    <row r="110" customFormat="false" ht="15" hidden="false" customHeight="false" outlineLevel="0" collapsed="false">
      <c r="A110" s="18" t="s">
        <v>24</v>
      </c>
      <c r="B110" s="8" t="s">
        <v>25</v>
      </c>
      <c r="C110" s="9" t="n">
        <v>46132</v>
      </c>
      <c r="D110" s="8" t="n">
        <v>2026</v>
      </c>
      <c r="E110" s="8" t="n">
        <v>17</v>
      </c>
      <c r="F110" s="18" t="s">
        <v>125</v>
      </c>
      <c r="G110" s="8" t="s">
        <v>116</v>
      </c>
      <c r="H110" s="19" t="n">
        <v>0.333333333333333</v>
      </c>
      <c r="I110" s="19" t="n">
        <v>0.332638888888889</v>
      </c>
      <c r="J110" s="19" t="n">
        <v>0.75</v>
      </c>
      <c r="K110" s="19" t="n">
        <v>0.75</v>
      </c>
      <c r="L110" s="19" t="n">
        <v>0.375</v>
      </c>
      <c r="M110" s="19" t="n">
        <v>0.375</v>
      </c>
      <c r="N110" s="19" t="n">
        <v>0</v>
      </c>
      <c r="O110" s="19" t="n">
        <v>0</v>
      </c>
      <c r="P110" s="17" t="n">
        <f aca="false">IF(AND(ISNUMBER(H110),ISNUMBER(I110)),MAX(0,ROUND((I110-H110)*1440,0)-'Bilan agents'!$C$4),0)</f>
        <v>0</v>
      </c>
      <c r="Q110" s="8" t="str">
        <f aca="false">IF(H110="Congé","CP",IF(H110="Férié","F",IF(H110="OFF","R",IF(N110&gt;0,"A",IF(ISNUMBER(I110),"P","NR")))))</f>
        <v>P</v>
      </c>
      <c r="R110" s="18"/>
    </row>
    <row r="111" customFormat="false" ht="15" hidden="false" customHeight="false" outlineLevel="0" collapsed="false">
      <c r="A111" s="18" t="s">
        <v>24</v>
      </c>
      <c r="B111" s="8" t="s">
        <v>25</v>
      </c>
      <c r="C111" s="9" t="n">
        <v>46133</v>
      </c>
      <c r="D111" s="8" t="n">
        <v>2026</v>
      </c>
      <c r="E111" s="8" t="n">
        <v>17</v>
      </c>
      <c r="F111" s="18" t="s">
        <v>125</v>
      </c>
      <c r="G111" s="8" t="s">
        <v>117</v>
      </c>
      <c r="H111" s="19" t="n">
        <v>0.333333333333333</v>
      </c>
      <c r="I111" s="19" t="n">
        <v>0.332638888888889</v>
      </c>
      <c r="J111" s="19" t="n">
        <v>0.75</v>
      </c>
      <c r="K111" s="19" t="n">
        <v>0.75</v>
      </c>
      <c r="L111" s="19" t="n">
        <v>0.375</v>
      </c>
      <c r="M111" s="19" t="n">
        <v>0.375</v>
      </c>
      <c r="N111" s="19" t="n">
        <v>0</v>
      </c>
      <c r="O111" s="19" t="n">
        <v>0</v>
      </c>
      <c r="P111" s="17" t="n">
        <f aca="false">IF(AND(ISNUMBER(H111),ISNUMBER(I111)),MAX(0,ROUND((I111-H111)*1440,0)-'Bilan agents'!$C$4),0)</f>
        <v>0</v>
      </c>
      <c r="Q111" s="8" t="str">
        <f aca="false">IF(H111="Congé","CP",IF(H111="Férié","F",IF(H111="OFF","R",IF(N111&gt;0,"A",IF(ISNUMBER(I111),"P","NR")))))</f>
        <v>P</v>
      </c>
      <c r="R111" s="18"/>
    </row>
    <row r="112" customFormat="false" ht="15" hidden="false" customHeight="false" outlineLevel="0" collapsed="false">
      <c r="A112" s="18" t="s">
        <v>26</v>
      </c>
      <c r="B112" s="8" t="s">
        <v>27</v>
      </c>
      <c r="C112" s="9" t="n">
        <v>46012</v>
      </c>
      <c r="D112" s="8" t="n">
        <v>2025</v>
      </c>
      <c r="E112" s="8" t="n">
        <v>51</v>
      </c>
      <c r="F112" s="18" t="s">
        <v>113</v>
      </c>
      <c r="G112" s="8" t="s">
        <v>114</v>
      </c>
      <c r="H112" s="19" t="s">
        <v>115</v>
      </c>
      <c r="I112" s="19"/>
      <c r="J112" s="19"/>
      <c r="K112" s="19"/>
      <c r="L112" s="19" t="n">
        <v>0</v>
      </c>
      <c r="M112" s="19"/>
      <c r="N112" s="19" t="n">
        <v>0</v>
      </c>
      <c r="O112" s="19" t="n">
        <v>0</v>
      </c>
      <c r="P112" s="17" t="n">
        <f aca="false">IF(AND(ISNUMBER(H112),ISNUMBER(I112)),MAX(0,ROUND((I112-H112)*1440,0)-'Bilan agents'!$C$4),0)</f>
        <v>0</v>
      </c>
      <c r="Q112" s="8" t="str">
        <f aca="false">IF(H112="Congé","CP",IF(H112="Férié","F",IF(H112="OFF","R",IF(N112&gt;0,"A",IF(ISNUMBER(I112),"P","NR")))))</f>
        <v>R</v>
      </c>
      <c r="R112" s="18"/>
    </row>
    <row r="113" customFormat="false" ht="15" hidden="false" customHeight="false" outlineLevel="0" collapsed="false">
      <c r="A113" s="18" t="s">
        <v>26</v>
      </c>
      <c r="B113" s="8" t="s">
        <v>27</v>
      </c>
      <c r="C113" s="9" t="n">
        <v>46013</v>
      </c>
      <c r="D113" s="8" t="n">
        <v>2025</v>
      </c>
      <c r="E113" s="8" t="n">
        <v>52</v>
      </c>
      <c r="F113" s="18" t="s">
        <v>113</v>
      </c>
      <c r="G113" s="8" t="s">
        <v>116</v>
      </c>
      <c r="H113" s="19" t="n">
        <v>0.333333333333333</v>
      </c>
      <c r="I113" s="19" t="n">
        <v>0.332638888888889</v>
      </c>
      <c r="J113" s="19" t="n">
        <v>0.75</v>
      </c>
      <c r="K113" s="19" t="n">
        <v>0.75</v>
      </c>
      <c r="L113" s="19" t="n">
        <v>0.375</v>
      </c>
      <c r="M113" s="19" t="n">
        <v>0.375</v>
      </c>
      <c r="N113" s="19" t="n">
        <v>0</v>
      </c>
      <c r="O113" s="19" t="n">
        <v>0</v>
      </c>
      <c r="P113" s="17" t="n">
        <f aca="false">IF(AND(ISNUMBER(H113),ISNUMBER(I113)),MAX(0,ROUND((I113-H113)*1440,0)-'Bilan agents'!$C$4),0)</f>
        <v>0</v>
      </c>
      <c r="Q113" s="8" t="str">
        <f aca="false">IF(H113="Congé","CP",IF(H113="Férié","F",IF(H113="OFF","R",IF(N113&gt;0,"A",IF(ISNUMBER(I113),"P","NR")))))</f>
        <v>P</v>
      </c>
      <c r="R113" s="18"/>
    </row>
    <row r="114" customFormat="false" ht="15" hidden="false" customHeight="false" outlineLevel="0" collapsed="false">
      <c r="A114" s="18" t="s">
        <v>26</v>
      </c>
      <c r="B114" s="8" t="s">
        <v>27</v>
      </c>
      <c r="C114" s="9" t="n">
        <v>46014</v>
      </c>
      <c r="D114" s="8" t="n">
        <v>2025</v>
      </c>
      <c r="E114" s="8" t="n">
        <v>52</v>
      </c>
      <c r="F114" s="18" t="s">
        <v>113</v>
      </c>
      <c r="G114" s="8" t="s">
        <v>117</v>
      </c>
      <c r="H114" s="19" t="n">
        <v>0.333333333333333</v>
      </c>
      <c r="I114" s="19" t="n">
        <v>0.332638888888889</v>
      </c>
      <c r="J114" s="19" t="n">
        <v>0.75</v>
      </c>
      <c r="K114" s="19" t="n">
        <v>0.75</v>
      </c>
      <c r="L114" s="19" t="n">
        <v>0.375</v>
      </c>
      <c r="M114" s="19" t="n">
        <v>0.375</v>
      </c>
      <c r="N114" s="19" t="n">
        <v>0</v>
      </c>
      <c r="O114" s="19" t="n">
        <v>0</v>
      </c>
      <c r="P114" s="17" t="n">
        <f aca="false">IF(AND(ISNUMBER(H114),ISNUMBER(I114)),MAX(0,ROUND((I114-H114)*1440,0)-'Bilan agents'!$C$4),0)</f>
        <v>0</v>
      </c>
      <c r="Q114" s="8" t="str">
        <f aca="false">IF(H114="Congé","CP",IF(H114="Férié","F",IF(H114="OFF","R",IF(N114&gt;0,"A",IF(ISNUMBER(I114),"P","NR")))))</f>
        <v>P</v>
      </c>
      <c r="R114" s="18"/>
    </row>
    <row r="115" customFormat="false" ht="15" hidden="false" customHeight="false" outlineLevel="0" collapsed="false">
      <c r="A115" s="18" t="s">
        <v>26</v>
      </c>
      <c r="B115" s="8" t="s">
        <v>27</v>
      </c>
      <c r="C115" s="9" t="n">
        <v>46015</v>
      </c>
      <c r="D115" s="8" t="n">
        <v>2025</v>
      </c>
      <c r="E115" s="8" t="n">
        <v>52</v>
      </c>
      <c r="F115" s="18" t="s">
        <v>113</v>
      </c>
      <c r="G115" s="8" t="s">
        <v>118</v>
      </c>
      <c r="H115" s="19" t="n">
        <v>0.333333333333333</v>
      </c>
      <c r="I115" s="19" t="n">
        <v>0.332638888888889</v>
      </c>
      <c r="J115" s="19" t="n">
        <v>0.75</v>
      </c>
      <c r="K115" s="19" t="n">
        <v>0.75</v>
      </c>
      <c r="L115" s="19" t="n">
        <v>0.375</v>
      </c>
      <c r="M115" s="19" t="n">
        <v>0.375</v>
      </c>
      <c r="N115" s="19" t="n">
        <v>0</v>
      </c>
      <c r="O115" s="19" t="n">
        <v>0</v>
      </c>
      <c r="P115" s="17" t="n">
        <f aca="false">IF(AND(ISNUMBER(H115),ISNUMBER(I115)),MAX(0,ROUND((I115-H115)*1440,0)-'Bilan agents'!$C$4),0)</f>
        <v>0</v>
      </c>
      <c r="Q115" s="8" t="str">
        <f aca="false">IF(H115="Congé","CP",IF(H115="Férié","F",IF(H115="OFF","R",IF(N115&gt;0,"A",IF(ISNUMBER(I115),"P","NR")))))</f>
        <v>P</v>
      </c>
      <c r="R115" s="18"/>
    </row>
    <row r="116" customFormat="false" ht="15" hidden="false" customHeight="false" outlineLevel="0" collapsed="false">
      <c r="A116" s="18" t="s">
        <v>26</v>
      </c>
      <c r="B116" s="8" t="s">
        <v>27</v>
      </c>
      <c r="C116" s="9" t="n">
        <v>46016</v>
      </c>
      <c r="D116" s="8" t="n">
        <v>2025</v>
      </c>
      <c r="E116" s="8" t="n">
        <v>52</v>
      </c>
      <c r="F116" s="18" t="s">
        <v>113</v>
      </c>
      <c r="G116" s="8" t="s">
        <v>119</v>
      </c>
      <c r="H116" s="19" t="s">
        <v>115</v>
      </c>
      <c r="I116" s="19"/>
      <c r="J116" s="19"/>
      <c r="K116" s="19"/>
      <c r="L116" s="19" t="n">
        <v>0</v>
      </c>
      <c r="M116" s="19"/>
      <c r="N116" s="19" t="n">
        <v>0</v>
      </c>
      <c r="O116" s="19" t="n">
        <v>0</v>
      </c>
      <c r="P116" s="17" t="n">
        <f aca="false">IF(AND(ISNUMBER(H116),ISNUMBER(I116)),MAX(0,ROUND((I116-H116)*1440,0)-'Bilan agents'!$C$4),0)</f>
        <v>0</v>
      </c>
      <c r="Q116" s="8" t="str">
        <f aca="false">IF(H116="Congé","CP",IF(H116="Férié","F",IF(H116="OFF","R",IF(N116&gt;0,"A",IF(ISNUMBER(I116),"P","NR")))))</f>
        <v>R</v>
      </c>
      <c r="R116" s="18"/>
    </row>
    <row r="117" customFormat="false" ht="15" hidden="false" customHeight="false" outlineLevel="0" collapsed="false">
      <c r="A117" s="18" t="s">
        <v>26</v>
      </c>
      <c r="B117" s="8" t="s">
        <v>27</v>
      </c>
      <c r="C117" s="9" t="n">
        <v>46017</v>
      </c>
      <c r="D117" s="8" t="n">
        <v>2025</v>
      </c>
      <c r="E117" s="8" t="n">
        <v>52</v>
      </c>
      <c r="F117" s="18" t="s">
        <v>113</v>
      </c>
      <c r="G117" s="8" t="s">
        <v>120</v>
      </c>
      <c r="H117" s="19" t="n">
        <v>0.333333333333333</v>
      </c>
      <c r="I117" s="19" t="n">
        <v>0.333333333333333</v>
      </c>
      <c r="J117" s="19" t="n">
        <v>0.708333333333333</v>
      </c>
      <c r="K117" s="19" t="n">
        <v>0.708333333333333</v>
      </c>
      <c r="L117" s="19" t="n">
        <v>0.333333333333333</v>
      </c>
      <c r="M117" s="19" t="n">
        <v>0.333333333333333</v>
      </c>
      <c r="N117" s="19" t="n">
        <v>0</v>
      </c>
      <c r="O117" s="19" t="n">
        <v>0</v>
      </c>
      <c r="P117" s="17" t="n">
        <f aca="false">IF(AND(ISNUMBER(H117),ISNUMBER(I117)),MAX(0,ROUND((I117-H117)*1440,0)-'Bilan agents'!$C$4),0)</f>
        <v>0</v>
      </c>
      <c r="Q117" s="8" t="str">
        <f aca="false">IF(H117="Congé","CP",IF(H117="Férié","F",IF(H117="OFF","R",IF(N117&gt;0,"A",IF(ISNUMBER(I117),"P","NR")))))</f>
        <v>P</v>
      </c>
      <c r="R117" s="18"/>
    </row>
    <row r="118" customFormat="false" ht="15" hidden="false" customHeight="false" outlineLevel="0" collapsed="false">
      <c r="A118" s="18" t="s">
        <v>26</v>
      </c>
      <c r="B118" s="8" t="s">
        <v>27</v>
      </c>
      <c r="C118" s="9" t="n">
        <v>46018</v>
      </c>
      <c r="D118" s="8" t="n">
        <v>2025</v>
      </c>
      <c r="E118" s="8" t="n">
        <v>52</v>
      </c>
      <c r="F118" s="18" t="s">
        <v>113</v>
      </c>
      <c r="G118" s="8" t="s">
        <v>121</v>
      </c>
      <c r="H118" s="19" t="s">
        <v>115</v>
      </c>
      <c r="I118" s="19"/>
      <c r="J118" s="19"/>
      <c r="K118" s="19"/>
      <c r="L118" s="19" t="n">
        <v>0</v>
      </c>
      <c r="M118" s="19"/>
      <c r="N118" s="19" t="n">
        <v>0</v>
      </c>
      <c r="O118" s="19" t="n">
        <v>0</v>
      </c>
      <c r="P118" s="17" t="n">
        <f aca="false">IF(AND(ISNUMBER(H118),ISNUMBER(I118)),MAX(0,ROUND((I118-H118)*1440,0)-'Bilan agents'!$C$4),0)</f>
        <v>0</v>
      </c>
      <c r="Q118" s="8" t="str">
        <f aca="false">IF(H118="Congé","CP",IF(H118="Férié","F",IF(H118="OFF","R",IF(N118&gt;0,"A",IF(ISNUMBER(I118),"P","NR")))))</f>
        <v>R</v>
      </c>
      <c r="R118" s="18"/>
    </row>
    <row r="119" customFormat="false" ht="15" hidden="false" customHeight="false" outlineLevel="0" collapsed="false">
      <c r="A119" s="18" t="s">
        <v>26</v>
      </c>
      <c r="B119" s="8" t="s">
        <v>27</v>
      </c>
      <c r="C119" s="9" t="n">
        <v>46019</v>
      </c>
      <c r="D119" s="8" t="n">
        <v>2025</v>
      </c>
      <c r="E119" s="8" t="n">
        <v>52</v>
      </c>
      <c r="F119" s="18" t="s">
        <v>113</v>
      </c>
      <c r="G119" s="8" t="s">
        <v>114</v>
      </c>
      <c r="H119" s="19" t="s">
        <v>115</v>
      </c>
      <c r="I119" s="19"/>
      <c r="J119" s="19"/>
      <c r="K119" s="19"/>
      <c r="L119" s="19" t="n">
        <v>0</v>
      </c>
      <c r="M119" s="19"/>
      <c r="N119" s="19" t="n">
        <v>0</v>
      </c>
      <c r="O119" s="19" t="n">
        <v>0</v>
      </c>
      <c r="P119" s="17" t="n">
        <f aca="false">IF(AND(ISNUMBER(H119),ISNUMBER(I119)),MAX(0,ROUND((I119-H119)*1440,0)-'Bilan agents'!$C$4),0)</f>
        <v>0</v>
      </c>
      <c r="Q119" s="8" t="str">
        <f aca="false">IF(H119="Congé","CP",IF(H119="Férié","F",IF(H119="OFF","R",IF(N119&gt;0,"A",IF(ISNUMBER(I119),"P","NR")))))</f>
        <v>R</v>
      </c>
      <c r="R119" s="18"/>
    </row>
    <row r="120" customFormat="false" ht="15" hidden="false" customHeight="false" outlineLevel="0" collapsed="false">
      <c r="A120" s="18" t="s">
        <v>26</v>
      </c>
      <c r="B120" s="8" t="s">
        <v>27</v>
      </c>
      <c r="C120" s="9" t="n">
        <v>46020</v>
      </c>
      <c r="D120" s="8" t="n">
        <v>2026</v>
      </c>
      <c r="E120" s="8" t="n">
        <v>1</v>
      </c>
      <c r="F120" s="18" t="s">
        <v>113</v>
      </c>
      <c r="G120" s="8" t="s">
        <v>116</v>
      </c>
      <c r="H120" s="19" t="n">
        <v>0.333333333333333</v>
      </c>
      <c r="I120" s="19" t="n">
        <v>0.332638888888889</v>
      </c>
      <c r="J120" s="19" t="n">
        <v>0.75</v>
      </c>
      <c r="K120" s="19" t="n">
        <v>0.75</v>
      </c>
      <c r="L120" s="19" t="n">
        <v>0.375</v>
      </c>
      <c r="M120" s="19" t="n">
        <v>0.375</v>
      </c>
      <c r="N120" s="19" t="n">
        <v>0</v>
      </c>
      <c r="O120" s="19" t="n">
        <v>0</v>
      </c>
      <c r="P120" s="17" t="n">
        <f aca="false">IF(AND(ISNUMBER(H120),ISNUMBER(I120)),MAX(0,ROUND((I120-H120)*1440,0)-'Bilan agents'!$C$4),0)</f>
        <v>0</v>
      </c>
      <c r="Q120" s="8" t="str">
        <f aca="false">IF(H120="Congé","CP",IF(H120="Férié","F",IF(H120="OFF","R",IF(N120&gt;0,"A",IF(ISNUMBER(I120),"P","NR")))))</f>
        <v>P</v>
      </c>
      <c r="R120" s="18"/>
    </row>
    <row r="121" customFormat="false" ht="15" hidden="false" customHeight="false" outlineLevel="0" collapsed="false">
      <c r="A121" s="18" t="s">
        <v>26</v>
      </c>
      <c r="B121" s="8" t="s">
        <v>27</v>
      </c>
      <c r="C121" s="9" t="n">
        <v>46021</v>
      </c>
      <c r="D121" s="8" t="n">
        <v>2026</v>
      </c>
      <c r="E121" s="8" t="n">
        <v>1</v>
      </c>
      <c r="F121" s="18" t="s">
        <v>113</v>
      </c>
      <c r="G121" s="8" t="s">
        <v>117</v>
      </c>
      <c r="H121" s="19" t="n">
        <v>0.333333333333333</v>
      </c>
      <c r="I121" s="19" t="n">
        <v>0.332638888888889</v>
      </c>
      <c r="J121" s="19" t="n">
        <v>0.75</v>
      </c>
      <c r="K121" s="19" t="n">
        <v>0.75</v>
      </c>
      <c r="L121" s="19" t="n">
        <v>0.375</v>
      </c>
      <c r="M121" s="19" t="n">
        <v>0.375</v>
      </c>
      <c r="N121" s="19" t="n">
        <v>0</v>
      </c>
      <c r="O121" s="19" t="n">
        <v>0</v>
      </c>
      <c r="P121" s="17" t="n">
        <f aca="false">IF(AND(ISNUMBER(H121),ISNUMBER(I121)),MAX(0,ROUND((I121-H121)*1440,0)-'Bilan agents'!$C$4),0)</f>
        <v>0</v>
      </c>
      <c r="Q121" s="8" t="str">
        <f aca="false">IF(H121="Congé","CP",IF(H121="Férié","F",IF(H121="OFF","R",IF(N121&gt;0,"A",IF(ISNUMBER(I121),"P","NR")))))</f>
        <v>P</v>
      </c>
      <c r="R121" s="18"/>
    </row>
    <row r="122" customFormat="false" ht="15" hidden="false" customHeight="false" outlineLevel="0" collapsed="false">
      <c r="A122" s="18" t="s">
        <v>26</v>
      </c>
      <c r="B122" s="8" t="s">
        <v>27</v>
      </c>
      <c r="C122" s="9" t="n">
        <v>46022</v>
      </c>
      <c r="D122" s="8" t="n">
        <v>2026</v>
      </c>
      <c r="E122" s="8" t="n">
        <v>1</v>
      </c>
      <c r="F122" s="18" t="s">
        <v>113</v>
      </c>
      <c r="G122" s="8" t="s">
        <v>118</v>
      </c>
      <c r="H122" s="19" t="n">
        <v>0.333333333333333</v>
      </c>
      <c r="I122" s="19" t="n">
        <v>0.332638888888889</v>
      </c>
      <c r="J122" s="19" t="n">
        <v>0.75</v>
      </c>
      <c r="K122" s="19" t="n">
        <v>0.75</v>
      </c>
      <c r="L122" s="19" t="n">
        <v>0.375</v>
      </c>
      <c r="M122" s="19" t="n">
        <v>0.375</v>
      </c>
      <c r="N122" s="19" t="n">
        <v>0</v>
      </c>
      <c r="O122" s="19" t="n">
        <v>0</v>
      </c>
      <c r="P122" s="17" t="n">
        <f aca="false">IF(AND(ISNUMBER(H122),ISNUMBER(I122)),MAX(0,ROUND((I122-H122)*1440,0)-'Bilan agents'!$C$4),0)</f>
        <v>0</v>
      </c>
      <c r="Q122" s="8" t="str">
        <f aca="false">IF(H122="Congé","CP",IF(H122="Férié","F",IF(H122="OFF","R",IF(N122&gt;0,"A",IF(ISNUMBER(I122),"P","NR")))))</f>
        <v>P</v>
      </c>
      <c r="R122" s="18"/>
    </row>
    <row r="123" customFormat="false" ht="15" hidden="false" customHeight="false" outlineLevel="0" collapsed="false">
      <c r="A123" s="18" t="s">
        <v>26</v>
      </c>
      <c r="B123" s="8" t="s">
        <v>27</v>
      </c>
      <c r="C123" s="9" t="n">
        <v>46023</v>
      </c>
      <c r="D123" s="8" t="n">
        <v>2026</v>
      </c>
      <c r="E123" s="8" t="n">
        <v>1</v>
      </c>
      <c r="F123" s="18" t="s">
        <v>122</v>
      </c>
      <c r="G123" s="8" t="s">
        <v>119</v>
      </c>
      <c r="H123" s="19" t="s">
        <v>45</v>
      </c>
      <c r="I123" s="19"/>
      <c r="J123" s="19"/>
      <c r="K123" s="19"/>
      <c r="L123" s="19" t="n">
        <v>0</v>
      </c>
      <c r="M123" s="19"/>
      <c r="N123" s="19" t="n">
        <v>0</v>
      </c>
      <c r="O123" s="19" t="n">
        <v>0</v>
      </c>
      <c r="P123" s="17" t="n">
        <f aca="false">IF(AND(ISNUMBER(H123),ISNUMBER(I123)),MAX(0,ROUND((I123-H123)*1440,0)-'Bilan agents'!$C$4),0)</f>
        <v>0</v>
      </c>
      <c r="Q123" s="8" t="str">
        <f aca="false">IF(H123="Congé","CP",IF(H123="Férié","F",IF(H123="OFF","R",IF(N123&gt;0,"A",IF(ISNUMBER(I123),"P","NR")))))</f>
        <v>F</v>
      </c>
      <c r="R123" s="18"/>
    </row>
    <row r="124" customFormat="false" ht="15" hidden="false" customHeight="false" outlineLevel="0" collapsed="false">
      <c r="A124" s="18" t="s">
        <v>26</v>
      </c>
      <c r="B124" s="8" t="s">
        <v>27</v>
      </c>
      <c r="C124" s="9" t="n">
        <v>46024</v>
      </c>
      <c r="D124" s="8" t="n">
        <v>2026</v>
      </c>
      <c r="E124" s="8" t="n">
        <v>1</v>
      </c>
      <c r="F124" s="18" t="s">
        <v>122</v>
      </c>
      <c r="G124" s="8" t="s">
        <v>120</v>
      </c>
      <c r="H124" s="19" t="n">
        <v>0.333333333333333</v>
      </c>
      <c r="I124" s="19" t="n">
        <v>0.333333333333333</v>
      </c>
      <c r="J124" s="19" t="n">
        <v>0.708333333333333</v>
      </c>
      <c r="K124" s="19" t="n">
        <v>0.708333333333333</v>
      </c>
      <c r="L124" s="19" t="n">
        <v>0.333333333333333</v>
      </c>
      <c r="M124" s="19" t="n">
        <v>0.333333333333333</v>
      </c>
      <c r="N124" s="19" t="n">
        <v>0</v>
      </c>
      <c r="O124" s="19" t="n">
        <v>0</v>
      </c>
      <c r="P124" s="17" t="n">
        <f aca="false">IF(AND(ISNUMBER(H124),ISNUMBER(I124)),MAX(0,ROUND((I124-H124)*1440,0)-'Bilan agents'!$C$4),0)</f>
        <v>0</v>
      </c>
      <c r="Q124" s="8" t="str">
        <f aca="false">IF(H124="Congé","CP",IF(H124="Férié","F",IF(H124="OFF","R",IF(N124&gt;0,"A",IF(ISNUMBER(I124),"P","NR")))))</f>
        <v>P</v>
      </c>
      <c r="R124" s="18"/>
    </row>
    <row r="125" customFormat="false" ht="15" hidden="false" customHeight="false" outlineLevel="0" collapsed="false">
      <c r="A125" s="18" t="s">
        <v>26</v>
      </c>
      <c r="B125" s="8" t="s">
        <v>27</v>
      </c>
      <c r="C125" s="9" t="n">
        <v>46025</v>
      </c>
      <c r="D125" s="8" t="n">
        <v>2026</v>
      </c>
      <c r="E125" s="8" t="n">
        <v>1</v>
      </c>
      <c r="F125" s="18" t="s">
        <v>122</v>
      </c>
      <c r="G125" s="8" t="s">
        <v>121</v>
      </c>
      <c r="H125" s="19" t="s">
        <v>115</v>
      </c>
      <c r="I125" s="19"/>
      <c r="J125" s="19"/>
      <c r="K125" s="19"/>
      <c r="L125" s="19" t="n">
        <v>0</v>
      </c>
      <c r="M125" s="19"/>
      <c r="N125" s="19" t="n">
        <v>0</v>
      </c>
      <c r="O125" s="19" t="n">
        <v>0</v>
      </c>
      <c r="P125" s="17" t="n">
        <f aca="false">IF(AND(ISNUMBER(H125),ISNUMBER(I125)),MAX(0,ROUND((I125-H125)*1440,0)-'Bilan agents'!$C$4),0)</f>
        <v>0</v>
      </c>
      <c r="Q125" s="8" t="str">
        <f aca="false">IF(H125="Congé","CP",IF(H125="Férié","F",IF(H125="OFF","R",IF(N125&gt;0,"A",IF(ISNUMBER(I125),"P","NR")))))</f>
        <v>R</v>
      </c>
      <c r="R125" s="18"/>
    </row>
    <row r="126" customFormat="false" ht="15" hidden="false" customHeight="false" outlineLevel="0" collapsed="false">
      <c r="A126" s="18" t="s">
        <v>26</v>
      </c>
      <c r="B126" s="8" t="s">
        <v>27</v>
      </c>
      <c r="C126" s="9" t="n">
        <v>46026</v>
      </c>
      <c r="D126" s="8" t="n">
        <v>2026</v>
      </c>
      <c r="E126" s="8" t="n">
        <v>1</v>
      </c>
      <c r="F126" s="18" t="s">
        <v>122</v>
      </c>
      <c r="G126" s="8" t="s">
        <v>114</v>
      </c>
      <c r="H126" s="19" t="s">
        <v>115</v>
      </c>
      <c r="I126" s="19"/>
      <c r="J126" s="19"/>
      <c r="K126" s="19"/>
      <c r="L126" s="19" t="n">
        <v>0</v>
      </c>
      <c r="M126" s="19"/>
      <c r="N126" s="19" t="n">
        <v>0</v>
      </c>
      <c r="O126" s="19" t="n">
        <v>0</v>
      </c>
      <c r="P126" s="17" t="n">
        <f aca="false">IF(AND(ISNUMBER(H126),ISNUMBER(I126)),MAX(0,ROUND((I126-H126)*1440,0)-'Bilan agents'!$C$4),0)</f>
        <v>0</v>
      </c>
      <c r="Q126" s="8" t="str">
        <f aca="false">IF(H126="Congé","CP",IF(H126="Férié","F",IF(H126="OFF","R",IF(N126&gt;0,"A",IF(ISNUMBER(I126),"P","NR")))))</f>
        <v>R</v>
      </c>
      <c r="R126" s="18"/>
    </row>
    <row r="127" customFormat="false" ht="15" hidden="false" customHeight="false" outlineLevel="0" collapsed="false">
      <c r="A127" s="18" t="s">
        <v>26</v>
      </c>
      <c r="B127" s="8" t="s">
        <v>27</v>
      </c>
      <c r="C127" s="9" t="n">
        <v>46027</v>
      </c>
      <c r="D127" s="8" t="n">
        <v>2026</v>
      </c>
      <c r="E127" s="8" t="n">
        <v>2</v>
      </c>
      <c r="F127" s="18" t="s">
        <v>122</v>
      </c>
      <c r="G127" s="8" t="s">
        <v>116</v>
      </c>
      <c r="H127" s="19" t="n">
        <v>0.333333333333333</v>
      </c>
      <c r="I127" s="19" t="n">
        <v>0.332638888888889</v>
      </c>
      <c r="J127" s="19" t="n">
        <v>0.75</v>
      </c>
      <c r="K127" s="19" t="n">
        <v>0.75</v>
      </c>
      <c r="L127" s="19" t="n">
        <v>0.375</v>
      </c>
      <c r="M127" s="19" t="n">
        <v>0.375</v>
      </c>
      <c r="N127" s="19" t="n">
        <v>0</v>
      </c>
      <c r="O127" s="19" t="n">
        <v>0</v>
      </c>
      <c r="P127" s="17" t="n">
        <f aca="false">IF(AND(ISNUMBER(H127),ISNUMBER(I127)),MAX(0,ROUND((I127-H127)*1440,0)-'Bilan agents'!$C$4),0)</f>
        <v>0</v>
      </c>
      <c r="Q127" s="8" t="str">
        <f aca="false">IF(H127="Congé","CP",IF(H127="Férié","F",IF(H127="OFF","R",IF(N127&gt;0,"A",IF(ISNUMBER(I127),"P","NR")))))</f>
        <v>P</v>
      </c>
      <c r="R127" s="18"/>
    </row>
    <row r="128" customFormat="false" ht="15" hidden="false" customHeight="false" outlineLevel="0" collapsed="false">
      <c r="A128" s="18" t="s">
        <v>26</v>
      </c>
      <c r="B128" s="8" t="s">
        <v>27</v>
      </c>
      <c r="C128" s="9" t="n">
        <v>46028</v>
      </c>
      <c r="D128" s="8" t="n">
        <v>2026</v>
      </c>
      <c r="E128" s="8" t="n">
        <v>2</v>
      </c>
      <c r="F128" s="18" t="s">
        <v>122</v>
      </c>
      <c r="G128" s="8" t="s">
        <v>117</v>
      </c>
      <c r="H128" s="19" t="n">
        <v>0.333333333333333</v>
      </c>
      <c r="I128" s="19" t="n">
        <v>0.332638888888889</v>
      </c>
      <c r="J128" s="19" t="n">
        <v>0.75</v>
      </c>
      <c r="K128" s="19" t="n">
        <v>0.75</v>
      </c>
      <c r="L128" s="19" t="n">
        <v>0.375</v>
      </c>
      <c r="M128" s="19" t="n">
        <v>0.375</v>
      </c>
      <c r="N128" s="19" t="n">
        <v>0</v>
      </c>
      <c r="O128" s="19" t="n">
        <v>0</v>
      </c>
      <c r="P128" s="17" t="n">
        <f aca="false">IF(AND(ISNUMBER(H128),ISNUMBER(I128)),MAX(0,ROUND((I128-H128)*1440,0)-'Bilan agents'!$C$4),0)</f>
        <v>0</v>
      </c>
      <c r="Q128" s="8" t="str">
        <f aca="false">IF(H128="Congé","CP",IF(H128="Férié","F",IF(H128="OFF","R",IF(N128&gt;0,"A",IF(ISNUMBER(I128),"P","NR")))))</f>
        <v>P</v>
      </c>
      <c r="R128" s="18"/>
    </row>
    <row r="129" customFormat="false" ht="15" hidden="false" customHeight="false" outlineLevel="0" collapsed="false">
      <c r="A129" s="18" t="s">
        <v>26</v>
      </c>
      <c r="B129" s="8" t="s">
        <v>27</v>
      </c>
      <c r="C129" s="9" t="n">
        <v>46029</v>
      </c>
      <c r="D129" s="8" t="n">
        <v>2026</v>
      </c>
      <c r="E129" s="8" t="n">
        <v>2</v>
      </c>
      <c r="F129" s="18" t="s">
        <v>122</v>
      </c>
      <c r="G129" s="8" t="s">
        <v>118</v>
      </c>
      <c r="H129" s="19" t="n">
        <v>0.333333333333333</v>
      </c>
      <c r="I129" s="19" t="n">
        <v>0.332638888888889</v>
      </c>
      <c r="J129" s="19" t="n">
        <v>0.75</v>
      </c>
      <c r="K129" s="19" t="n">
        <v>0.75</v>
      </c>
      <c r="L129" s="19" t="n">
        <v>0.375</v>
      </c>
      <c r="M129" s="19" t="n">
        <v>0.375</v>
      </c>
      <c r="N129" s="19" t="n">
        <v>0</v>
      </c>
      <c r="O129" s="19" t="n">
        <v>0</v>
      </c>
      <c r="P129" s="17" t="n">
        <f aca="false">IF(AND(ISNUMBER(H129),ISNUMBER(I129)),MAX(0,ROUND((I129-H129)*1440,0)-'Bilan agents'!$C$4),0)</f>
        <v>0</v>
      </c>
      <c r="Q129" s="8" t="str">
        <f aca="false">IF(H129="Congé","CP",IF(H129="Férié","F",IF(H129="OFF","R",IF(N129&gt;0,"A",IF(ISNUMBER(I129),"P","NR")))))</f>
        <v>P</v>
      </c>
      <c r="R129" s="18"/>
    </row>
    <row r="130" customFormat="false" ht="15" hidden="false" customHeight="false" outlineLevel="0" collapsed="false">
      <c r="A130" s="18" t="s">
        <v>26</v>
      </c>
      <c r="B130" s="8" t="s">
        <v>27</v>
      </c>
      <c r="C130" s="9" t="n">
        <v>46030</v>
      </c>
      <c r="D130" s="8" t="n">
        <v>2026</v>
      </c>
      <c r="E130" s="8" t="n">
        <v>2</v>
      </c>
      <c r="F130" s="18" t="s">
        <v>122</v>
      </c>
      <c r="G130" s="8" t="s">
        <v>119</v>
      </c>
      <c r="H130" s="19" t="n">
        <v>0.333333333333333</v>
      </c>
      <c r="I130" s="19" t="n">
        <v>0.332638888888889</v>
      </c>
      <c r="J130" s="19" t="n">
        <v>0.75</v>
      </c>
      <c r="K130" s="19" t="n">
        <v>0.75</v>
      </c>
      <c r="L130" s="19" t="n">
        <v>0.375</v>
      </c>
      <c r="M130" s="19" t="n">
        <v>0.375</v>
      </c>
      <c r="N130" s="19" t="n">
        <v>0</v>
      </c>
      <c r="O130" s="19" t="n">
        <v>0</v>
      </c>
      <c r="P130" s="17" t="n">
        <f aca="false">IF(AND(ISNUMBER(H130),ISNUMBER(I130)),MAX(0,ROUND((I130-H130)*1440,0)-'Bilan agents'!$C$4),0)</f>
        <v>0</v>
      </c>
      <c r="Q130" s="8" t="str">
        <f aca="false">IF(H130="Congé","CP",IF(H130="Férié","F",IF(H130="OFF","R",IF(N130&gt;0,"A",IF(ISNUMBER(I130),"P","NR")))))</f>
        <v>P</v>
      </c>
      <c r="R130" s="18"/>
    </row>
    <row r="131" customFormat="false" ht="15" hidden="false" customHeight="false" outlineLevel="0" collapsed="false">
      <c r="A131" s="18" t="s">
        <v>26</v>
      </c>
      <c r="B131" s="8" t="s">
        <v>27</v>
      </c>
      <c r="C131" s="9" t="n">
        <v>46031</v>
      </c>
      <c r="D131" s="8" t="n">
        <v>2026</v>
      </c>
      <c r="E131" s="8" t="n">
        <v>2</v>
      </c>
      <c r="F131" s="18" t="s">
        <v>122</v>
      </c>
      <c r="G131" s="8" t="s">
        <v>120</v>
      </c>
      <c r="H131" s="19" t="n">
        <v>0.333333333333333</v>
      </c>
      <c r="I131" s="19" t="n">
        <v>0.33125</v>
      </c>
      <c r="J131" s="19" t="n">
        <v>0.708333333333333</v>
      </c>
      <c r="K131" s="19" t="n">
        <v>0.708333333333333</v>
      </c>
      <c r="L131" s="19" t="n">
        <v>0.333333333333333</v>
      </c>
      <c r="M131" s="19" t="n">
        <v>0.333333333333333</v>
      </c>
      <c r="N131" s="19" t="n">
        <v>0</v>
      </c>
      <c r="O131" s="19" t="n">
        <v>0.00208333333333333</v>
      </c>
      <c r="P131" s="17" t="n">
        <f aca="false">IF(AND(ISNUMBER(H131),ISNUMBER(I131)),MAX(0,ROUND((I131-H131)*1440,0)-'Bilan agents'!$C$4),0)</f>
        <v>0</v>
      </c>
      <c r="Q131" s="8" t="str">
        <f aca="false">IF(H131="Congé","CP",IF(H131="Férié","F",IF(H131="OFF","R",IF(N131&gt;0,"A",IF(ISNUMBER(I131),"P","NR")))))</f>
        <v>P</v>
      </c>
      <c r="R131" s="18"/>
    </row>
    <row r="132" customFormat="false" ht="15" hidden="false" customHeight="false" outlineLevel="0" collapsed="false">
      <c r="A132" s="18" t="s">
        <v>26</v>
      </c>
      <c r="B132" s="8" t="s">
        <v>27</v>
      </c>
      <c r="C132" s="9" t="n">
        <v>46032</v>
      </c>
      <c r="D132" s="8" t="n">
        <v>2026</v>
      </c>
      <c r="E132" s="8" t="n">
        <v>2</v>
      </c>
      <c r="F132" s="18" t="s">
        <v>122</v>
      </c>
      <c r="G132" s="8" t="s">
        <v>121</v>
      </c>
      <c r="H132" s="19" t="s">
        <v>115</v>
      </c>
      <c r="I132" s="19"/>
      <c r="J132" s="19"/>
      <c r="K132" s="19"/>
      <c r="L132" s="19" t="n">
        <v>0</v>
      </c>
      <c r="M132" s="19"/>
      <c r="N132" s="19" t="n">
        <v>0</v>
      </c>
      <c r="O132" s="19" t="n">
        <v>0</v>
      </c>
      <c r="P132" s="17" t="n">
        <f aca="false">IF(AND(ISNUMBER(H132),ISNUMBER(I132)),MAX(0,ROUND((I132-H132)*1440,0)-'Bilan agents'!$C$4),0)</f>
        <v>0</v>
      </c>
      <c r="Q132" s="8" t="str">
        <f aca="false">IF(H132="Congé","CP",IF(H132="Férié","F",IF(H132="OFF","R",IF(N132&gt;0,"A",IF(ISNUMBER(I132),"P","NR")))))</f>
        <v>R</v>
      </c>
      <c r="R132" s="18"/>
    </row>
    <row r="133" customFormat="false" ht="15" hidden="false" customHeight="false" outlineLevel="0" collapsed="false">
      <c r="A133" s="18" t="s">
        <v>26</v>
      </c>
      <c r="B133" s="8" t="s">
        <v>27</v>
      </c>
      <c r="C133" s="9" t="n">
        <v>46033</v>
      </c>
      <c r="D133" s="8" t="n">
        <v>2026</v>
      </c>
      <c r="E133" s="8" t="n">
        <v>2</v>
      </c>
      <c r="F133" s="18" t="s">
        <v>122</v>
      </c>
      <c r="G133" s="8" t="s">
        <v>114</v>
      </c>
      <c r="H133" s="19" t="s">
        <v>115</v>
      </c>
      <c r="I133" s="19"/>
      <c r="J133" s="19"/>
      <c r="K133" s="19"/>
      <c r="L133" s="19" t="n">
        <v>0</v>
      </c>
      <c r="M133" s="19"/>
      <c r="N133" s="19" t="n">
        <v>0</v>
      </c>
      <c r="O133" s="19" t="n">
        <v>0</v>
      </c>
      <c r="P133" s="17" t="n">
        <f aca="false">IF(AND(ISNUMBER(H133),ISNUMBER(I133)),MAX(0,ROUND((I133-H133)*1440,0)-'Bilan agents'!$C$4),0)</f>
        <v>0</v>
      </c>
      <c r="Q133" s="8" t="str">
        <f aca="false">IF(H133="Congé","CP",IF(H133="Férié","F",IF(H133="OFF","R",IF(N133&gt;0,"A",IF(ISNUMBER(I133),"P","NR")))))</f>
        <v>R</v>
      </c>
      <c r="R133" s="18"/>
    </row>
    <row r="134" customFormat="false" ht="15" hidden="false" customHeight="false" outlineLevel="0" collapsed="false">
      <c r="A134" s="18" t="s">
        <v>26</v>
      </c>
      <c r="B134" s="8" t="s">
        <v>27</v>
      </c>
      <c r="C134" s="9" t="n">
        <v>46034</v>
      </c>
      <c r="D134" s="8" t="n">
        <v>2026</v>
      </c>
      <c r="E134" s="8" t="n">
        <v>3</v>
      </c>
      <c r="F134" s="18" t="s">
        <v>122</v>
      </c>
      <c r="G134" s="8" t="s">
        <v>116</v>
      </c>
      <c r="H134" s="19" t="n">
        <v>0.333333333333333</v>
      </c>
      <c r="I134" s="19" t="n">
        <v>0.331944444444444</v>
      </c>
      <c r="J134" s="19" t="n">
        <v>0.75</v>
      </c>
      <c r="K134" s="19" t="n">
        <v>0.75</v>
      </c>
      <c r="L134" s="19" t="n">
        <v>0.375</v>
      </c>
      <c r="M134" s="19" t="n">
        <v>0.375</v>
      </c>
      <c r="N134" s="19" t="n">
        <v>0</v>
      </c>
      <c r="O134" s="19" t="n">
        <v>0.00138888888888889</v>
      </c>
      <c r="P134" s="17" t="n">
        <f aca="false">IF(AND(ISNUMBER(H134),ISNUMBER(I134)),MAX(0,ROUND((I134-H134)*1440,0)-'Bilan agents'!$C$4),0)</f>
        <v>0</v>
      </c>
      <c r="Q134" s="8" t="str">
        <f aca="false">IF(H134="Congé","CP",IF(H134="Férié","F",IF(H134="OFF","R",IF(N134&gt;0,"A",IF(ISNUMBER(I134),"P","NR")))))</f>
        <v>P</v>
      </c>
      <c r="R134" s="18"/>
    </row>
    <row r="135" customFormat="false" ht="15" hidden="false" customHeight="false" outlineLevel="0" collapsed="false">
      <c r="A135" s="18" t="s">
        <v>26</v>
      </c>
      <c r="B135" s="8" t="s">
        <v>27</v>
      </c>
      <c r="C135" s="9" t="n">
        <v>46035</v>
      </c>
      <c r="D135" s="8" t="n">
        <v>2026</v>
      </c>
      <c r="E135" s="8" t="n">
        <v>3</v>
      </c>
      <c r="F135" s="18" t="s">
        <v>122</v>
      </c>
      <c r="G135" s="8" t="s">
        <v>117</v>
      </c>
      <c r="H135" s="19" t="n">
        <v>0.333333333333333</v>
      </c>
      <c r="I135" s="19" t="n">
        <v>0.390972222222222</v>
      </c>
      <c r="J135" s="19" t="n">
        <v>0.75</v>
      </c>
      <c r="K135" s="19" t="n">
        <v>0.75</v>
      </c>
      <c r="L135" s="19" t="n">
        <v>0.375</v>
      </c>
      <c r="M135" s="19" t="n">
        <v>0.375</v>
      </c>
      <c r="N135" s="19" t="n">
        <v>0</v>
      </c>
      <c r="O135" s="19" t="n">
        <v>0</v>
      </c>
      <c r="P135" s="17" t="n">
        <f aca="false">IF(AND(ISNUMBER(H135),ISNUMBER(I135)),MAX(0,ROUND((I135-H135)*1440,0)-'Bilan agents'!$C$4),0)</f>
        <v>83</v>
      </c>
      <c r="Q135" s="8" t="str">
        <f aca="false">IF(H135="Congé","CP",IF(H135="Férié","F",IF(H135="OFF","R",IF(N135&gt;0,"A",IF(ISNUMBER(I135),"P","NR")))))</f>
        <v>P</v>
      </c>
      <c r="R135" s="18"/>
    </row>
    <row r="136" customFormat="false" ht="15" hidden="false" customHeight="false" outlineLevel="0" collapsed="false">
      <c r="A136" s="18" t="s">
        <v>26</v>
      </c>
      <c r="B136" s="8" t="s">
        <v>27</v>
      </c>
      <c r="C136" s="9" t="n">
        <v>46036</v>
      </c>
      <c r="D136" s="8" t="n">
        <v>2026</v>
      </c>
      <c r="E136" s="8" t="n">
        <v>3</v>
      </c>
      <c r="F136" s="18" t="s">
        <v>122</v>
      </c>
      <c r="G136" s="8" t="s">
        <v>118</v>
      </c>
      <c r="H136" s="19" t="n">
        <v>0.333333333333333</v>
      </c>
      <c r="I136" s="19" t="n">
        <v>0.333333333333333</v>
      </c>
      <c r="J136" s="19" t="n">
        <v>0.75</v>
      </c>
      <c r="K136" s="19" t="n">
        <v>0.75</v>
      </c>
      <c r="L136" s="19" t="n">
        <v>0.375</v>
      </c>
      <c r="M136" s="19" t="n">
        <v>0.375</v>
      </c>
      <c r="N136" s="19" t="n">
        <v>0</v>
      </c>
      <c r="O136" s="19" t="n">
        <v>0</v>
      </c>
      <c r="P136" s="17" t="n">
        <f aca="false">IF(AND(ISNUMBER(H136),ISNUMBER(I136)),MAX(0,ROUND((I136-H136)*1440,0)-'Bilan agents'!$C$4),0)</f>
        <v>0</v>
      </c>
      <c r="Q136" s="8" t="str">
        <f aca="false">IF(H136="Congé","CP",IF(H136="Férié","F",IF(H136="OFF","R",IF(N136&gt;0,"A",IF(ISNUMBER(I136),"P","NR")))))</f>
        <v>P</v>
      </c>
      <c r="R136" s="18"/>
    </row>
    <row r="137" customFormat="false" ht="15" hidden="false" customHeight="false" outlineLevel="0" collapsed="false">
      <c r="A137" s="18" t="s">
        <v>26</v>
      </c>
      <c r="B137" s="8" t="s">
        <v>27</v>
      </c>
      <c r="C137" s="9" t="n">
        <v>46037</v>
      </c>
      <c r="D137" s="8" t="n">
        <v>2026</v>
      </c>
      <c r="E137" s="8" t="n">
        <v>3</v>
      </c>
      <c r="F137" s="18" t="s">
        <v>122</v>
      </c>
      <c r="G137" s="8" t="s">
        <v>119</v>
      </c>
      <c r="H137" s="19" t="n">
        <v>0.333333333333333</v>
      </c>
      <c r="I137" s="19" t="n">
        <v>0.332638888888889</v>
      </c>
      <c r="J137" s="19" t="n">
        <v>0.75</v>
      </c>
      <c r="K137" s="19" t="n">
        <v>0.75</v>
      </c>
      <c r="L137" s="19" t="n">
        <v>0.375</v>
      </c>
      <c r="M137" s="19" t="n">
        <v>0.375</v>
      </c>
      <c r="N137" s="19" t="n">
        <v>0</v>
      </c>
      <c r="O137" s="19" t="n">
        <v>0</v>
      </c>
      <c r="P137" s="17" t="n">
        <f aca="false">IF(AND(ISNUMBER(H137),ISNUMBER(I137)),MAX(0,ROUND((I137-H137)*1440,0)-'Bilan agents'!$C$4),0)</f>
        <v>0</v>
      </c>
      <c r="Q137" s="8" t="str">
        <f aca="false">IF(H137="Congé","CP",IF(H137="Férié","F",IF(H137="OFF","R",IF(N137&gt;0,"A",IF(ISNUMBER(I137),"P","NR")))))</f>
        <v>P</v>
      </c>
      <c r="R137" s="18"/>
    </row>
    <row r="138" customFormat="false" ht="15" hidden="false" customHeight="false" outlineLevel="0" collapsed="false">
      <c r="A138" s="18" t="s">
        <v>26</v>
      </c>
      <c r="B138" s="8" t="s">
        <v>27</v>
      </c>
      <c r="C138" s="9" t="n">
        <v>46038</v>
      </c>
      <c r="D138" s="8" t="n">
        <v>2026</v>
      </c>
      <c r="E138" s="8" t="n">
        <v>3</v>
      </c>
      <c r="F138" s="18" t="s">
        <v>122</v>
      </c>
      <c r="G138" s="8" t="s">
        <v>120</v>
      </c>
      <c r="H138" s="19" t="n">
        <v>0.333333333333333</v>
      </c>
      <c r="I138" s="19" t="n">
        <v>0.332638888888889</v>
      </c>
      <c r="J138" s="19" t="n">
        <v>0.708333333333333</v>
      </c>
      <c r="K138" s="19" t="n">
        <v>0.708333333333333</v>
      </c>
      <c r="L138" s="19" t="n">
        <v>0.333333333333333</v>
      </c>
      <c r="M138" s="19" t="n">
        <v>0.333333333333333</v>
      </c>
      <c r="N138" s="19" t="n">
        <v>0</v>
      </c>
      <c r="O138" s="19" t="n">
        <v>0</v>
      </c>
      <c r="P138" s="17" t="n">
        <f aca="false">IF(AND(ISNUMBER(H138),ISNUMBER(I138)),MAX(0,ROUND((I138-H138)*1440,0)-'Bilan agents'!$C$4),0)</f>
        <v>0</v>
      </c>
      <c r="Q138" s="8" t="str">
        <f aca="false">IF(H138="Congé","CP",IF(H138="Férié","F",IF(H138="OFF","R",IF(N138&gt;0,"A",IF(ISNUMBER(I138),"P","NR")))))</f>
        <v>P</v>
      </c>
      <c r="R138" s="18"/>
    </row>
    <row r="139" customFormat="false" ht="15" hidden="false" customHeight="false" outlineLevel="0" collapsed="false">
      <c r="A139" s="18" t="s">
        <v>26</v>
      </c>
      <c r="B139" s="8" t="s">
        <v>27</v>
      </c>
      <c r="C139" s="9" t="n">
        <v>46039</v>
      </c>
      <c r="D139" s="8" t="n">
        <v>2026</v>
      </c>
      <c r="E139" s="8" t="n">
        <v>3</v>
      </c>
      <c r="F139" s="18" t="s">
        <v>122</v>
      </c>
      <c r="G139" s="8" t="s">
        <v>121</v>
      </c>
      <c r="H139" s="19" t="s">
        <v>115</v>
      </c>
      <c r="I139" s="19"/>
      <c r="J139" s="19"/>
      <c r="K139" s="19"/>
      <c r="L139" s="19" t="n">
        <v>0</v>
      </c>
      <c r="M139" s="19"/>
      <c r="N139" s="19" t="n">
        <v>0</v>
      </c>
      <c r="O139" s="19" t="n">
        <v>0</v>
      </c>
      <c r="P139" s="17" t="n">
        <f aca="false">IF(AND(ISNUMBER(H139),ISNUMBER(I139)),MAX(0,ROUND((I139-H139)*1440,0)-'Bilan agents'!$C$4),0)</f>
        <v>0</v>
      </c>
      <c r="Q139" s="8" t="str">
        <f aca="false">IF(H139="Congé","CP",IF(H139="Férié","F",IF(H139="OFF","R",IF(N139&gt;0,"A",IF(ISNUMBER(I139),"P","NR")))))</f>
        <v>R</v>
      </c>
      <c r="R139" s="18"/>
    </row>
    <row r="140" customFormat="false" ht="15" hidden="false" customHeight="false" outlineLevel="0" collapsed="false">
      <c r="A140" s="18" t="s">
        <v>26</v>
      </c>
      <c r="B140" s="8" t="s">
        <v>27</v>
      </c>
      <c r="C140" s="9" t="n">
        <v>46040</v>
      </c>
      <c r="D140" s="8" t="n">
        <v>2026</v>
      </c>
      <c r="E140" s="8" t="n">
        <v>3</v>
      </c>
      <c r="F140" s="18" t="s">
        <v>122</v>
      </c>
      <c r="G140" s="8" t="s">
        <v>114</v>
      </c>
      <c r="H140" s="19" t="s">
        <v>115</v>
      </c>
      <c r="I140" s="19"/>
      <c r="J140" s="19"/>
      <c r="K140" s="19"/>
      <c r="L140" s="19" t="n">
        <v>0</v>
      </c>
      <c r="M140" s="19"/>
      <c r="N140" s="19" t="n">
        <v>0</v>
      </c>
      <c r="O140" s="19" t="n">
        <v>0</v>
      </c>
      <c r="P140" s="17" t="n">
        <f aca="false">IF(AND(ISNUMBER(H140),ISNUMBER(I140)),MAX(0,ROUND((I140-H140)*1440,0)-'Bilan agents'!$C$4),0)</f>
        <v>0</v>
      </c>
      <c r="Q140" s="8" t="str">
        <f aca="false">IF(H140="Congé","CP",IF(H140="Férié","F",IF(H140="OFF","R",IF(N140&gt;0,"A",IF(ISNUMBER(I140),"P","NR")))))</f>
        <v>R</v>
      </c>
      <c r="R140" s="18"/>
    </row>
    <row r="141" customFormat="false" ht="15" hidden="false" customHeight="false" outlineLevel="0" collapsed="false">
      <c r="A141" s="18" t="s">
        <v>26</v>
      </c>
      <c r="B141" s="8" t="s">
        <v>27</v>
      </c>
      <c r="C141" s="9" t="n">
        <v>46043</v>
      </c>
      <c r="D141" s="8" t="n">
        <v>2026</v>
      </c>
      <c r="E141" s="8" t="n">
        <v>4</v>
      </c>
      <c r="F141" s="18" t="s">
        <v>122</v>
      </c>
      <c r="G141" s="8" t="s">
        <v>118</v>
      </c>
      <c r="H141" s="19" t="n">
        <v>0.333333333333333</v>
      </c>
      <c r="I141" s="19" t="n">
        <v>0.33125</v>
      </c>
      <c r="J141" s="19" t="n">
        <v>0.75</v>
      </c>
      <c r="K141" s="19" t="n">
        <v>0.75</v>
      </c>
      <c r="L141" s="19" t="n">
        <v>0.375</v>
      </c>
      <c r="M141" s="19" t="n">
        <v>0.375</v>
      </c>
      <c r="N141" s="19" t="n">
        <v>0</v>
      </c>
      <c r="O141" s="19" t="n">
        <v>0.00208333333333333</v>
      </c>
      <c r="P141" s="17" t="n">
        <f aca="false">IF(AND(ISNUMBER(H141),ISNUMBER(I141)),MAX(0,ROUND((I141-H141)*1440,0)-'Bilan agents'!$C$4),0)</f>
        <v>0</v>
      </c>
      <c r="Q141" s="8" t="str">
        <f aca="false">IF(H141="Congé","CP",IF(H141="Férié","F",IF(H141="OFF","R",IF(N141&gt;0,"A",IF(ISNUMBER(I141),"P","NR")))))</f>
        <v>P</v>
      </c>
      <c r="R141" s="18"/>
    </row>
    <row r="142" customFormat="false" ht="15" hidden="false" customHeight="false" outlineLevel="0" collapsed="false">
      <c r="A142" s="18" t="s">
        <v>26</v>
      </c>
      <c r="B142" s="8" t="s">
        <v>27</v>
      </c>
      <c r="C142" s="9" t="n">
        <v>46044</v>
      </c>
      <c r="D142" s="8" t="n">
        <v>2026</v>
      </c>
      <c r="E142" s="8" t="n">
        <v>4</v>
      </c>
      <c r="F142" s="18" t="s">
        <v>122</v>
      </c>
      <c r="G142" s="8" t="s">
        <v>119</v>
      </c>
      <c r="H142" s="19" t="n">
        <v>0.333333333333333</v>
      </c>
      <c r="I142" s="19" t="n">
        <v>0.332638888888889</v>
      </c>
      <c r="J142" s="19" t="n">
        <v>0.75</v>
      </c>
      <c r="K142" s="19" t="n">
        <v>0.75</v>
      </c>
      <c r="L142" s="19" t="n">
        <v>0.375</v>
      </c>
      <c r="M142" s="19" t="n">
        <v>0.375</v>
      </c>
      <c r="N142" s="19" t="n">
        <v>0</v>
      </c>
      <c r="O142" s="19" t="n">
        <v>0</v>
      </c>
      <c r="P142" s="17" t="n">
        <f aca="false">IF(AND(ISNUMBER(H142),ISNUMBER(I142)),MAX(0,ROUND((I142-H142)*1440,0)-'Bilan agents'!$C$4),0)</f>
        <v>0</v>
      </c>
      <c r="Q142" s="8" t="str">
        <f aca="false">IF(H142="Congé","CP",IF(H142="Férié","F",IF(H142="OFF","R",IF(N142&gt;0,"A",IF(ISNUMBER(I142),"P","NR")))))</f>
        <v>P</v>
      </c>
      <c r="R142" s="18"/>
    </row>
    <row r="143" customFormat="false" ht="15" hidden="false" customHeight="false" outlineLevel="0" collapsed="false">
      <c r="A143" s="18" t="s">
        <v>26</v>
      </c>
      <c r="B143" s="8" t="s">
        <v>27</v>
      </c>
      <c r="C143" s="9" t="n">
        <v>46045</v>
      </c>
      <c r="D143" s="8" t="n">
        <v>2026</v>
      </c>
      <c r="E143" s="8" t="n">
        <v>4</v>
      </c>
      <c r="F143" s="18" t="s">
        <v>122</v>
      </c>
      <c r="G143" s="8" t="s">
        <v>120</v>
      </c>
      <c r="H143" s="19" t="n">
        <v>0.333333333333333</v>
      </c>
      <c r="I143" s="19" t="n">
        <v>0.332638888888889</v>
      </c>
      <c r="J143" s="19" t="n">
        <v>0.708333333333333</v>
      </c>
      <c r="K143" s="19" t="n">
        <v>0.708333333333333</v>
      </c>
      <c r="L143" s="19" t="n">
        <v>0.333333333333333</v>
      </c>
      <c r="M143" s="19" t="n">
        <v>0.333333333333333</v>
      </c>
      <c r="N143" s="19" t="n">
        <v>0</v>
      </c>
      <c r="O143" s="19" t="n">
        <v>0</v>
      </c>
      <c r="P143" s="17" t="n">
        <f aca="false">IF(AND(ISNUMBER(H143),ISNUMBER(I143)),MAX(0,ROUND((I143-H143)*1440,0)-'Bilan agents'!$C$4),0)</f>
        <v>0</v>
      </c>
      <c r="Q143" s="8" t="str">
        <f aca="false">IF(H143="Congé","CP",IF(H143="Férié","F",IF(H143="OFF","R",IF(N143&gt;0,"A",IF(ISNUMBER(I143),"P","NR")))))</f>
        <v>P</v>
      </c>
      <c r="R143" s="18"/>
    </row>
    <row r="144" customFormat="false" ht="15" hidden="false" customHeight="false" outlineLevel="0" collapsed="false">
      <c r="A144" s="18" t="s">
        <v>26</v>
      </c>
      <c r="B144" s="8" t="s">
        <v>27</v>
      </c>
      <c r="C144" s="9" t="n">
        <v>46046</v>
      </c>
      <c r="D144" s="8" t="n">
        <v>2026</v>
      </c>
      <c r="E144" s="8" t="n">
        <v>4</v>
      </c>
      <c r="F144" s="18" t="s">
        <v>122</v>
      </c>
      <c r="G144" s="8" t="s">
        <v>121</v>
      </c>
      <c r="H144" s="19" t="s">
        <v>115</v>
      </c>
      <c r="I144" s="19"/>
      <c r="J144" s="19"/>
      <c r="K144" s="19"/>
      <c r="L144" s="19" t="n">
        <v>0</v>
      </c>
      <c r="M144" s="19"/>
      <c r="N144" s="19" t="n">
        <v>0</v>
      </c>
      <c r="O144" s="19" t="n">
        <v>0</v>
      </c>
      <c r="P144" s="17" t="n">
        <f aca="false">IF(AND(ISNUMBER(H144),ISNUMBER(I144)),MAX(0,ROUND((I144-H144)*1440,0)-'Bilan agents'!$C$4),0)</f>
        <v>0</v>
      </c>
      <c r="Q144" s="8" t="str">
        <f aca="false">IF(H144="Congé","CP",IF(H144="Férié","F",IF(H144="OFF","R",IF(N144&gt;0,"A",IF(ISNUMBER(I144),"P","NR")))))</f>
        <v>R</v>
      </c>
      <c r="R144" s="18"/>
    </row>
    <row r="145" customFormat="false" ht="15" hidden="false" customHeight="false" outlineLevel="0" collapsed="false">
      <c r="A145" s="18" t="s">
        <v>26</v>
      </c>
      <c r="B145" s="8" t="s">
        <v>27</v>
      </c>
      <c r="C145" s="9" t="n">
        <v>46047</v>
      </c>
      <c r="D145" s="8" t="n">
        <v>2026</v>
      </c>
      <c r="E145" s="8" t="n">
        <v>4</v>
      </c>
      <c r="F145" s="18" t="s">
        <v>122</v>
      </c>
      <c r="G145" s="8" t="s">
        <v>114</v>
      </c>
      <c r="H145" s="19" t="s">
        <v>115</v>
      </c>
      <c r="I145" s="19"/>
      <c r="J145" s="19"/>
      <c r="K145" s="19"/>
      <c r="L145" s="19" t="n">
        <v>0</v>
      </c>
      <c r="M145" s="19"/>
      <c r="N145" s="19" t="n">
        <v>0</v>
      </c>
      <c r="O145" s="19" t="n">
        <v>0</v>
      </c>
      <c r="P145" s="17" t="n">
        <f aca="false">IF(AND(ISNUMBER(H145),ISNUMBER(I145)),MAX(0,ROUND((I145-H145)*1440,0)-'Bilan agents'!$C$4),0)</f>
        <v>0</v>
      </c>
      <c r="Q145" s="8" t="str">
        <f aca="false">IF(H145="Congé","CP",IF(H145="Férié","F",IF(H145="OFF","R",IF(N145&gt;0,"A",IF(ISNUMBER(I145),"P","NR")))))</f>
        <v>R</v>
      </c>
      <c r="R145" s="18"/>
    </row>
    <row r="146" customFormat="false" ht="15" hidden="false" customHeight="false" outlineLevel="0" collapsed="false">
      <c r="A146" s="18" t="s">
        <v>26</v>
      </c>
      <c r="B146" s="8" t="s">
        <v>27</v>
      </c>
      <c r="C146" s="9" t="n">
        <v>46048</v>
      </c>
      <c r="D146" s="8" t="n">
        <v>2026</v>
      </c>
      <c r="E146" s="8" t="n">
        <v>5</v>
      </c>
      <c r="F146" s="18" t="s">
        <v>122</v>
      </c>
      <c r="G146" s="8" t="s">
        <v>116</v>
      </c>
      <c r="H146" s="19" t="n">
        <v>0.333333333333333</v>
      </c>
      <c r="I146" s="19" t="n">
        <v>0.333333333333333</v>
      </c>
      <c r="J146" s="19" t="n">
        <v>0.75</v>
      </c>
      <c r="K146" s="19" t="n">
        <v>0.75</v>
      </c>
      <c r="L146" s="19" t="n">
        <v>0.375</v>
      </c>
      <c r="M146" s="19" t="n">
        <v>0.375</v>
      </c>
      <c r="N146" s="19" t="n">
        <v>0</v>
      </c>
      <c r="O146" s="19" t="n">
        <v>0</v>
      </c>
      <c r="P146" s="17" t="n">
        <f aca="false">IF(AND(ISNUMBER(H146),ISNUMBER(I146)),MAX(0,ROUND((I146-H146)*1440,0)-'Bilan agents'!$C$4),0)</f>
        <v>0</v>
      </c>
      <c r="Q146" s="8" t="str">
        <f aca="false">IF(H146="Congé","CP",IF(H146="Férié","F",IF(H146="OFF","R",IF(N146&gt;0,"A",IF(ISNUMBER(I146),"P","NR")))))</f>
        <v>P</v>
      </c>
      <c r="R146" s="18"/>
    </row>
    <row r="147" customFormat="false" ht="15" hidden="false" customHeight="false" outlineLevel="0" collapsed="false">
      <c r="A147" s="18" t="s">
        <v>26</v>
      </c>
      <c r="B147" s="8" t="s">
        <v>27</v>
      </c>
      <c r="C147" s="9" t="n">
        <v>46049</v>
      </c>
      <c r="D147" s="8" t="n">
        <v>2026</v>
      </c>
      <c r="E147" s="8" t="n">
        <v>5</v>
      </c>
      <c r="F147" s="18" t="s">
        <v>122</v>
      </c>
      <c r="G147" s="8" t="s">
        <v>117</v>
      </c>
      <c r="H147" s="19" t="n">
        <v>0.333333333333333</v>
      </c>
      <c r="I147" s="19" t="n">
        <v>0.332638888888889</v>
      </c>
      <c r="J147" s="19" t="n">
        <v>0.75</v>
      </c>
      <c r="K147" s="19" t="n">
        <v>0.75</v>
      </c>
      <c r="L147" s="19" t="n">
        <v>0.375</v>
      </c>
      <c r="M147" s="19" t="n">
        <v>0.375</v>
      </c>
      <c r="N147" s="19" t="n">
        <v>0</v>
      </c>
      <c r="O147" s="19" t="n">
        <v>0</v>
      </c>
      <c r="P147" s="17" t="n">
        <f aca="false">IF(AND(ISNUMBER(H147),ISNUMBER(I147)),MAX(0,ROUND((I147-H147)*1440,0)-'Bilan agents'!$C$4),0)</f>
        <v>0</v>
      </c>
      <c r="Q147" s="8" t="str">
        <f aca="false">IF(H147="Congé","CP",IF(H147="Férié","F",IF(H147="OFF","R",IF(N147&gt;0,"A",IF(ISNUMBER(I147),"P","NR")))))</f>
        <v>P</v>
      </c>
      <c r="R147" s="18"/>
    </row>
    <row r="148" customFormat="false" ht="15" hidden="false" customHeight="false" outlineLevel="0" collapsed="false">
      <c r="A148" s="18" t="s">
        <v>26</v>
      </c>
      <c r="B148" s="8" t="s">
        <v>27</v>
      </c>
      <c r="C148" s="9" t="n">
        <v>46050</v>
      </c>
      <c r="D148" s="8" t="n">
        <v>2026</v>
      </c>
      <c r="E148" s="8" t="n">
        <v>5</v>
      </c>
      <c r="F148" s="18" t="s">
        <v>122</v>
      </c>
      <c r="G148" s="8" t="s">
        <v>118</v>
      </c>
      <c r="H148" s="19" t="n">
        <v>0.333333333333333</v>
      </c>
      <c r="I148" s="19" t="n">
        <v>0.332638888888889</v>
      </c>
      <c r="J148" s="19" t="n">
        <v>0.75</v>
      </c>
      <c r="K148" s="19" t="n">
        <v>0.75</v>
      </c>
      <c r="L148" s="19" t="n">
        <v>0.375</v>
      </c>
      <c r="M148" s="19" t="n">
        <v>0.375</v>
      </c>
      <c r="N148" s="19" t="n">
        <v>0</v>
      </c>
      <c r="O148" s="19" t="n">
        <v>0</v>
      </c>
      <c r="P148" s="17" t="n">
        <f aca="false">IF(AND(ISNUMBER(H148),ISNUMBER(I148)),MAX(0,ROUND((I148-H148)*1440,0)-'Bilan agents'!$C$4),0)</f>
        <v>0</v>
      </c>
      <c r="Q148" s="8" t="str">
        <f aca="false">IF(H148="Congé","CP",IF(H148="Férié","F",IF(H148="OFF","R",IF(N148&gt;0,"A",IF(ISNUMBER(I148),"P","NR")))))</f>
        <v>P</v>
      </c>
      <c r="R148" s="18"/>
    </row>
    <row r="149" customFormat="false" ht="15" hidden="false" customHeight="false" outlineLevel="0" collapsed="false">
      <c r="A149" s="18" t="s">
        <v>26</v>
      </c>
      <c r="B149" s="8" t="s">
        <v>27</v>
      </c>
      <c r="C149" s="9" t="n">
        <v>46051</v>
      </c>
      <c r="D149" s="8" t="n">
        <v>2026</v>
      </c>
      <c r="E149" s="8" t="n">
        <v>5</v>
      </c>
      <c r="F149" s="18" t="s">
        <v>122</v>
      </c>
      <c r="G149" s="8" t="s">
        <v>119</v>
      </c>
      <c r="H149" s="19" t="n">
        <v>0.333333333333333</v>
      </c>
      <c r="I149" s="19" t="n">
        <v>0.331944444444444</v>
      </c>
      <c r="J149" s="19" t="n">
        <v>0.75</v>
      </c>
      <c r="K149" s="19" t="n">
        <v>0.75</v>
      </c>
      <c r="L149" s="19" t="n">
        <v>0.375</v>
      </c>
      <c r="M149" s="19" t="n">
        <v>0.375</v>
      </c>
      <c r="N149" s="19" t="n">
        <v>0</v>
      </c>
      <c r="O149" s="19" t="n">
        <v>0.00138888888888889</v>
      </c>
      <c r="P149" s="17" t="n">
        <f aca="false">IF(AND(ISNUMBER(H149),ISNUMBER(I149)),MAX(0,ROUND((I149-H149)*1440,0)-'Bilan agents'!$C$4),0)</f>
        <v>0</v>
      </c>
      <c r="Q149" s="8" t="str">
        <f aca="false">IF(H149="Congé","CP",IF(H149="Férié","F",IF(H149="OFF","R",IF(N149&gt;0,"A",IF(ISNUMBER(I149),"P","NR")))))</f>
        <v>P</v>
      </c>
      <c r="R149" s="18"/>
    </row>
    <row r="150" customFormat="false" ht="15" hidden="false" customHeight="false" outlineLevel="0" collapsed="false">
      <c r="A150" s="18" t="s">
        <v>26</v>
      </c>
      <c r="B150" s="8" t="s">
        <v>27</v>
      </c>
      <c r="C150" s="9" t="n">
        <v>46052</v>
      </c>
      <c r="D150" s="8" t="n">
        <v>2026</v>
      </c>
      <c r="E150" s="8" t="n">
        <v>5</v>
      </c>
      <c r="F150" s="18" t="s">
        <v>122</v>
      </c>
      <c r="G150" s="8" t="s">
        <v>120</v>
      </c>
      <c r="H150" s="19" t="n">
        <v>0.333333333333333</v>
      </c>
      <c r="I150" s="19" t="n">
        <v>0.333333333333333</v>
      </c>
      <c r="J150" s="19" t="n">
        <v>0.708333333333333</v>
      </c>
      <c r="K150" s="19" t="n">
        <v>0.708333333333333</v>
      </c>
      <c r="L150" s="19" t="n">
        <v>0.333333333333333</v>
      </c>
      <c r="M150" s="19" t="n">
        <v>0.333333333333333</v>
      </c>
      <c r="N150" s="19" t="n">
        <v>0</v>
      </c>
      <c r="O150" s="19" t="n">
        <v>0</v>
      </c>
      <c r="P150" s="17" t="n">
        <f aca="false">IF(AND(ISNUMBER(H150),ISNUMBER(I150)),MAX(0,ROUND((I150-H150)*1440,0)-'Bilan agents'!$C$4),0)</f>
        <v>0</v>
      </c>
      <c r="Q150" s="8" t="str">
        <f aca="false">IF(H150="Congé","CP",IF(H150="Férié","F",IF(H150="OFF","R",IF(N150&gt;0,"A",IF(ISNUMBER(I150),"P","NR")))))</f>
        <v>P</v>
      </c>
      <c r="R150" s="18"/>
    </row>
    <row r="151" customFormat="false" ht="15" hidden="false" customHeight="false" outlineLevel="0" collapsed="false">
      <c r="A151" s="18" t="s">
        <v>26</v>
      </c>
      <c r="B151" s="8" t="s">
        <v>27</v>
      </c>
      <c r="C151" s="9" t="n">
        <v>46053</v>
      </c>
      <c r="D151" s="8" t="n">
        <v>2026</v>
      </c>
      <c r="E151" s="8" t="n">
        <v>5</v>
      </c>
      <c r="F151" s="18" t="s">
        <v>122</v>
      </c>
      <c r="G151" s="8" t="s">
        <v>121</v>
      </c>
      <c r="H151" s="19" t="s">
        <v>115</v>
      </c>
      <c r="I151" s="19"/>
      <c r="J151" s="19"/>
      <c r="K151" s="19"/>
      <c r="L151" s="19" t="n">
        <v>0</v>
      </c>
      <c r="M151" s="19"/>
      <c r="N151" s="19" t="n">
        <v>0</v>
      </c>
      <c r="O151" s="19" t="n">
        <v>0</v>
      </c>
      <c r="P151" s="17" t="n">
        <f aca="false">IF(AND(ISNUMBER(H151),ISNUMBER(I151)),MAX(0,ROUND((I151-H151)*1440,0)-'Bilan agents'!$C$4),0)</f>
        <v>0</v>
      </c>
      <c r="Q151" s="8" t="str">
        <f aca="false">IF(H151="Congé","CP",IF(H151="Férié","F",IF(H151="OFF","R",IF(N151&gt;0,"A",IF(ISNUMBER(I151),"P","NR")))))</f>
        <v>R</v>
      </c>
      <c r="R151" s="18"/>
    </row>
    <row r="152" customFormat="false" ht="15" hidden="false" customHeight="false" outlineLevel="0" collapsed="false">
      <c r="A152" s="18" t="s">
        <v>26</v>
      </c>
      <c r="B152" s="8" t="s">
        <v>27</v>
      </c>
      <c r="C152" s="9" t="n">
        <v>46054</v>
      </c>
      <c r="D152" s="8" t="n">
        <v>2026</v>
      </c>
      <c r="E152" s="8" t="n">
        <v>5</v>
      </c>
      <c r="F152" s="18" t="s">
        <v>123</v>
      </c>
      <c r="G152" s="8" t="s">
        <v>114</v>
      </c>
      <c r="H152" s="19" t="s">
        <v>115</v>
      </c>
      <c r="I152" s="19"/>
      <c r="J152" s="19"/>
      <c r="K152" s="19"/>
      <c r="L152" s="19" t="n">
        <v>0</v>
      </c>
      <c r="M152" s="19"/>
      <c r="N152" s="19" t="n">
        <v>0</v>
      </c>
      <c r="O152" s="19" t="n">
        <v>0</v>
      </c>
      <c r="P152" s="17" t="n">
        <f aca="false">IF(AND(ISNUMBER(H152),ISNUMBER(I152)),MAX(0,ROUND((I152-H152)*1440,0)-'Bilan agents'!$C$4),0)</f>
        <v>0</v>
      </c>
      <c r="Q152" s="8" t="str">
        <f aca="false">IF(H152="Congé","CP",IF(H152="Férié","F",IF(H152="OFF","R",IF(N152&gt;0,"A",IF(ISNUMBER(I152),"P","NR")))))</f>
        <v>R</v>
      </c>
      <c r="R152" s="18"/>
    </row>
    <row r="153" customFormat="false" ht="15" hidden="false" customHeight="false" outlineLevel="0" collapsed="false">
      <c r="A153" s="18" t="s">
        <v>26</v>
      </c>
      <c r="B153" s="8" t="s">
        <v>27</v>
      </c>
      <c r="C153" s="9" t="n">
        <v>46055</v>
      </c>
      <c r="D153" s="8" t="n">
        <v>2026</v>
      </c>
      <c r="E153" s="8" t="n">
        <v>6</v>
      </c>
      <c r="F153" s="18" t="s">
        <v>123</v>
      </c>
      <c r="G153" s="8" t="s">
        <v>116</v>
      </c>
      <c r="H153" s="19" t="n">
        <v>0.333333333333333</v>
      </c>
      <c r="I153" s="19" t="n">
        <v>0.332638888888889</v>
      </c>
      <c r="J153" s="19" t="n">
        <v>0.75</v>
      </c>
      <c r="K153" s="19" t="n">
        <v>0.75</v>
      </c>
      <c r="L153" s="19" t="n">
        <v>0.375</v>
      </c>
      <c r="M153" s="19" t="n">
        <v>0.375</v>
      </c>
      <c r="N153" s="19" t="n">
        <v>0</v>
      </c>
      <c r="O153" s="19" t="n">
        <v>0</v>
      </c>
      <c r="P153" s="17" t="n">
        <f aca="false">IF(AND(ISNUMBER(H153),ISNUMBER(I153)),MAX(0,ROUND((I153-H153)*1440,0)-'Bilan agents'!$C$4),0)</f>
        <v>0</v>
      </c>
      <c r="Q153" s="8" t="str">
        <f aca="false">IF(H153="Congé","CP",IF(H153="Férié","F",IF(H153="OFF","R",IF(N153&gt;0,"A",IF(ISNUMBER(I153),"P","NR")))))</f>
        <v>P</v>
      </c>
      <c r="R153" s="18"/>
    </row>
    <row r="154" customFormat="false" ht="15" hidden="false" customHeight="false" outlineLevel="0" collapsed="false">
      <c r="A154" s="18" t="s">
        <v>26</v>
      </c>
      <c r="B154" s="8" t="s">
        <v>27</v>
      </c>
      <c r="C154" s="9" t="n">
        <v>46056</v>
      </c>
      <c r="D154" s="8" t="n">
        <v>2026</v>
      </c>
      <c r="E154" s="8" t="n">
        <v>6</v>
      </c>
      <c r="F154" s="18" t="s">
        <v>123</v>
      </c>
      <c r="G154" s="8" t="s">
        <v>117</v>
      </c>
      <c r="H154" s="19" t="n">
        <v>0.333333333333333</v>
      </c>
      <c r="I154" s="19" t="n">
        <v>0.332638888888889</v>
      </c>
      <c r="J154" s="19" t="n">
        <v>0.75</v>
      </c>
      <c r="K154" s="19" t="n">
        <v>0.75</v>
      </c>
      <c r="L154" s="19" t="n">
        <v>0.375</v>
      </c>
      <c r="M154" s="19" t="n">
        <v>0.375</v>
      </c>
      <c r="N154" s="19" t="n">
        <v>0</v>
      </c>
      <c r="O154" s="19" t="n">
        <v>0</v>
      </c>
      <c r="P154" s="17" t="n">
        <f aca="false">IF(AND(ISNUMBER(H154),ISNUMBER(I154)),MAX(0,ROUND((I154-H154)*1440,0)-'Bilan agents'!$C$4),0)</f>
        <v>0</v>
      </c>
      <c r="Q154" s="8" t="str">
        <f aca="false">IF(H154="Congé","CP",IF(H154="Férié","F",IF(H154="OFF","R",IF(N154&gt;0,"A",IF(ISNUMBER(I154),"P","NR")))))</f>
        <v>P</v>
      </c>
      <c r="R154" s="18"/>
    </row>
    <row r="155" customFormat="false" ht="15" hidden="false" customHeight="false" outlineLevel="0" collapsed="false">
      <c r="A155" s="18" t="s">
        <v>26</v>
      </c>
      <c r="B155" s="8" t="s">
        <v>27</v>
      </c>
      <c r="C155" s="9" t="n">
        <v>46057</v>
      </c>
      <c r="D155" s="8" t="n">
        <v>2026</v>
      </c>
      <c r="E155" s="8" t="n">
        <v>6</v>
      </c>
      <c r="F155" s="18" t="s">
        <v>123</v>
      </c>
      <c r="G155" s="8" t="s">
        <v>118</v>
      </c>
      <c r="H155" s="19" t="n">
        <v>0.333333333333333</v>
      </c>
      <c r="I155" s="19" t="n">
        <v>0.331944444444444</v>
      </c>
      <c r="J155" s="19" t="n">
        <v>0.75</v>
      </c>
      <c r="K155" s="19" t="n">
        <v>0.75</v>
      </c>
      <c r="L155" s="19" t="n">
        <v>0.375</v>
      </c>
      <c r="M155" s="19" t="n">
        <v>0.375</v>
      </c>
      <c r="N155" s="19" t="n">
        <v>0</v>
      </c>
      <c r="O155" s="19" t="n">
        <v>0.00138888888888889</v>
      </c>
      <c r="P155" s="17" t="n">
        <f aca="false">IF(AND(ISNUMBER(H155),ISNUMBER(I155)),MAX(0,ROUND((I155-H155)*1440,0)-'Bilan agents'!$C$4),0)</f>
        <v>0</v>
      </c>
      <c r="Q155" s="8" t="str">
        <f aca="false">IF(H155="Congé","CP",IF(H155="Férié","F",IF(H155="OFF","R",IF(N155&gt;0,"A",IF(ISNUMBER(I155),"P","NR")))))</f>
        <v>P</v>
      </c>
      <c r="R155" s="18"/>
    </row>
    <row r="156" customFormat="false" ht="15" hidden="false" customHeight="false" outlineLevel="0" collapsed="false">
      <c r="A156" s="18" t="s">
        <v>26</v>
      </c>
      <c r="B156" s="8" t="s">
        <v>27</v>
      </c>
      <c r="C156" s="9" t="n">
        <v>46058</v>
      </c>
      <c r="D156" s="8" t="n">
        <v>2026</v>
      </c>
      <c r="E156" s="8" t="n">
        <v>6</v>
      </c>
      <c r="F156" s="18" t="s">
        <v>123</v>
      </c>
      <c r="G156" s="8" t="s">
        <v>119</v>
      </c>
      <c r="H156" s="19" t="n">
        <v>0.333333333333333</v>
      </c>
      <c r="I156" s="19" t="n">
        <v>0.330555555555556</v>
      </c>
      <c r="J156" s="19" t="n">
        <v>0.75</v>
      </c>
      <c r="K156" s="19" t="n">
        <v>0.75</v>
      </c>
      <c r="L156" s="19" t="n">
        <v>0.375</v>
      </c>
      <c r="M156" s="19" t="n">
        <v>0.375</v>
      </c>
      <c r="N156" s="19" t="n">
        <v>0</v>
      </c>
      <c r="O156" s="19" t="n">
        <v>0.00277777777777778</v>
      </c>
      <c r="P156" s="17" t="n">
        <f aca="false">IF(AND(ISNUMBER(H156),ISNUMBER(I156)),MAX(0,ROUND((I156-H156)*1440,0)-'Bilan agents'!$C$4),0)</f>
        <v>0</v>
      </c>
      <c r="Q156" s="8" t="str">
        <f aca="false">IF(H156="Congé","CP",IF(H156="Férié","F",IF(H156="OFF","R",IF(N156&gt;0,"A",IF(ISNUMBER(I156),"P","NR")))))</f>
        <v>P</v>
      </c>
      <c r="R156" s="18"/>
    </row>
    <row r="157" customFormat="false" ht="15" hidden="false" customHeight="false" outlineLevel="0" collapsed="false">
      <c r="A157" s="18" t="s">
        <v>26</v>
      </c>
      <c r="B157" s="8" t="s">
        <v>27</v>
      </c>
      <c r="C157" s="9" t="n">
        <v>46059</v>
      </c>
      <c r="D157" s="8" t="n">
        <v>2026</v>
      </c>
      <c r="E157" s="8" t="n">
        <v>6</v>
      </c>
      <c r="F157" s="18" t="s">
        <v>123</v>
      </c>
      <c r="G157" s="8" t="s">
        <v>120</v>
      </c>
      <c r="H157" s="19" t="n">
        <v>0.333333333333333</v>
      </c>
      <c r="I157" s="19" t="n">
        <v>0.332638888888889</v>
      </c>
      <c r="J157" s="19" t="n">
        <v>0.708333333333333</v>
      </c>
      <c r="K157" s="19" t="n">
        <v>0.708333333333333</v>
      </c>
      <c r="L157" s="19" t="n">
        <v>0.333333333333333</v>
      </c>
      <c r="M157" s="19" t="n">
        <v>0.333333333333333</v>
      </c>
      <c r="N157" s="19" t="n">
        <v>0</v>
      </c>
      <c r="O157" s="19" t="n">
        <v>0</v>
      </c>
      <c r="P157" s="17" t="n">
        <f aca="false">IF(AND(ISNUMBER(H157),ISNUMBER(I157)),MAX(0,ROUND((I157-H157)*1440,0)-'Bilan agents'!$C$4),0)</f>
        <v>0</v>
      </c>
      <c r="Q157" s="8" t="str">
        <f aca="false">IF(H157="Congé","CP",IF(H157="Férié","F",IF(H157="OFF","R",IF(N157&gt;0,"A",IF(ISNUMBER(I157),"P","NR")))))</f>
        <v>P</v>
      </c>
      <c r="R157" s="18"/>
    </row>
    <row r="158" customFormat="false" ht="15" hidden="false" customHeight="false" outlineLevel="0" collapsed="false">
      <c r="A158" s="18" t="s">
        <v>26</v>
      </c>
      <c r="B158" s="8" t="s">
        <v>27</v>
      </c>
      <c r="C158" s="9" t="n">
        <v>46060</v>
      </c>
      <c r="D158" s="8" t="n">
        <v>2026</v>
      </c>
      <c r="E158" s="8" t="n">
        <v>6</v>
      </c>
      <c r="F158" s="18" t="s">
        <v>123</v>
      </c>
      <c r="G158" s="8" t="s">
        <v>121</v>
      </c>
      <c r="H158" s="19" t="s">
        <v>115</v>
      </c>
      <c r="I158" s="19"/>
      <c r="J158" s="19"/>
      <c r="K158" s="19"/>
      <c r="L158" s="19" t="n">
        <v>0</v>
      </c>
      <c r="M158" s="19"/>
      <c r="N158" s="19" t="n">
        <v>0</v>
      </c>
      <c r="O158" s="19" t="n">
        <v>0</v>
      </c>
      <c r="P158" s="17" t="n">
        <f aca="false">IF(AND(ISNUMBER(H158),ISNUMBER(I158)),MAX(0,ROUND((I158-H158)*1440,0)-'Bilan agents'!$C$4),0)</f>
        <v>0</v>
      </c>
      <c r="Q158" s="8" t="str">
        <f aca="false">IF(H158="Congé","CP",IF(H158="Férié","F",IF(H158="OFF","R",IF(N158&gt;0,"A",IF(ISNUMBER(I158),"P","NR")))))</f>
        <v>R</v>
      </c>
      <c r="R158" s="18"/>
    </row>
    <row r="159" customFormat="false" ht="15" hidden="false" customHeight="false" outlineLevel="0" collapsed="false">
      <c r="A159" s="18" t="s">
        <v>26</v>
      </c>
      <c r="B159" s="8" t="s">
        <v>27</v>
      </c>
      <c r="C159" s="9" t="n">
        <v>46061</v>
      </c>
      <c r="D159" s="8" t="n">
        <v>2026</v>
      </c>
      <c r="E159" s="8" t="n">
        <v>6</v>
      </c>
      <c r="F159" s="18" t="s">
        <v>123</v>
      </c>
      <c r="G159" s="8" t="s">
        <v>114</v>
      </c>
      <c r="H159" s="19" t="s">
        <v>115</v>
      </c>
      <c r="I159" s="19"/>
      <c r="J159" s="19"/>
      <c r="K159" s="19"/>
      <c r="L159" s="19" t="n">
        <v>0</v>
      </c>
      <c r="M159" s="19"/>
      <c r="N159" s="19" t="n">
        <v>0</v>
      </c>
      <c r="O159" s="19" t="n">
        <v>0</v>
      </c>
      <c r="P159" s="17" t="n">
        <f aca="false">IF(AND(ISNUMBER(H159),ISNUMBER(I159)),MAX(0,ROUND((I159-H159)*1440,0)-'Bilan agents'!$C$4),0)</f>
        <v>0</v>
      </c>
      <c r="Q159" s="8" t="str">
        <f aca="false">IF(H159="Congé","CP",IF(H159="Férié","F",IF(H159="OFF","R",IF(N159&gt;0,"A",IF(ISNUMBER(I159),"P","NR")))))</f>
        <v>R</v>
      </c>
      <c r="R159" s="18"/>
    </row>
    <row r="160" customFormat="false" ht="15" hidden="false" customHeight="false" outlineLevel="0" collapsed="false">
      <c r="A160" s="18" t="s">
        <v>26</v>
      </c>
      <c r="B160" s="8" t="s">
        <v>27</v>
      </c>
      <c r="C160" s="9" t="n">
        <v>46062</v>
      </c>
      <c r="D160" s="8" t="n">
        <v>2026</v>
      </c>
      <c r="E160" s="8" t="n">
        <v>7</v>
      </c>
      <c r="F160" s="18" t="s">
        <v>123</v>
      </c>
      <c r="G160" s="8" t="s">
        <v>116</v>
      </c>
      <c r="H160" s="19" t="n">
        <v>0.333333333333333</v>
      </c>
      <c r="I160" s="19" t="n">
        <v>0.332638888888889</v>
      </c>
      <c r="J160" s="19" t="n">
        <v>0.75</v>
      </c>
      <c r="K160" s="19" t="n">
        <v>0.75</v>
      </c>
      <c r="L160" s="19" t="n">
        <v>0.375</v>
      </c>
      <c r="M160" s="19" t="n">
        <v>0.375</v>
      </c>
      <c r="N160" s="19" t="n">
        <v>0</v>
      </c>
      <c r="O160" s="19" t="n">
        <v>0</v>
      </c>
      <c r="P160" s="17" t="n">
        <f aca="false">IF(AND(ISNUMBER(H160),ISNUMBER(I160)),MAX(0,ROUND((I160-H160)*1440,0)-'Bilan agents'!$C$4),0)</f>
        <v>0</v>
      </c>
      <c r="Q160" s="8" t="str">
        <f aca="false">IF(H160="Congé","CP",IF(H160="Férié","F",IF(H160="OFF","R",IF(N160&gt;0,"A",IF(ISNUMBER(I160),"P","NR")))))</f>
        <v>P</v>
      </c>
      <c r="R160" s="18"/>
    </row>
    <row r="161" customFormat="false" ht="15" hidden="false" customHeight="false" outlineLevel="0" collapsed="false">
      <c r="A161" s="18" t="s">
        <v>26</v>
      </c>
      <c r="B161" s="8" t="s">
        <v>27</v>
      </c>
      <c r="C161" s="9" t="n">
        <v>46063</v>
      </c>
      <c r="D161" s="8" t="n">
        <v>2026</v>
      </c>
      <c r="E161" s="8" t="n">
        <v>7</v>
      </c>
      <c r="F161" s="18" t="s">
        <v>123</v>
      </c>
      <c r="G161" s="8" t="s">
        <v>117</v>
      </c>
      <c r="H161" s="19" t="n">
        <v>0.333333333333333</v>
      </c>
      <c r="I161" s="19" t="n">
        <v>0.332638888888889</v>
      </c>
      <c r="J161" s="19" t="n">
        <v>0.75</v>
      </c>
      <c r="K161" s="19" t="n">
        <v>0.75</v>
      </c>
      <c r="L161" s="19" t="n">
        <v>0.375</v>
      </c>
      <c r="M161" s="19" t="n">
        <v>0.375</v>
      </c>
      <c r="N161" s="19" t="n">
        <v>0</v>
      </c>
      <c r="O161" s="19" t="n">
        <v>0</v>
      </c>
      <c r="P161" s="17" t="n">
        <f aca="false">IF(AND(ISNUMBER(H161),ISNUMBER(I161)),MAX(0,ROUND((I161-H161)*1440,0)-'Bilan agents'!$C$4),0)</f>
        <v>0</v>
      </c>
      <c r="Q161" s="8" t="str">
        <f aca="false">IF(H161="Congé","CP",IF(H161="Férié","F",IF(H161="OFF","R",IF(N161&gt;0,"A",IF(ISNUMBER(I161),"P","NR")))))</f>
        <v>P</v>
      </c>
      <c r="R161" s="18"/>
    </row>
    <row r="162" customFormat="false" ht="15" hidden="false" customHeight="false" outlineLevel="0" collapsed="false">
      <c r="A162" s="18" t="s">
        <v>26</v>
      </c>
      <c r="B162" s="8" t="s">
        <v>27</v>
      </c>
      <c r="C162" s="9" t="n">
        <v>46064</v>
      </c>
      <c r="D162" s="8" t="n">
        <v>2026</v>
      </c>
      <c r="E162" s="8" t="n">
        <v>7</v>
      </c>
      <c r="F162" s="18" t="s">
        <v>123</v>
      </c>
      <c r="G162" s="8" t="s">
        <v>118</v>
      </c>
      <c r="H162" s="19" t="n">
        <v>0.333333333333333</v>
      </c>
      <c r="I162" s="19" t="n">
        <v>0.332638888888889</v>
      </c>
      <c r="J162" s="19" t="n">
        <v>0.75</v>
      </c>
      <c r="K162" s="19" t="n">
        <v>0.75</v>
      </c>
      <c r="L162" s="19" t="n">
        <v>0.375</v>
      </c>
      <c r="M162" s="19" t="n">
        <v>0.375</v>
      </c>
      <c r="N162" s="19" t="n">
        <v>0</v>
      </c>
      <c r="O162" s="19" t="n">
        <v>0</v>
      </c>
      <c r="P162" s="17" t="n">
        <f aca="false">IF(AND(ISNUMBER(H162),ISNUMBER(I162)),MAX(0,ROUND((I162-H162)*1440,0)-'Bilan agents'!$C$4),0)</f>
        <v>0</v>
      </c>
      <c r="Q162" s="8" t="str">
        <f aca="false">IF(H162="Congé","CP",IF(H162="Férié","F",IF(H162="OFF","R",IF(N162&gt;0,"A",IF(ISNUMBER(I162),"P","NR")))))</f>
        <v>P</v>
      </c>
      <c r="R162" s="18"/>
    </row>
    <row r="163" customFormat="false" ht="15" hidden="false" customHeight="false" outlineLevel="0" collapsed="false">
      <c r="A163" s="18" t="s">
        <v>26</v>
      </c>
      <c r="B163" s="8" t="s">
        <v>27</v>
      </c>
      <c r="C163" s="9" t="n">
        <v>46065</v>
      </c>
      <c r="D163" s="8" t="n">
        <v>2026</v>
      </c>
      <c r="E163" s="8" t="n">
        <v>7</v>
      </c>
      <c r="F163" s="18" t="s">
        <v>123</v>
      </c>
      <c r="G163" s="8" t="s">
        <v>119</v>
      </c>
      <c r="H163" s="19" t="n">
        <v>0.333333333333333</v>
      </c>
      <c r="I163" s="19" t="n">
        <v>0.333333333333333</v>
      </c>
      <c r="J163" s="19" t="n">
        <v>0.75</v>
      </c>
      <c r="K163" s="19" t="n">
        <v>0.75</v>
      </c>
      <c r="L163" s="19" t="n">
        <v>0.375</v>
      </c>
      <c r="M163" s="19" t="n">
        <v>0.375</v>
      </c>
      <c r="N163" s="19" t="n">
        <v>0</v>
      </c>
      <c r="O163" s="19" t="n">
        <v>0</v>
      </c>
      <c r="P163" s="17" t="n">
        <f aca="false">IF(AND(ISNUMBER(H163),ISNUMBER(I163)),MAX(0,ROUND((I163-H163)*1440,0)-'Bilan agents'!$C$4),0)</f>
        <v>0</v>
      </c>
      <c r="Q163" s="8" t="str">
        <f aca="false">IF(H163="Congé","CP",IF(H163="Férié","F",IF(H163="OFF","R",IF(N163&gt;0,"A",IF(ISNUMBER(I163),"P","NR")))))</f>
        <v>P</v>
      </c>
      <c r="R163" s="18"/>
    </row>
    <row r="164" customFormat="false" ht="15" hidden="false" customHeight="false" outlineLevel="0" collapsed="false">
      <c r="A164" s="18" t="s">
        <v>26</v>
      </c>
      <c r="B164" s="8" t="s">
        <v>27</v>
      </c>
      <c r="C164" s="9" t="n">
        <v>46066</v>
      </c>
      <c r="D164" s="8" t="n">
        <v>2026</v>
      </c>
      <c r="E164" s="8" t="n">
        <v>7</v>
      </c>
      <c r="F164" s="18" t="s">
        <v>123</v>
      </c>
      <c r="G164" s="8" t="s">
        <v>120</v>
      </c>
      <c r="H164" s="19" t="n">
        <v>0.333333333333333</v>
      </c>
      <c r="I164" s="19" t="n">
        <v>0.333333333333333</v>
      </c>
      <c r="J164" s="19" t="n">
        <v>0.708333333333333</v>
      </c>
      <c r="K164" s="19" t="n">
        <v>0.708333333333333</v>
      </c>
      <c r="L164" s="19" t="n">
        <v>0.333333333333333</v>
      </c>
      <c r="M164" s="19" t="n">
        <v>0.333333333333333</v>
      </c>
      <c r="N164" s="19" t="n">
        <v>0</v>
      </c>
      <c r="O164" s="19" t="n">
        <v>0</v>
      </c>
      <c r="P164" s="17" t="n">
        <f aca="false">IF(AND(ISNUMBER(H164),ISNUMBER(I164)),MAX(0,ROUND((I164-H164)*1440,0)-'Bilan agents'!$C$4),0)</f>
        <v>0</v>
      </c>
      <c r="Q164" s="8" t="str">
        <f aca="false">IF(H164="Congé","CP",IF(H164="Férié","F",IF(H164="OFF","R",IF(N164&gt;0,"A",IF(ISNUMBER(I164),"P","NR")))))</f>
        <v>P</v>
      </c>
      <c r="R164" s="18"/>
    </row>
    <row r="165" customFormat="false" ht="15" hidden="false" customHeight="false" outlineLevel="0" collapsed="false">
      <c r="A165" s="18" t="s">
        <v>26</v>
      </c>
      <c r="B165" s="8" t="s">
        <v>27</v>
      </c>
      <c r="C165" s="9" t="n">
        <v>46067</v>
      </c>
      <c r="D165" s="8" t="n">
        <v>2026</v>
      </c>
      <c r="E165" s="8" t="n">
        <v>7</v>
      </c>
      <c r="F165" s="18" t="s">
        <v>123</v>
      </c>
      <c r="G165" s="8" t="s">
        <v>121</v>
      </c>
      <c r="H165" s="19" t="s">
        <v>115</v>
      </c>
      <c r="I165" s="19"/>
      <c r="J165" s="19"/>
      <c r="K165" s="19"/>
      <c r="L165" s="19" t="n">
        <v>0</v>
      </c>
      <c r="M165" s="19"/>
      <c r="N165" s="19" t="n">
        <v>0</v>
      </c>
      <c r="O165" s="19" t="n">
        <v>0</v>
      </c>
      <c r="P165" s="17" t="n">
        <f aca="false">IF(AND(ISNUMBER(H165),ISNUMBER(I165)),MAX(0,ROUND((I165-H165)*1440,0)-'Bilan agents'!$C$4),0)</f>
        <v>0</v>
      </c>
      <c r="Q165" s="8" t="str">
        <f aca="false">IF(H165="Congé","CP",IF(H165="Férié","F",IF(H165="OFF","R",IF(N165&gt;0,"A",IF(ISNUMBER(I165),"P","NR")))))</f>
        <v>R</v>
      </c>
      <c r="R165" s="18"/>
    </row>
    <row r="166" customFormat="false" ht="15" hidden="false" customHeight="false" outlineLevel="0" collapsed="false">
      <c r="A166" s="18" t="s">
        <v>26</v>
      </c>
      <c r="B166" s="8" t="s">
        <v>27</v>
      </c>
      <c r="C166" s="9" t="n">
        <v>46068</v>
      </c>
      <c r="D166" s="8" t="n">
        <v>2026</v>
      </c>
      <c r="E166" s="8" t="n">
        <v>7</v>
      </c>
      <c r="F166" s="18" t="s">
        <v>123</v>
      </c>
      <c r="G166" s="8" t="s">
        <v>114</v>
      </c>
      <c r="H166" s="19" t="s">
        <v>115</v>
      </c>
      <c r="I166" s="19"/>
      <c r="J166" s="19"/>
      <c r="K166" s="19"/>
      <c r="L166" s="19" t="n">
        <v>0</v>
      </c>
      <c r="M166" s="19"/>
      <c r="N166" s="19" t="n">
        <v>0</v>
      </c>
      <c r="O166" s="19" t="n">
        <v>0</v>
      </c>
      <c r="P166" s="17" t="n">
        <f aca="false">IF(AND(ISNUMBER(H166),ISNUMBER(I166)),MAX(0,ROUND((I166-H166)*1440,0)-'Bilan agents'!$C$4),0)</f>
        <v>0</v>
      </c>
      <c r="Q166" s="8" t="str">
        <f aca="false">IF(H166="Congé","CP",IF(H166="Férié","F",IF(H166="OFF","R",IF(N166&gt;0,"A",IF(ISNUMBER(I166),"P","NR")))))</f>
        <v>R</v>
      </c>
      <c r="R166" s="18"/>
    </row>
    <row r="167" customFormat="false" ht="15" hidden="false" customHeight="false" outlineLevel="0" collapsed="false">
      <c r="A167" s="18" t="s">
        <v>26</v>
      </c>
      <c r="B167" s="8" t="s">
        <v>27</v>
      </c>
      <c r="C167" s="9" t="n">
        <v>46074</v>
      </c>
      <c r="D167" s="8" t="n">
        <v>2026</v>
      </c>
      <c r="E167" s="8" t="n">
        <v>8</v>
      </c>
      <c r="F167" s="18" t="s">
        <v>123</v>
      </c>
      <c r="G167" s="8" t="s">
        <v>121</v>
      </c>
      <c r="H167" s="19" t="s">
        <v>115</v>
      </c>
      <c r="I167" s="19"/>
      <c r="J167" s="19"/>
      <c r="K167" s="19"/>
      <c r="L167" s="19" t="n">
        <v>0</v>
      </c>
      <c r="M167" s="19"/>
      <c r="N167" s="19" t="n">
        <v>0</v>
      </c>
      <c r="O167" s="19" t="n">
        <v>0</v>
      </c>
      <c r="P167" s="17" t="n">
        <f aca="false">IF(AND(ISNUMBER(H167),ISNUMBER(I167)),MAX(0,ROUND((I167-H167)*1440,0)-'Bilan agents'!$C$4),0)</f>
        <v>0</v>
      </c>
      <c r="Q167" s="8" t="str">
        <f aca="false">IF(H167="Congé","CP",IF(H167="Férié","F",IF(H167="OFF","R",IF(N167&gt;0,"A",IF(ISNUMBER(I167),"P","NR")))))</f>
        <v>R</v>
      </c>
      <c r="R167" s="18"/>
    </row>
    <row r="168" customFormat="false" ht="15" hidden="false" customHeight="false" outlineLevel="0" collapsed="false">
      <c r="A168" s="18" t="s">
        <v>26</v>
      </c>
      <c r="B168" s="8" t="s">
        <v>27</v>
      </c>
      <c r="C168" s="9" t="n">
        <v>46075</v>
      </c>
      <c r="D168" s="8" t="n">
        <v>2026</v>
      </c>
      <c r="E168" s="8" t="n">
        <v>8</v>
      </c>
      <c r="F168" s="18" t="s">
        <v>123</v>
      </c>
      <c r="G168" s="8" t="s">
        <v>114</v>
      </c>
      <c r="H168" s="19" t="s">
        <v>115</v>
      </c>
      <c r="I168" s="19"/>
      <c r="J168" s="19"/>
      <c r="K168" s="19"/>
      <c r="L168" s="19" t="n">
        <v>0</v>
      </c>
      <c r="M168" s="19"/>
      <c r="N168" s="19" t="n">
        <v>0</v>
      </c>
      <c r="O168" s="19" t="n">
        <v>0</v>
      </c>
      <c r="P168" s="17" t="n">
        <f aca="false">IF(AND(ISNUMBER(H168),ISNUMBER(I168)),MAX(0,ROUND((I168-H168)*1440,0)-'Bilan agents'!$C$4),0)</f>
        <v>0</v>
      </c>
      <c r="Q168" s="8" t="str">
        <f aca="false">IF(H168="Congé","CP",IF(H168="Férié","F",IF(H168="OFF","R",IF(N168&gt;0,"A",IF(ISNUMBER(I168),"P","NR")))))</f>
        <v>R</v>
      </c>
      <c r="R168" s="18"/>
    </row>
    <row r="169" customFormat="false" ht="15" hidden="false" customHeight="false" outlineLevel="0" collapsed="false">
      <c r="A169" s="18" t="s">
        <v>26</v>
      </c>
      <c r="B169" s="8" t="s">
        <v>27</v>
      </c>
      <c r="C169" s="9" t="n">
        <v>46076</v>
      </c>
      <c r="D169" s="8" t="n">
        <v>2026</v>
      </c>
      <c r="E169" s="8" t="n">
        <v>9</v>
      </c>
      <c r="F169" s="18" t="s">
        <v>123</v>
      </c>
      <c r="G169" s="8" t="s">
        <v>116</v>
      </c>
      <c r="H169" s="19" t="n">
        <v>0.333333333333333</v>
      </c>
      <c r="I169" s="19" t="n">
        <v>0.332638888888889</v>
      </c>
      <c r="J169" s="19" t="n">
        <v>0.708333333333333</v>
      </c>
      <c r="K169" s="19" t="n">
        <v>0.708333333333333</v>
      </c>
      <c r="L169" s="19" t="n">
        <v>0.375</v>
      </c>
      <c r="M169" s="19" t="n">
        <v>0.375</v>
      </c>
      <c r="N169" s="19" t="n">
        <v>0</v>
      </c>
      <c r="O169" s="19" t="n">
        <v>0</v>
      </c>
      <c r="P169" s="17" t="n">
        <f aca="false">IF(AND(ISNUMBER(H169),ISNUMBER(I169)),MAX(0,ROUND((I169-H169)*1440,0)-'Bilan agents'!$C$4),0)</f>
        <v>0</v>
      </c>
      <c r="Q169" s="8" t="str">
        <f aca="false">IF(H169="Congé","CP",IF(H169="Férié","F",IF(H169="OFF","R",IF(N169&gt;0,"A",IF(ISNUMBER(I169),"P","NR")))))</f>
        <v>P</v>
      </c>
      <c r="R169" s="18"/>
    </row>
    <row r="170" customFormat="false" ht="15" hidden="false" customHeight="false" outlineLevel="0" collapsed="false">
      <c r="A170" s="18" t="s">
        <v>26</v>
      </c>
      <c r="B170" s="8" t="s">
        <v>27</v>
      </c>
      <c r="C170" s="9" t="n">
        <v>46077</v>
      </c>
      <c r="D170" s="8" t="n">
        <v>2026</v>
      </c>
      <c r="E170" s="8" t="n">
        <v>9</v>
      </c>
      <c r="F170" s="18" t="s">
        <v>123</v>
      </c>
      <c r="G170" s="8" t="s">
        <v>117</v>
      </c>
      <c r="H170" s="19" t="n">
        <v>0.333333333333333</v>
      </c>
      <c r="I170" s="19" t="n">
        <v>0.333333333333333</v>
      </c>
      <c r="J170" s="19" t="n">
        <v>0.708333333333333</v>
      </c>
      <c r="K170" s="19" t="n">
        <v>0.708333333333333</v>
      </c>
      <c r="L170" s="19" t="n">
        <v>0.375</v>
      </c>
      <c r="M170" s="19" t="n">
        <v>0.375</v>
      </c>
      <c r="N170" s="19" t="n">
        <v>0</v>
      </c>
      <c r="O170" s="19" t="n">
        <v>0</v>
      </c>
      <c r="P170" s="17" t="n">
        <f aca="false">IF(AND(ISNUMBER(H170),ISNUMBER(I170)),MAX(0,ROUND((I170-H170)*1440,0)-'Bilan agents'!$C$4),0)</f>
        <v>0</v>
      </c>
      <c r="Q170" s="8" t="str">
        <f aca="false">IF(H170="Congé","CP",IF(H170="Férié","F",IF(H170="OFF","R",IF(N170&gt;0,"A",IF(ISNUMBER(I170),"P","NR")))))</f>
        <v>P</v>
      </c>
      <c r="R170" s="18"/>
    </row>
    <row r="171" customFormat="false" ht="15" hidden="false" customHeight="false" outlineLevel="0" collapsed="false">
      <c r="A171" s="18" t="s">
        <v>26</v>
      </c>
      <c r="B171" s="8" t="s">
        <v>27</v>
      </c>
      <c r="C171" s="9" t="n">
        <v>46078</v>
      </c>
      <c r="D171" s="8" t="n">
        <v>2026</v>
      </c>
      <c r="E171" s="8" t="n">
        <v>9</v>
      </c>
      <c r="F171" s="18" t="s">
        <v>123</v>
      </c>
      <c r="G171" s="8" t="s">
        <v>118</v>
      </c>
      <c r="H171" s="19" t="n">
        <v>0.333333333333333</v>
      </c>
      <c r="I171" s="19" t="n">
        <v>0.332638888888889</v>
      </c>
      <c r="J171" s="19" t="n">
        <v>0.708333333333333</v>
      </c>
      <c r="K171" s="19" t="n">
        <v>0.708333333333333</v>
      </c>
      <c r="L171" s="19" t="n">
        <v>0.375</v>
      </c>
      <c r="M171" s="19" t="n">
        <v>0.375</v>
      </c>
      <c r="N171" s="19" t="n">
        <v>0</v>
      </c>
      <c r="O171" s="19" t="n">
        <v>0</v>
      </c>
      <c r="P171" s="17" t="n">
        <f aca="false">IF(AND(ISNUMBER(H171),ISNUMBER(I171)),MAX(0,ROUND((I171-H171)*1440,0)-'Bilan agents'!$C$4),0)</f>
        <v>0</v>
      </c>
      <c r="Q171" s="8" t="str">
        <f aca="false">IF(H171="Congé","CP",IF(H171="Férié","F",IF(H171="OFF","R",IF(N171&gt;0,"A",IF(ISNUMBER(I171),"P","NR")))))</f>
        <v>P</v>
      </c>
      <c r="R171" s="18"/>
    </row>
    <row r="172" customFormat="false" ht="15" hidden="false" customHeight="false" outlineLevel="0" collapsed="false">
      <c r="A172" s="18" t="s">
        <v>26</v>
      </c>
      <c r="B172" s="8" t="s">
        <v>27</v>
      </c>
      <c r="C172" s="9" t="n">
        <v>46079</v>
      </c>
      <c r="D172" s="8" t="n">
        <v>2026</v>
      </c>
      <c r="E172" s="8" t="n">
        <v>9</v>
      </c>
      <c r="F172" s="18" t="s">
        <v>123</v>
      </c>
      <c r="G172" s="8" t="s">
        <v>119</v>
      </c>
      <c r="H172" s="19" t="n">
        <v>0.333333333333333</v>
      </c>
      <c r="I172" s="19" t="n">
        <v>0.333333333333333</v>
      </c>
      <c r="J172" s="19" t="n">
        <v>0.708333333333333</v>
      </c>
      <c r="K172" s="19" t="n">
        <v>0.708333333333333</v>
      </c>
      <c r="L172" s="19" t="n">
        <v>0.375</v>
      </c>
      <c r="M172" s="19" t="n">
        <v>0.375</v>
      </c>
      <c r="N172" s="19" t="n">
        <v>0</v>
      </c>
      <c r="O172" s="19" t="n">
        <v>0</v>
      </c>
      <c r="P172" s="17" t="n">
        <f aca="false">IF(AND(ISNUMBER(H172),ISNUMBER(I172)),MAX(0,ROUND((I172-H172)*1440,0)-'Bilan agents'!$C$4),0)</f>
        <v>0</v>
      </c>
      <c r="Q172" s="8" t="str">
        <f aca="false">IF(H172="Congé","CP",IF(H172="Férié","F",IF(H172="OFF","R",IF(N172&gt;0,"A",IF(ISNUMBER(I172),"P","NR")))))</f>
        <v>P</v>
      </c>
      <c r="R172" s="18"/>
    </row>
    <row r="173" customFormat="false" ht="15" hidden="false" customHeight="false" outlineLevel="0" collapsed="false">
      <c r="A173" s="18" t="s">
        <v>26</v>
      </c>
      <c r="B173" s="8" t="s">
        <v>27</v>
      </c>
      <c r="C173" s="9" t="n">
        <v>46080</v>
      </c>
      <c r="D173" s="8" t="n">
        <v>2026</v>
      </c>
      <c r="E173" s="8" t="n">
        <v>9</v>
      </c>
      <c r="F173" s="18" t="s">
        <v>123</v>
      </c>
      <c r="G173" s="8" t="s">
        <v>120</v>
      </c>
      <c r="H173" s="19" t="n">
        <v>0.333333333333333</v>
      </c>
      <c r="I173" s="19" t="n">
        <v>0.333333333333333</v>
      </c>
      <c r="J173" s="19" t="n">
        <v>0.666666666666667</v>
      </c>
      <c r="K173" s="19" t="n">
        <v>0.666666666666667</v>
      </c>
      <c r="L173" s="19" t="n">
        <v>0.333333333333333</v>
      </c>
      <c r="M173" s="19" t="n">
        <v>0.333333333333333</v>
      </c>
      <c r="N173" s="19" t="n">
        <v>0</v>
      </c>
      <c r="O173" s="19" t="n">
        <v>0</v>
      </c>
      <c r="P173" s="17" t="n">
        <f aca="false">IF(AND(ISNUMBER(H173),ISNUMBER(I173)),MAX(0,ROUND((I173-H173)*1440,0)-'Bilan agents'!$C$4),0)</f>
        <v>0</v>
      </c>
      <c r="Q173" s="8" t="str">
        <f aca="false">IF(H173="Congé","CP",IF(H173="Férié","F",IF(H173="OFF","R",IF(N173&gt;0,"A",IF(ISNUMBER(I173),"P","NR")))))</f>
        <v>P</v>
      </c>
      <c r="R173" s="18"/>
    </row>
    <row r="174" customFormat="false" ht="15" hidden="false" customHeight="false" outlineLevel="0" collapsed="false">
      <c r="A174" s="18" t="s">
        <v>26</v>
      </c>
      <c r="B174" s="8" t="s">
        <v>27</v>
      </c>
      <c r="C174" s="9" t="n">
        <v>46081</v>
      </c>
      <c r="D174" s="8" t="n">
        <v>2026</v>
      </c>
      <c r="E174" s="8" t="n">
        <v>9</v>
      </c>
      <c r="F174" s="18" t="s">
        <v>123</v>
      </c>
      <c r="G174" s="8" t="s">
        <v>121</v>
      </c>
      <c r="H174" s="19" t="s">
        <v>115</v>
      </c>
      <c r="I174" s="19"/>
      <c r="J174" s="19"/>
      <c r="K174" s="19"/>
      <c r="L174" s="19" t="n">
        <v>0</v>
      </c>
      <c r="M174" s="19"/>
      <c r="N174" s="19" t="n">
        <v>0</v>
      </c>
      <c r="O174" s="19" t="n">
        <v>0</v>
      </c>
      <c r="P174" s="17" t="n">
        <f aca="false">IF(AND(ISNUMBER(H174),ISNUMBER(I174)),MAX(0,ROUND((I174-H174)*1440,0)-'Bilan agents'!$C$4),0)</f>
        <v>0</v>
      </c>
      <c r="Q174" s="8" t="str">
        <f aca="false">IF(H174="Congé","CP",IF(H174="Férié","F",IF(H174="OFF","R",IF(N174&gt;0,"A",IF(ISNUMBER(I174),"P","NR")))))</f>
        <v>R</v>
      </c>
      <c r="R174" s="18"/>
    </row>
    <row r="175" customFormat="false" ht="15" hidden="false" customHeight="false" outlineLevel="0" collapsed="false">
      <c r="A175" s="18" t="s">
        <v>26</v>
      </c>
      <c r="B175" s="8" t="s">
        <v>27</v>
      </c>
      <c r="C175" s="9" t="n">
        <v>46082</v>
      </c>
      <c r="D175" s="8" t="n">
        <v>2026</v>
      </c>
      <c r="E175" s="8" t="n">
        <v>9</v>
      </c>
      <c r="F175" s="18" t="s">
        <v>124</v>
      </c>
      <c r="G175" s="8" t="s">
        <v>114</v>
      </c>
      <c r="H175" s="19" t="s">
        <v>115</v>
      </c>
      <c r="I175" s="19"/>
      <c r="J175" s="19"/>
      <c r="K175" s="19"/>
      <c r="L175" s="19" t="n">
        <v>0</v>
      </c>
      <c r="M175" s="19"/>
      <c r="N175" s="19" t="n">
        <v>0</v>
      </c>
      <c r="O175" s="19" t="n">
        <v>0</v>
      </c>
      <c r="P175" s="17" t="n">
        <f aca="false">IF(AND(ISNUMBER(H175),ISNUMBER(I175)),MAX(0,ROUND((I175-H175)*1440,0)-'Bilan agents'!$C$4),0)</f>
        <v>0</v>
      </c>
      <c r="Q175" s="8" t="str">
        <f aca="false">IF(H175="Congé","CP",IF(H175="Férié","F",IF(H175="OFF","R",IF(N175&gt;0,"A",IF(ISNUMBER(I175),"P","NR")))))</f>
        <v>R</v>
      </c>
      <c r="R175" s="18"/>
    </row>
    <row r="176" customFormat="false" ht="15" hidden="false" customHeight="false" outlineLevel="0" collapsed="false">
      <c r="A176" s="18" t="s">
        <v>26</v>
      </c>
      <c r="B176" s="8" t="s">
        <v>27</v>
      </c>
      <c r="C176" s="9" t="n">
        <v>46083</v>
      </c>
      <c r="D176" s="8" t="n">
        <v>2026</v>
      </c>
      <c r="E176" s="8" t="n">
        <v>10</v>
      </c>
      <c r="F176" s="18" t="s">
        <v>124</v>
      </c>
      <c r="G176" s="8" t="s">
        <v>116</v>
      </c>
      <c r="H176" s="19" t="n">
        <v>0.333333333333333</v>
      </c>
      <c r="I176" s="19" t="n">
        <v>0.332638888888889</v>
      </c>
      <c r="J176" s="19" t="n">
        <v>0.708333333333333</v>
      </c>
      <c r="K176" s="19" t="n">
        <v>0.708333333333333</v>
      </c>
      <c r="L176" s="19" t="n">
        <v>0.375</v>
      </c>
      <c r="M176" s="19" t="n">
        <v>0.375</v>
      </c>
      <c r="N176" s="19" t="n">
        <v>0</v>
      </c>
      <c r="O176" s="19" t="n">
        <v>0</v>
      </c>
      <c r="P176" s="17" t="n">
        <f aca="false">IF(AND(ISNUMBER(H176),ISNUMBER(I176)),MAX(0,ROUND((I176-H176)*1440,0)-'Bilan agents'!$C$4),0)</f>
        <v>0</v>
      </c>
      <c r="Q176" s="8" t="str">
        <f aca="false">IF(H176="Congé","CP",IF(H176="Férié","F",IF(H176="OFF","R",IF(N176&gt;0,"A",IF(ISNUMBER(I176),"P","NR")))))</f>
        <v>P</v>
      </c>
      <c r="R176" s="18"/>
    </row>
    <row r="177" customFormat="false" ht="15" hidden="false" customHeight="false" outlineLevel="0" collapsed="false">
      <c r="A177" s="18" t="s">
        <v>26</v>
      </c>
      <c r="B177" s="8" t="s">
        <v>27</v>
      </c>
      <c r="C177" s="9" t="n">
        <v>46084</v>
      </c>
      <c r="D177" s="8" t="n">
        <v>2026</v>
      </c>
      <c r="E177" s="8" t="n">
        <v>10</v>
      </c>
      <c r="F177" s="18" t="s">
        <v>124</v>
      </c>
      <c r="G177" s="8" t="s">
        <v>117</v>
      </c>
      <c r="H177" s="19" t="n">
        <v>0.333333333333333</v>
      </c>
      <c r="I177" s="19" t="n">
        <v>0.331944444444444</v>
      </c>
      <c r="J177" s="19" t="n">
        <v>0.708333333333333</v>
      </c>
      <c r="K177" s="19" t="n">
        <v>0.708333333333333</v>
      </c>
      <c r="L177" s="19" t="n">
        <v>0.375</v>
      </c>
      <c r="M177" s="19" t="n">
        <v>0.375</v>
      </c>
      <c r="N177" s="19" t="n">
        <v>0</v>
      </c>
      <c r="O177" s="19" t="n">
        <v>0.00138888888888889</v>
      </c>
      <c r="P177" s="17" t="n">
        <f aca="false">IF(AND(ISNUMBER(H177),ISNUMBER(I177)),MAX(0,ROUND((I177-H177)*1440,0)-'Bilan agents'!$C$4),0)</f>
        <v>0</v>
      </c>
      <c r="Q177" s="8" t="str">
        <f aca="false">IF(H177="Congé","CP",IF(H177="Férié","F",IF(H177="OFF","R",IF(N177&gt;0,"A",IF(ISNUMBER(I177),"P","NR")))))</f>
        <v>P</v>
      </c>
      <c r="R177" s="18"/>
    </row>
    <row r="178" customFormat="false" ht="15" hidden="false" customHeight="false" outlineLevel="0" collapsed="false">
      <c r="A178" s="18" t="s">
        <v>26</v>
      </c>
      <c r="B178" s="8" t="s">
        <v>27</v>
      </c>
      <c r="C178" s="9" t="n">
        <v>46085</v>
      </c>
      <c r="D178" s="8" t="n">
        <v>2026</v>
      </c>
      <c r="E178" s="8" t="n">
        <v>10</v>
      </c>
      <c r="F178" s="18" t="s">
        <v>124</v>
      </c>
      <c r="G178" s="8" t="s">
        <v>118</v>
      </c>
      <c r="H178" s="19" t="n">
        <v>0.333333333333333</v>
      </c>
      <c r="I178" s="19" t="n">
        <v>0.332638888888889</v>
      </c>
      <c r="J178" s="19" t="n">
        <v>0.708333333333333</v>
      </c>
      <c r="K178" s="19" t="n">
        <v>0.708333333333333</v>
      </c>
      <c r="L178" s="19" t="n">
        <v>0.375</v>
      </c>
      <c r="M178" s="19" t="n">
        <v>0.375</v>
      </c>
      <c r="N178" s="19" t="n">
        <v>0</v>
      </c>
      <c r="O178" s="19" t="n">
        <v>0</v>
      </c>
      <c r="P178" s="17" t="n">
        <f aca="false">IF(AND(ISNUMBER(H178),ISNUMBER(I178)),MAX(0,ROUND((I178-H178)*1440,0)-'Bilan agents'!$C$4),0)</f>
        <v>0</v>
      </c>
      <c r="Q178" s="8" t="str">
        <f aca="false">IF(H178="Congé","CP",IF(H178="Férié","F",IF(H178="OFF","R",IF(N178&gt;0,"A",IF(ISNUMBER(I178),"P","NR")))))</f>
        <v>P</v>
      </c>
      <c r="R178" s="18"/>
    </row>
    <row r="179" customFormat="false" ht="15" hidden="false" customHeight="false" outlineLevel="0" collapsed="false">
      <c r="A179" s="18" t="s">
        <v>26</v>
      </c>
      <c r="B179" s="8" t="s">
        <v>27</v>
      </c>
      <c r="C179" s="9" t="n">
        <v>46086</v>
      </c>
      <c r="D179" s="8" t="n">
        <v>2026</v>
      </c>
      <c r="E179" s="8" t="n">
        <v>10</v>
      </c>
      <c r="F179" s="18" t="s">
        <v>124</v>
      </c>
      <c r="G179" s="8" t="s">
        <v>119</v>
      </c>
      <c r="H179" s="19" t="n">
        <v>0.333333333333333</v>
      </c>
      <c r="I179" s="19" t="n">
        <v>0.333333333333333</v>
      </c>
      <c r="J179" s="19" t="n">
        <v>0.708333333333333</v>
      </c>
      <c r="K179" s="19" t="n">
        <v>0.708333333333333</v>
      </c>
      <c r="L179" s="19" t="n">
        <v>0.375</v>
      </c>
      <c r="M179" s="19" t="n">
        <v>0.375</v>
      </c>
      <c r="N179" s="19" t="n">
        <v>0</v>
      </c>
      <c r="O179" s="19" t="n">
        <v>0</v>
      </c>
      <c r="P179" s="17" t="n">
        <f aca="false">IF(AND(ISNUMBER(H179),ISNUMBER(I179)),MAX(0,ROUND((I179-H179)*1440,0)-'Bilan agents'!$C$4),0)</f>
        <v>0</v>
      </c>
      <c r="Q179" s="8" t="str">
        <f aca="false">IF(H179="Congé","CP",IF(H179="Férié","F",IF(H179="OFF","R",IF(N179&gt;0,"A",IF(ISNUMBER(I179),"P","NR")))))</f>
        <v>P</v>
      </c>
      <c r="R179" s="18"/>
    </row>
    <row r="180" customFormat="false" ht="15" hidden="false" customHeight="false" outlineLevel="0" collapsed="false">
      <c r="A180" s="18" t="s">
        <v>26</v>
      </c>
      <c r="B180" s="8" t="s">
        <v>27</v>
      </c>
      <c r="C180" s="9" t="n">
        <v>46087</v>
      </c>
      <c r="D180" s="8" t="n">
        <v>2026</v>
      </c>
      <c r="E180" s="8" t="n">
        <v>10</v>
      </c>
      <c r="F180" s="18" t="s">
        <v>124</v>
      </c>
      <c r="G180" s="8" t="s">
        <v>120</v>
      </c>
      <c r="H180" s="19" t="n">
        <v>0.333333333333333</v>
      </c>
      <c r="I180" s="19" t="n">
        <v>0.333333333333333</v>
      </c>
      <c r="J180" s="19" t="n">
        <v>0.666666666666667</v>
      </c>
      <c r="K180" s="19" t="n">
        <v>0.666666666666667</v>
      </c>
      <c r="L180" s="19" t="n">
        <v>0.333333333333333</v>
      </c>
      <c r="M180" s="19" t="n">
        <v>0.333333333333333</v>
      </c>
      <c r="N180" s="19" t="n">
        <v>0</v>
      </c>
      <c r="O180" s="19" t="n">
        <v>0</v>
      </c>
      <c r="P180" s="17" t="n">
        <f aca="false">IF(AND(ISNUMBER(H180),ISNUMBER(I180)),MAX(0,ROUND((I180-H180)*1440,0)-'Bilan agents'!$C$4),0)</f>
        <v>0</v>
      </c>
      <c r="Q180" s="8" t="str">
        <f aca="false">IF(H180="Congé","CP",IF(H180="Férié","F",IF(H180="OFF","R",IF(N180&gt;0,"A",IF(ISNUMBER(I180),"P","NR")))))</f>
        <v>P</v>
      </c>
      <c r="R180" s="18"/>
    </row>
    <row r="181" customFormat="false" ht="15" hidden="false" customHeight="false" outlineLevel="0" collapsed="false">
      <c r="A181" s="18" t="s">
        <v>26</v>
      </c>
      <c r="B181" s="8" t="s">
        <v>27</v>
      </c>
      <c r="C181" s="9" t="n">
        <v>46088</v>
      </c>
      <c r="D181" s="8" t="n">
        <v>2026</v>
      </c>
      <c r="E181" s="8" t="n">
        <v>10</v>
      </c>
      <c r="F181" s="18" t="s">
        <v>124</v>
      </c>
      <c r="G181" s="8" t="s">
        <v>121</v>
      </c>
      <c r="H181" s="19" t="s">
        <v>115</v>
      </c>
      <c r="I181" s="19"/>
      <c r="J181" s="19"/>
      <c r="K181" s="19"/>
      <c r="L181" s="19" t="n">
        <v>0</v>
      </c>
      <c r="M181" s="19"/>
      <c r="N181" s="19" t="n">
        <v>0</v>
      </c>
      <c r="O181" s="19" t="n">
        <v>0</v>
      </c>
      <c r="P181" s="17" t="n">
        <f aca="false">IF(AND(ISNUMBER(H181),ISNUMBER(I181)),MAX(0,ROUND((I181-H181)*1440,0)-'Bilan agents'!$C$4),0)</f>
        <v>0</v>
      </c>
      <c r="Q181" s="8" t="str">
        <f aca="false">IF(H181="Congé","CP",IF(H181="Férié","F",IF(H181="OFF","R",IF(N181&gt;0,"A",IF(ISNUMBER(I181),"P","NR")))))</f>
        <v>R</v>
      </c>
      <c r="R181" s="18"/>
    </row>
    <row r="182" customFormat="false" ht="15" hidden="false" customHeight="false" outlineLevel="0" collapsed="false">
      <c r="A182" s="18" t="s">
        <v>26</v>
      </c>
      <c r="B182" s="8" t="s">
        <v>27</v>
      </c>
      <c r="C182" s="9" t="n">
        <v>46089</v>
      </c>
      <c r="D182" s="8" t="n">
        <v>2026</v>
      </c>
      <c r="E182" s="8" t="n">
        <v>10</v>
      </c>
      <c r="F182" s="18" t="s">
        <v>124</v>
      </c>
      <c r="G182" s="8" t="s">
        <v>114</v>
      </c>
      <c r="H182" s="19" t="s">
        <v>115</v>
      </c>
      <c r="I182" s="19"/>
      <c r="J182" s="19"/>
      <c r="K182" s="19"/>
      <c r="L182" s="19" t="n">
        <v>0</v>
      </c>
      <c r="M182" s="19"/>
      <c r="N182" s="19" t="n">
        <v>0</v>
      </c>
      <c r="O182" s="19" t="n">
        <v>0</v>
      </c>
      <c r="P182" s="17" t="n">
        <f aca="false">IF(AND(ISNUMBER(H182),ISNUMBER(I182)),MAX(0,ROUND((I182-H182)*1440,0)-'Bilan agents'!$C$4),0)</f>
        <v>0</v>
      </c>
      <c r="Q182" s="8" t="str">
        <f aca="false">IF(H182="Congé","CP",IF(H182="Férié","F",IF(H182="OFF","R",IF(N182&gt;0,"A",IF(ISNUMBER(I182),"P","NR")))))</f>
        <v>R</v>
      </c>
      <c r="R182" s="18"/>
    </row>
    <row r="183" customFormat="false" ht="15" hidden="false" customHeight="false" outlineLevel="0" collapsed="false">
      <c r="A183" s="18" t="s">
        <v>26</v>
      </c>
      <c r="B183" s="8" t="s">
        <v>27</v>
      </c>
      <c r="C183" s="9" t="n">
        <v>46090</v>
      </c>
      <c r="D183" s="8" t="n">
        <v>2026</v>
      </c>
      <c r="E183" s="8" t="n">
        <v>11</v>
      </c>
      <c r="F183" s="18" t="s">
        <v>124</v>
      </c>
      <c r="G183" s="8" t="s">
        <v>116</v>
      </c>
      <c r="H183" s="19" t="n">
        <v>0.333333333333333</v>
      </c>
      <c r="I183" s="19" t="n">
        <v>0.332638888888889</v>
      </c>
      <c r="J183" s="19" t="n">
        <v>0.708333333333333</v>
      </c>
      <c r="K183" s="19" t="n">
        <v>0.708333333333333</v>
      </c>
      <c r="L183" s="19" t="n">
        <v>0.375</v>
      </c>
      <c r="M183" s="19" t="n">
        <v>0.375</v>
      </c>
      <c r="N183" s="19" t="n">
        <v>0</v>
      </c>
      <c r="O183" s="19" t="n">
        <v>0</v>
      </c>
      <c r="P183" s="17" t="n">
        <f aca="false">IF(AND(ISNUMBER(H183),ISNUMBER(I183)),MAX(0,ROUND((I183-H183)*1440,0)-'Bilan agents'!$C$4),0)</f>
        <v>0</v>
      </c>
      <c r="Q183" s="8" t="str">
        <f aca="false">IF(H183="Congé","CP",IF(H183="Férié","F",IF(H183="OFF","R",IF(N183&gt;0,"A",IF(ISNUMBER(I183),"P","NR")))))</f>
        <v>P</v>
      </c>
      <c r="R183" s="18"/>
    </row>
    <row r="184" customFormat="false" ht="15" hidden="false" customHeight="false" outlineLevel="0" collapsed="false">
      <c r="A184" s="18" t="s">
        <v>26</v>
      </c>
      <c r="B184" s="8" t="s">
        <v>27</v>
      </c>
      <c r="C184" s="9" t="n">
        <v>46091</v>
      </c>
      <c r="D184" s="8" t="n">
        <v>2026</v>
      </c>
      <c r="E184" s="8" t="n">
        <v>11</v>
      </c>
      <c r="F184" s="18" t="s">
        <v>124</v>
      </c>
      <c r="G184" s="8" t="s">
        <v>117</v>
      </c>
      <c r="H184" s="19" t="n">
        <v>0.333333333333333</v>
      </c>
      <c r="I184" s="19" t="n">
        <v>0.331944444444444</v>
      </c>
      <c r="J184" s="19" t="n">
        <v>0.708333333333333</v>
      </c>
      <c r="K184" s="19" t="n">
        <v>0.708333333333333</v>
      </c>
      <c r="L184" s="19" t="n">
        <v>0.375</v>
      </c>
      <c r="M184" s="19" t="n">
        <v>0.375</v>
      </c>
      <c r="N184" s="19" t="n">
        <v>0</v>
      </c>
      <c r="O184" s="19" t="n">
        <v>0.00138888888888889</v>
      </c>
      <c r="P184" s="17" t="n">
        <f aca="false">IF(AND(ISNUMBER(H184),ISNUMBER(I184)),MAX(0,ROUND((I184-H184)*1440,0)-'Bilan agents'!$C$4),0)</f>
        <v>0</v>
      </c>
      <c r="Q184" s="8" t="str">
        <f aca="false">IF(H184="Congé","CP",IF(H184="Férié","F",IF(H184="OFF","R",IF(N184&gt;0,"A",IF(ISNUMBER(I184),"P","NR")))))</f>
        <v>P</v>
      </c>
      <c r="R184" s="18"/>
    </row>
    <row r="185" customFormat="false" ht="15" hidden="false" customHeight="false" outlineLevel="0" collapsed="false">
      <c r="A185" s="18" t="s">
        <v>26</v>
      </c>
      <c r="B185" s="8" t="s">
        <v>27</v>
      </c>
      <c r="C185" s="9" t="n">
        <v>46092</v>
      </c>
      <c r="D185" s="8" t="n">
        <v>2026</v>
      </c>
      <c r="E185" s="8" t="n">
        <v>11</v>
      </c>
      <c r="F185" s="18" t="s">
        <v>124</v>
      </c>
      <c r="G185" s="8" t="s">
        <v>118</v>
      </c>
      <c r="H185" s="19" t="n">
        <v>0.333333333333333</v>
      </c>
      <c r="I185" s="19" t="n">
        <v>0.333333333333333</v>
      </c>
      <c r="J185" s="19" t="n">
        <v>0.708333333333333</v>
      </c>
      <c r="K185" s="19" t="n">
        <v>0.708333333333333</v>
      </c>
      <c r="L185" s="19" t="n">
        <v>0.375</v>
      </c>
      <c r="M185" s="19" t="n">
        <v>0.375</v>
      </c>
      <c r="N185" s="19" t="n">
        <v>0</v>
      </c>
      <c r="O185" s="19" t="n">
        <v>0</v>
      </c>
      <c r="P185" s="17" t="n">
        <f aca="false">IF(AND(ISNUMBER(H185),ISNUMBER(I185)),MAX(0,ROUND((I185-H185)*1440,0)-'Bilan agents'!$C$4),0)</f>
        <v>0</v>
      </c>
      <c r="Q185" s="8" t="str">
        <f aca="false">IF(H185="Congé","CP",IF(H185="Férié","F",IF(H185="OFF","R",IF(N185&gt;0,"A",IF(ISNUMBER(I185),"P","NR")))))</f>
        <v>P</v>
      </c>
      <c r="R185" s="18"/>
    </row>
    <row r="186" customFormat="false" ht="15" hidden="false" customHeight="false" outlineLevel="0" collapsed="false">
      <c r="A186" s="18" t="s">
        <v>26</v>
      </c>
      <c r="B186" s="8" t="s">
        <v>27</v>
      </c>
      <c r="C186" s="9" t="n">
        <v>46093</v>
      </c>
      <c r="D186" s="8" t="n">
        <v>2026</v>
      </c>
      <c r="E186" s="8" t="n">
        <v>11</v>
      </c>
      <c r="F186" s="18" t="s">
        <v>124</v>
      </c>
      <c r="G186" s="8" t="s">
        <v>119</v>
      </c>
      <c r="H186" s="19" t="n">
        <v>0.333333333333333</v>
      </c>
      <c r="I186" s="19" t="n">
        <v>0.333333333333333</v>
      </c>
      <c r="J186" s="19" t="n">
        <v>0.708333333333333</v>
      </c>
      <c r="K186" s="19" t="n">
        <v>0.708333333333333</v>
      </c>
      <c r="L186" s="19" t="n">
        <v>0.375</v>
      </c>
      <c r="M186" s="19" t="n">
        <v>0.375</v>
      </c>
      <c r="N186" s="19" t="n">
        <v>0</v>
      </c>
      <c r="O186" s="19" t="n">
        <v>0</v>
      </c>
      <c r="P186" s="17" t="n">
        <f aca="false">IF(AND(ISNUMBER(H186),ISNUMBER(I186)),MAX(0,ROUND((I186-H186)*1440,0)-'Bilan agents'!$C$4),0)</f>
        <v>0</v>
      </c>
      <c r="Q186" s="8" t="str">
        <f aca="false">IF(H186="Congé","CP",IF(H186="Férié","F",IF(H186="OFF","R",IF(N186&gt;0,"A",IF(ISNUMBER(I186),"P","NR")))))</f>
        <v>P</v>
      </c>
      <c r="R186" s="18"/>
    </row>
    <row r="187" customFormat="false" ht="15" hidden="false" customHeight="false" outlineLevel="0" collapsed="false">
      <c r="A187" s="18" t="s">
        <v>26</v>
      </c>
      <c r="B187" s="8" t="s">
        <v>27</v>
      </c>
      <c r="C187" s="9" t="n">
        <v>46094</v>
      </c>
      <c r="D187" s="8" t="n">
        <v>2026</v>
      </c>
      <c r="E187" s="8" t="n">
        <v>11</v>
      </c>
      <c r="F187" s="18" t="s">
        <v>124</v>
      </c>
      <c r="G187" s="8" t="s">
        <v>120</v>
      </c>
      <c r="H187" s="19" t="n">
        <v>0.333333333333333</v>
      </c>
      <c r="I187" s="19" t="n">
        <v>0.333333333333333</v>
      </c>
      <c r="J187" s="19" t="n">
        <v>0.666666666666667</v>
      </c>
      <c r="K187" s="19" t="n">
        <v>0.666666666666667</v>
      </c>
      <c r="L187" s="19" t="n">
        <v>0.333333333333333</v>
      </c>
      <c r="M187" s="19" t="n">
        <v>0.333333333333333</v>
      </c>
      <c r="N187" s="19" t="n">
        <v>0</v>
      </c>
      <c r="O187" s="19" t="n">
        <v>0</v>
      </c>
      <c r="P187" s="17" t="n">
        <f aca="false">IF(AND(ISNUMBER(H187),ISNUMBER(I187)),MAX(0,ROUND((I187-H187)*1440,0)-'Bilan agents'!$C$4),0)</f>
        <v>0</v>
      </c>
      <c r="Q187" s="8" t="str">
        <f aca="false">IF(H187="Congé","CP",IF(H187="Férié","F",IF(H187="OFF","R",IF(N187&gt;0,"A",IF(ISNUMBER(I187),"P","NR")))))</f>
        <v>P</v>
      </c>
      <c r="R187" s="18"/>
    </row>
    <row r="188" customFormat="false" ht="15" hidden="false" customHeight="false" outlineLevel="0" collapsed="false">
      <c r="A188" s="18" t="s">
        <v>26</v>
      </c>
      <c r="B188" s="8" t="s">
        <v>27</v>
      </c>
      <c r="C188" s="9" t="n">
        <v>46095</v>
      </c>
      <c r="D188" s="8" t="n">
        <v>2026</v>
      </c>
      <c r="E188" s="8" t="n">
        <v>11</v>
      </c>
      <c r="F188" s="18" t="s">
        <v>124</v>
      </c>
      <c r="G188" s="8" t="s">
        <v>121</v>
      </c>
      <c r="H188" s="19" t="s">
        <v>115</v>
      </c>
      <c r="I188" s="19"/>
      <c r="J188" s="19"/>
      <c r="K188" s="19"/>
      <c r="L188" s="19" t="n">
        <v>0</v>
      </c>
      <c r="M188" s="19"/>
      <c r="N188" s="19" t="n">
        <v>0</v>
      </c>
      <c r="O188" s="19" t="n">
        <v>0</v>
      </c>
      <c r="P188" s="17" t="n">
        <f aca="false">IF(AND(ISNUMBER(H188),ISNUMBER(I188)),MAX(0,ROUND((I188-H188)*1440,0)-'Bilan agents'!$C$4),0)</f>
        <v>0</v>
      </c>
      <c r="Q188" s="8" t="str">
        <f aca="false">IF(H188="Congé","CP",IF(H188="Férié","F",IF(H188="OFF","R",IF(N188&gt;0,"A",IF(ISNUMBER(I188),"P","NR")))))</f>
        <v>R</v>
      </c>
      <c r="R188" s="18"/>
    </row>
    <row r="189" customFormat="false" ht="15" hidden="false" customHeight="false" outlineLevel="0" collapsed="false">
      <c r="A189" s="18" t="s">
        <v>26</v>
      </c>
      <c r="B189" s="8" t="s">
        <v>27</v>
      </c>
      <c r="C189" s="9" t="n">
        <v>46096</v>
      </c>
      <c r="D189" s="8" t="n">
        <v>2026</v>
      </c>
      <c r="E189" s="8" t="n">
        <v>11</v>
      </c>
      <c r="F189" s="18" t="s">
        <v>124</v>
      </c>
      <c r="G189" s="8" t="s">
        <v>114</v>
      </c>
      <c r="H189" s="19" t="s">
        <v>115</v>
      </c>
      <c r="I189" s="19"/>
      <c r="J189" s="19"/>
      <c r="K189" s="19"/>
      <c r="L189" s="19" t="n">
        <v>0</v>
      </c>
      <c r="M189" s="19"/>
      <c r="N189" s="19" t="n">
        <v>0</v>
      </c>
      <c r="O189" s="19" t="n">
        <v>0</v>
      </c>
      <c r="P189" s="17" t="n">
        <f aca="false">IF(AND(ISNUMBER(H189),ISNUMBER(I189)),MAX(0,ROUND((I189-H189)*1440,0)-'Bilan agents'!$C$4),0)</f>
        <v>0</v>
      </c>
      <c r="Q189" s="8" t="str">
        <f aca="false">IF(H189="Congé","CP",IF(H189="Férié","F",IF(H189="OFF","R",IF(N189&gt;0,"A",IF(ISNUMBER(I189),"P","NR")))))</f>
        <v>R</v>
      </c>
      <c r="R189" s="18"/>
    </row>
    <row r="190" customFormat="false" ht="15" hidden="false" customHeight="false" outlineLevel="0" collapsed="false">
      <c r="A190" s="18" t="s">
        <v>26</v>
      </c>
      <c r="B190" s="8" t="s">
        <v>27</v>
      </c>
      <c r="C190" s="9" t="n">
        <v>46102</v>
      </c>
      <c r="D190" s="8" t="n">
        <v>2026</v>
      </c>
      <c r="E190" s="8" t="n">
        <v>12</v>
      </c>
      <c r="F190" s="18" t="s">
        <v>124</v>
      </c>
      <c r="G190" s="8" t="s">
        <v>121</v>
      </c>
      <c r="H190" s="19" t="s">
        <v>115</v>
      </c>
      <c r="I190" s="19"/>
      <c r="J190" s="19"/>
      <c r="K190" s="19"/>
      <c r="L190" s="19" t="n">
        <v>0</v>
      </c>
      <c r="M190" s="19"/>
      <c r="N190" s="19" t="n">
        <v>0</v>
      </c>
      <c r="O190" s="19" t="n">
        <v>0</v>
      </c>
      <c r="P190" s="17" t="n">
        <f aca="false">IF(AND(ISNUMBER(H190),ISNUMBER(I190)),MAX(0,ROUND((I190-H190)*1440,0)-'Bilan agents'!$C$4),0)</f>
        <v>0</v>
      </c>
      <c r="Q190" s="8" t="str">
        <f aca="false">IF(H190="Congé","CP",IF(H190="Férié","F",IF(H190="OFF","R",IF(N190&gt;0,"A",IF(ISNUMBER(I190),"P","NR")))))</f>
        <v>R</v>
      </c>
      <c r="R190" s="18"/>
    </row>
    <row r="191" customFormat="false" ht="15" hidden="false" customHeight="false" outlineLevel="0" collapsed="false">
      <c r="A191" s="18" t="s">
        <v>26</v>
      </c>
      <c r="B191" s="8" t="s">
        <v>27</v>
      </c>
      <c r="C191" s="9" t="n">
        <v>46103</v>
      </c>
      <c r="D191" s="8" t="n">
        <v>2026</v>
      </c>
      <c r="E191" s="8" t="n">
        <v>12</v>
      </c>
      <c r="F191" s="18" t="s">
        <v>124</v>
      </c>
      <c r="G191" s="8" t="s">
        <v>114</v>
      </c>
      <c r="H191" s="19" t="s">
        <v>115</v>
      </c>
      <c r="I191" s="19"/>
      <c r="J191" s="19"/>
      <c r="K191" s="19"/>
      <c r="L191" s="19" t="n">
        <v>0</v>
      </c>
      <c r="M191" s="19"/>
      <c r="N191" s="19" t="n">
        <v>0</v>
      </c>
      <c r="O191" s="19" t="n">
        <v>0</v>
      </c>
      <c r="P191" s="17" t="n">
        <f aca="false">IF(AND(ISNUMBER(H191),ISNUMBER(I191)),MAX(0,ROUND((I191-H191)*1440,0)-'Bilan agents'!$C$4),0)</f>
        <v>0</v>
      </c>
      <c r="Q191" s="8" t="str">
        <f aca="false">IF(H191="Congé","CP",IF(H191="Férié","F",IF(H191="OFF","R",IF(N191&gt;0,"A",IF(ISNUMBER(I191),"P","NR")))))</f>
        <v>R</v>
      </c>
      <c r="R191" s="18"/>
    </row>
    <row r="192" customFormat="false" ht="15" hidden="false" customHeight="false" outlineLevel="0" collapsed="false">
      <c r="A192" s="18" t="s">
        <v>26</v>
      </c>
      <c r="B192" s="8" t="s">
        <v>27</v>
      </c>
      <c r="C192" s="9" t="n">
        <v>46104</v>
      </c>
      <c r="D192" s="8" t="n">
        <v>2026</v>
      </c>
      <c r="E192" s="8" t="n">
        <v>13</v>
      </c>
      <c r="F192" s="18" t="s">
        <v>124</v>
      </c>
      <c r="G192" s="8" t="s">
        <v>116</v>
      </c>
      <c r="H192" s="19" t="n">
        <v>0.333333333333333</v>
      </c>
      <c r="I192" s="19" t="n">
        <v>0.329166666666667</v>
      </c>
      <c r="J192" s="19" t="n">
        <v>0.75</v>
      </c>
      <c r="K192" s="19" t="n">
        <v>0.75</v>
      </c>
      <c r="L192" s="19" t="n">
        <v>0.375</v>
      </c>
      <c r="M192" s="19" t="n">
        <v>0.375</v>
      </c>
      <c r="N192" s="19" t="n">
        <v>0</v>
      </c>
      <c r="O192" s="19" t="n">
        <v>0.00416666666666667</v>
      </c>
      <c r="P192" s="17" t="n">
        <f aca="false">IF(AND(ISNUMBER(H192),ISNUMBER(I192)),MAX(0,ROUND((I192-H192)*1440,0)-'Bilan agents'!$C$4),0)</f>
        <v>0</v>
      </c>
      <c r="Q192" s="8" t="str">
        <f aca="false">IF(H192="Congé","CP",IF(H192="Férié","F",IF(H192="OFF","R",IF(N192&gt;0,"A",IF(ISNUMBER(I192),"P","NR")))))</f>
        <v>P</v>
      </c>
      <c r="R192" s="18"/>
    </row>
    <row r="193" customFormat="false" ht="15" hidden="false" customHeight="false" outlineLevel="0" collapsed="false">
      <c r="A193" s="18" t="s">
        <v>26</v>
      </c>
      <c r="B193" s="8" t="s">
        <v>27</v>
      </c>
      <c r="C193" s="9" t="n">
        <v>46105</v>
      </c>
      <c r="D193" s="8" t="n">
        <v>2026</v>
      </c>
      <c r="E193" s="8" t="n">
        <v>13</v>
      </c>
      <c r="F193" s="18" t="s">
        <v>124</v>
      </c>
      <c r="G193" s="8" t="s">
        <v>117</v>
      </c>
      <c r="H193" s="19" t="n">
        <v>0.333333333333333</v>
      </c>
      <c r="I193" s="19" t="n">
        <v>0.332638888888889</v>
      </c>
      <c r="J193" s="19" t="n">
        <v>0.75</v>
      </c>
      <c r="K193" s="19" t="n">
        <v>0.75</v>
      </c>
      <c r="L193" s="19" t="n">
        <v>0.375</v>
      </c>
      <c r="M193" s="19" t="n">
        <v>0.375</v>
      </c>
      <c r="N193" s="19" t="n">
        <v>0</v>
      </c>
      <c r="O193" s="19" t="n">
        <v>0</v>
      </c>
      <c r="P193" s="17" t="n">
        <f aca="false">IF(AND(ISNUMBER(H193),ISNUMBER(I193)),MAX(0,ROUND((I193-H193)*1440,0)-'Bilan agents'!$C$4),0)</f>
        <v>0</v>
      </c>
      <c r="Q193" s="8" t="str">
        <f aca="false">IF(H193="Congé","CP",IF(H193="Férié","F",IF(H193="OFF","R",IF(N193&gt;0,"A",IF(ISNUMBER(I193),"P","NR")))))</f>
        <v>P</v>
      </c>
      <c r="R193" s="18"/>
    </row>
    <row r="194" customFormat="false" ht="15" hidden="false" customHeight="false" outlineLevel="0" collapsed="false">
      <c r="A194" s="18" t="s">
        <v>26</v>
      </c>
      <c r="B194" s="8" t="s">
        <v>27</v>
      </c>
      <c r="C194" s="9" t="n">
        <v>46106</v>
      </c>
      <c r="D194" s="8" t="n">
        <v>2026</v>
      </c>
      <c r="E194" s="8" t="n">
        <v>13</v>
      </c>
      <c r="F194" s="18" t="s">
        <v>124</v>
      </c>
      <c r="G194" s="8" t="s">
        <v>118</v>
      </c>
      <c r="H194" s="19" t="n">
        <v>0.333333333333333</v>
      </c>
      <c r="I194" s="19" t="n">
        <v>0.333333333333333</v>
      </c>
      <c r="J194" s="19" t="n">
        <v>0.75</v>
      </c>
      <c r="K194" s="19" t="n">
        <v>0.75</v>
      </c>
      <c r="L194" s="19" t="n">
        <v>0.375</v>
      </c>
      <c r="M194" s="19" t="n">
        <v>0.375</v>
      </c>
      <c r="N194" s="19" t="n">
        <v>0</v>
      </c>
      <c r="O194" s="19" t="n">
        <v>0</v>
      </c>
      <c r="P194" s="17" t="n">
        <f aca="false">IF(AND(ISNUMBER(H194),ISNUMBER(I194)),MAX(0,ROUND((I194-H194)*1440,0)-'Bilan agents'!$C$4),0)</f>
        <v>0</v>
      </c>
      <c r="Q194" s="8" t="str">
        <f aca="false">IF(H194="Congé","CP",IF(H194="Férié","F",IF(H194="OFF","R",IF(N194&gt;0,"A",IF(ISNUMBER(I194),"P","NR")))))</f>
        <v>P</v>
      </c>
      <c r="R194" s="18"/>
    </row>
    <row r="195" customFormat="false" ht="15" hidden="false" customHeight="false" outlineLevel="0" collapsed="false">
      <c r="A195" s="18" t="s">
        <v>26</v>
      </c>
      <c r="B195" s="8" t="s">
        <v>27</v>
      </c>
      <c r="C195" s="9" t="n">
        <v>46107</v>
      </c>
      <c r="D195" s="8" t="n">
        <v>2026</v>
      </c>
      <c r="E195" s="8" t="n">
        <v>13</v>
      </c>
      <c r="F195" s="18" t="s">
        <v>124</v>
      </c>
      <c r="G195" s="8" t="s">
        <v>119</v>
      </c>
      <c r="H195" s="19" t="n">
        <v>0.333333333333333</v>
      </c>
      <c r="I195" s="19" t="n">
        <v>0.333333333333333</v>
      </c>
      <c r="J195" s="19" t="n">
        <v>0.75</v>
      </c>
      <c r="K195" s="19" t="n">
        <v>0.75</v>
      </c>
      <c r="L195" s="19" t="n">
        <v>0.375</v>
      </c>
      <c r="M195" s="19" t="n">
        <v>0.375</v>
      </c>
      <c r="N195" s="19" t="n">
        <v>0</v>
      </c>
      <c r="O195" s="19" t="n">
        <v>0</v>
      </c>
      <c r="P195" s="17" t="n">
        <f aca="false">IF(AND(ISNUMBER(H195),ISNUMBER(I195)),MAX(0,ROUND((I195-H195)*1440,0)-'Bilan agents'!$C$4),0)</f>
        <v>0</v>
      </c>
      <c r="Q195" s="8" t="str">
        <f aca="false">IF(H195="Congé","CP",IF(H195="Férié","F",IF(H195="OFF","R",IF(N195&gt;0,"A",IF(ISNUMBER(I195),"P","NR")))))</f>
        <v>P</v>
      </c>
      <c r="R195" s="18"/>
    </row>
    <row r="196" customFormat="false" ht="15" hidden="false" customHeight="false" outlineLevel="0" collapsed="false">
      <c r="A196" s="18" t="s">
        <v>26</v>
      </c>
      <c r="B196" s="8" t="s">
        <v>27</v>
      </c>
      <c r="C196" s="9" t="n">
        <v>46108</v>
      </c>
      <c r="D196" s="8" t="n">
        <v>2026</v>
      </c>
      <c r="E196" s="8" t="n">
        <v>13</v>
      </c>
      <c r="F196" s="18" t="s">
        <v>124</v>
      </c>
      <c r="G196" s="8" t="s">
        <v>120</v>
      </c>
      <c r="H196" s="19" t="n">
        <v>0.333333333333333</v>
      </c>
      <c r="I196" s="19" t="n">
        <v>0.333333333333333</v>
      </c>
      <c r="J196" s="19" t="n">
        <v>0.708333333333333</v>
      </c>
      <c r="K196" s="19" t="n">
        <v>0.708333333333333</v>
      </c>
      <c r="L196" s="19" t="n">
        <v>0.333333333333333</v>
      </c>
      <c r="M196" s="19" t="n">
        <v>0.333333333333333</v>
      </c>
      <c r="N196" s="19" t="n">
        <v>0</v>
      </c>
      <c r="O196" s="19" t="n">
        <v>0</v>
      </c>
      <c r="P196" s="17" t="n">
        <f aca="false">IF(AND(ISNUMBER(H196),ISNUMBER(I196)),MAX(0,ROUND((I196-H196)*1440,0)-'Bilan agents'!$C$4),0)</f>
        <v>0</v>
      </c>
      <c r="Q196" s="8" t="str">
        <f aca="false">IF(H196="Congé","CP",IF(H196="Férié","F",IF(H196="OFF","R",IF(N196&gt;0,"A",IF(ISNUMBER(I196),"P","NR")))))</f>
        <v>P</v>
      </c>
      <c r="R196" s="18"/>
    </row>
    <row r="197" customFormat="false" ht="15" hidden="false" customHeight="false" outlineLevel="0" collapsed="false">
      <c r="A197" s="18" t="s">
        <v>26</v>
      </c>
      <c r="B197" s="8" t="s">
        <v>27</v>
      </c>
      <c r="C197" s="9" t="n">
        <v>46109</v>
      </c>
      <c r="D197" s="8" t="n">
        <v>2026</v>
      </c>
      <c r="E197" s="8" t="n">
        <v>13</v>
      </c>
      <c r="F197" s="18" t="s">
        <v>124</v>
      </c>
      <c r="G197" s="8" t="s">
        <v>121</v>
      </c>
      <c r="H197" s="19" t="s">
        <v>115</v>
      </c>
      <c r="I197" s="19"/>
      <c r="J197" s="19"/>
      <c r="K197" s="19"/>
      <c r="L197" s="19" t="n">
        <v>0</v>
      </c>
      <c r="M197" s="19"/>
      <c r="N197" s="19" t="n">
        <v>0</v>
      </c>
      <c r="O197" s="19" t="n">
        <v>0</v>
      </c>
      <c r="P197" s="17" t="n">
        <f aca="false">IF(AND(ISNUMBER(H197),ISNUMBER(I197)),MAX(0,ROUND((I197-H197)*1440,0)-'Bilan agents'!$C$4),0)</f>
        <v>0</v>
      </c>
      <c r="Q197" s="8" t="str">
        <f aca="false">IF(H197="Congé","CP",IF(H197="Férié","F",IF(H197="OFF","R",IF(N197&gt;0,"A",IF(ISNUMBER(I197),"P","NR")))))</f>
        <v>R</v>
      </c>
      <c r="R197" s="18"/>
    </row>
    <row r="198" customFormat="false" ht="15" hidden="false" customHeight="false" outlineLevel="0" collapsed="false">
      <c r="A198" s="18" t="s">
        <v>26</v>
      </c>
      <c r="B198" s="8" t="s">
        <v>27</v>
      </c>
      <c r="C198" s="9" t="n">
        <v>46110</v>
      </c>
      <c r="D198" s="8" t="n">
        <v>2026</v>
      </c>
      <c r="E198" s="8" t="n">
        <v>13</v>
      </c>
      <c r="F198" s="18" t="s">
        <v>124</v>
      </c>
      <c r="G198" s="8" t="s">
        <v>114</v>
      </c>
      <c r="H198" s="19" t="s">
        <v>115</v>
      </c>
      <c r="I198" s="19"/>
      <c r="J198" s="19"/>
      <c r="K198" s="19"/>
      <c r="L198" s="19" t="n">
        <v>0</v>
      </c>
      <c r="M198" s="19"/>
      <c r="N198" s="19" t="n">
        <v>0</v>
      </c>
      <c r="O198" s="19" t="n">
        <v>0</v>
      </c>
      <c r="P198" s="17" t="n">
        <f aca="false">IF(AND(ISNUMBER(H198),ISNUMBER(I198)),MAX(0,ROUND((I198-H198)*1440,0)-'Bilan agents'!$C$4),0)</f>
        <v>0</v>
      </c>
      <c r="Q198" s="8" t="str">
        <f aca="false">IF(H198="Congé","CP",IF(H198="Férié","F",IF(H198="OFF","R",IF(N198&gt;0,"A",IF(ISNUMBER(I198),"P","NR")))))</f>
        <v>R</v>
      </c>
      <c r="R198" s="18"/>
    </row>
    <row r="199" customFormat="false" ht="15" hidden="false" customHeight="false" outlineLevel="0" collapsed="false">
      <c r="A199" s="18" t="s">
        <v>26</v>
      </c>
      <c r="B199" s="8" t="s">
        <v>27</v>
      </c>
      <c r="C199" s="9" t="n">
        <v>46111</v>
      </c>
      <c r="D199" s="8" t="n">
        <v>2026</v>
      </c>
      <c r="E199" s="8" t="n">
        <v>14</v>
      </c>
      <c r="F199" s="18" t="s">
        <v>124</v>
      </c>
      <c r="G199" s="8" t="s">
        <v>116</v>
      </c>
      <c r="H199" s="19" t="n">
        <v>0.333333333333333</v>
      </c>
      <c r="I199" s="19" t="n">
        <v>0.332638888888889</v>
      </c>
      <c r="J199" s="19" t="n">
        <v>0.75</v>
      </c>
      <c r="K199" s="19" t="n">
        <v>0.75</v>
      </c>
      <c r="L199" s="19" t="n">
        <v>0.375</v>
      </c>
      <c r="M199" s="19" t="n">
        <v>0.375</v>
      </c>
      <c r="N199" s="19" t="n">
        <v>0</v>
      </c>
      <c r="O199" s="19" t="n">
        <v>0</v>
      </c>
      <c r="P199" s="17" t="n">
        <f aca="false">IF(AND(ISNUMBER(H199),ISNUMBER(I199)),MAX(0,ROUND((I199-H199)*1440,0)-'Bilan agents'!$C$4),0)</f>
        <v>0</v>
      </c>
      <c r="Q199" s="8" t="str">
        <f aca="false">IF(H199="Congé","CP",IF(H199="Férié","F",IF(H199="OFF","R",IF(N199&gt;0,"A",IF(ISNUMBER(I199),"P","NR")))))</f>
        <v>P</v>
      </c>
      <c r="R199" s="18"/>
    </row>
    <row r="200" customFormat="false" ht="15" hidden="false" customHeight="false" outlineLevel="0" collapsed="false">
      <c r="A200" s="18" t="s">
        <v>26</v>
      </c>
      <c r="B200" s="8" t="s">
        <v>27</v>
      </c>
      <c r="C200" s="9" t="n">
        <v>46112</v>
      </c>
      <c r="D200" s="8" t="n">
        <v>2026</v>
      </c>
      <c r="E200" s="8" t="n">
        <v>14</v>
      </c>
      <c r="F200" s="18" t="s">
        <v>124</v>
      </c>
      <c r="G200" s="8" t="s">
        <v>117</v>
      </c>
      <c r="H200" s="19" t="n">
        <v>0.333333333333333</v>
      </c>
      <c r="I200" s="19" t="n">
        <v>0.332638888888889</v>
      </c>
      <c r="J200" s="19" t="n">
        <v>0.75</v>
      </c>
      <c r="K200" s="19" t="n">
        <v>0.75</v>
      </c>
      <c r="L200" s="19" t="n">
        <v>0.375</v>
      </c>
      <c r="M200" s="19" t="n">
        <v>0.375</v>
      </c>
      <c r="N200" s="19" t="n">
        <v>0</v>
      </c>
      <c r="O200" s="19" t="n">
        <v>0</v>
      </c>
      <c r="P200" s="17" t="n">
        <f aca="false">IF(AND(ISNUMBER(H200),ISNUMBER(I200)),MAX(0,ROUND((I200-H200)*1440,0)-'Bilan agents'!$C$4),0)</f>
        <v>0</v>
      </c>
      <c r="Q200" s="8" t="str">
        <f aca="false">IF(H200="Congé","CP",IF(H200="Férié","F",IF(H200="OFF","R",IF(N200&gt;0,"A",IF(ISNUMBER(I200),"P","NR")))))</f>
        <v>P</v>
      </c>
      <c r="R200" s="18"/>
    </row>
    <row r="201" customFormat="false" ht="15" hidden="false" customHeight="false" outlineLevel="0" collapsed="false">
      <c r="A201" s="18" t="s">
        <v>26</v>
      </c>
      <c r="B201" s="8" t="s">
        <v>27</v>
      </c>
      <c r="C201" s="9" t="n">
        <v>46113</v>
      </c>
      <c r="D201" s="8" t="n">
        <v>2026</v>
      </c>
      <c r="E201" s="8" t="n">
        <v>14</v>
      </c>
      <c r="F201" s="18" t="s">
        <v>125</v>
      </c>
      <c r="G201" s="8" t="s">
        <v>118</v>
      </c>
      <c r="H201" s="19" t="n">
        <v>0.333333333333333</v>
      </c>
      <c r="I201" s="19" t="n">
        <v>0.332638888888889</v>
      </c>
      <c r="J201" s="19" t="n">
        <v>0.75</v>
      </c>
      <c r="K201" s="19" t="n">
        <v>0.75</v>
      </c>
      <c r="L201" s="19" t="n">
        <v>0.375</v>
      </c>
      <c r="M201" s="19" t="n">
        <v>0.375</v>
      </c>
      <c r="N201" s="19" t="n">
        <v>0</v>
      </c>
      <c r="O201" s="19" t="n">
        <v>0</v>
      </c>
      <c r="P201" s="17" t="n">
        <f aca="false">IF(AND(ISNUMBER(H201),ISNUMBER(I201)),MAX(0,ROUND((I201-H201)*1440,0)-'Bilan agents'!$C$4),0)</f>
        <v>0</v>
      </c>
      <c r="Q201" s="8" t="str">
        <f aca="false">IF(H201="Congé","CP",IF(H201="Férié","F",IF(H201="OFF","R",IF(N201&gt;0,"A",IF(ISNUMBER(I201),"P","NR")))))</f>
        <v>P</v>
      </c>
      <c r="R201" s="18"/>
    </row>
    <row r="202" customFormat="false" ht="15" hidden="false" customHeight="false" outlineLevel="0" collapsed="false">
      <c r="A202" s="18" t="s">
        <v>26</v>
      </c>
      <c r="B202" s="8" t="s">
        <v>27</v>
      </c>
      <c r="C202" s="9" t="n">
        <v>46114</v>
      </c>
      <c r="D202" s="8" t="n">
        <v>2026</v>
      </c>
      <c r="E202" s="8" t="n">
        <v>14</v>
      </c>
      <c r="F202" s="18" t="s">
        <v>125</v>
      </c>
      <c r="G202" s="8" t="s">
        <v>119</v>
      </c>
      <c r="H202" s="19" t="n">
        <v>0.333333333333333</v>
      </c>
      <c r="I202" s="19" t="n">
        <v>0.333333333333333</v>
      </c>
      <c r="J202" s="19" t="n">
        <v>0.75</v>
      </c>
      <c r="K202" s="19" t="n">
        <v>0.75</v>
      </c>
      <c r="L202" s="19" t="n">
        <v>0.375</v>
      </c>
      <c r="M202" s="19" t="n">
        <v>0.375</v>
      </c>
      <c r="N202" s="19" t="n">
        <v>0</v>
      </c>
      <c r="O202" s="19" t="n">
        <v>0</v>
      </c>
      <c r="P202" s="17" t="n">
        <f aca="false">IF(AND(ISNUMBER(H202),ISNUMBER(I202)),MAX(0,ROUND((I202-H202)*1440,0)-'Bilan agents'!$C$4),0)</f>
        <v>0</v>
      </c>
      <c r="Q202" s="8" t="str">
        <f aca="false">IF(H202="Congé","CP",IF(H202="Férié","F",IF(H202="OFF","R",IF(N202&gt;0,"A",IF(ISNUMBER(I202),"P","NR")))))</f>
        <v>P</v>
      </c>
      <c r="R202" s="18"/>
    </row>
    <row r="203" customFormat="false" ht="15" hidden="false" customHeight="false" outlineLevel="0" collapsed="false">
      <c r="A203" s="18" t="s">
        <v>26</v>
      </c>
      <c r="B203" s="8" t="s">
        <v>27</v>
      </c>
      <c r="C203" s="9" t="n">
        <v>46115</v>
      </c>
      <c r="D203" s="8" t="n">
        <v>2026</v>
      </c>
      <c r="E203" s="8" t="n">
        <v>14</v>
      </c>
      <c r="F203" s="18" t="s">
        <v>125</v>
      </c>
      <c r="G203" s="8" t="s">
        <v>120</v>
      </c>
      <c r="H203" s="19" t="n">
        <v>0.333333333333333</v>
      </c>
      <c r="I203" s="19" t="n">
        <v>0.333333333333333</v>
      </c>
      <c r="J203" s="19" t="n">
        <v>0.708333333333333</v>
      </c>
      <c r="K203" s="19" t="n">
        <v>0.708333333333333</v>
      </c>
      <c r="L203" s="19" t="n">
        <v>0.333333333333333</v>
      </c>
      <c r="M203" s="19" t="n">
        <v>0.333333333333333</v>
      </c>
      <c r="N203" s="19" t="n">
        <v>0</v>
      </c>
      <c r="O203" s="19" t="n">
        <v>0</v>
      </c>
      <c r="P203" s="17" t="n">
        <f aca="false">IF(AND(ISNUMBER(H203),ISNUMBER(I203)),MAX(0,ROUND((I203-H203)*1440,0)-'Bilan agents'!$C$4),0)</f>
        <v>0</v>
      </c>
      <c r="Q203" s="8" t="str">
        <f aca="false">IF(H203="Congé","CP",IF(H203="Férié","F",IF(H203="OFF","R",IF(N203&gt;0,"A",IF(ISNUMBER(I203),"P","NR")))))</f>
        <v>P</v>
      </c>
      <c r="R203" s="18"/>
    </row>
    <row r="204" customFormat="false" ht="15" hidden="false" customHeight="false" outlineLevel="0" collapsed="false">
      <c r="A204" s="18" t="s">
        <v>26</v>
      </c>
      <c r="B204" s="8" t="s">
        <v>27</v>
      </c>
      <c r="C204" s="9" t="n">
        <v>46116</v>
      </c>
      <c r="D204" s="8" t="n">
        <v>2026</v>
      </c>
      <c r="E204" s="8" t="n">
        <v>14</v>
      </c>
      <c r="F204" s="18" t="s">
        <v>125</v>
      </c>
      <c r="G204" s="8" t="s">
        <v>121</v>
      </c>
      <c r="H204" s="19" t="s">
        <v>115</v>
      </c>
      <c r="I204" s="19"/>
      <c r="J204" s="19"/>
      <c r="K204" s="19"/>
      <c r="L204" s="19" t="n">
        <v>0</v>
      </c>
      <c r="M204" s="19"/>
      <c r="N204" s="19" t="n">
        <v>0</v>
      </c>
      <c r="O204" s="19" t="n">
        <v>0</v>
      </c>
      <c r="P204" s="17" t="n">
        <f aca="false">IF(AND(ISNUMBER(H204),ISNUMBER(I204)),MAX(0,ROUND((I204-H204)*1440,0)-'Bilan agents'!$C$4),0)</f>
        <v>0</v>
      </c>
      <c r="Q204" s="8" t="str">
        <f aca="false">IF(H204="Congé","CP",IF(H204="Férié","F",IF(H204="OFF","R",IF(N204&gt;0,"A",IF(ISNUMBER(I204),"P","NR")))))</f>
        <v>R</v>
      </c>
      <c r="R204" s="18"/>
    </row>
    <row r="205" customFormat="false" ht="15" hidden="false" customHeight="false" outlineLevel="0" collapsed="false">
      <c r="A205" s="18" t="s">
        <v>26</v>
      </c>
      <c r="B205" s="8" t="s">
        <v>27</v>
      </c>
      <c r="C205" s="9" t="n">
        <v>46117</v>
      </c>
      <c r="D205" s="8" t="n">
        <v>2026</v>
      </c>
      <c r="E205" s="8" t="n">
        <v>14</v>
      </c>
      <c r="F205" s="18" t="s">
        <v>125</v>
      </c>
      <c r="G205" s="8" t="s">
        <v>114</v>
      </c>
      <c r="H205" s="19" t="s">
        <v>115</v>
      </c>
      <c r="I205" s="19"/>
      <c r="J205" s="19"/>
      <c r="K205" s="19"/>
      <c r="L205" s="19" t="n">
        <v>0</v>
      </c>
      <c r="M205" s="19"/>
      <c r="N205" s="19" t="n">
        <v>0</v>
      </c>
      <c r="O205" s="19" t="n">
        <v>0</v>
      </c>
      <c r="P205" s="17" t="n">
        <f aca="false">IF(AND(ISNUMBER(H205),ISNUMBER(I205)),MAX(0,ROUND((I205-H205)*1440,0)-'Bilan agents'!$C$4),0)</f>
        <v>0</v>
      </c>
      <c r="Q205" s="8" t="str">
        <f aca="false">IF(H205="Congé","CP",IF(H205="Férié","F",IF(H205="OFF","R",IF(N205&gt;0,"A",IF(ISNUMBER(I205),"P","NR")))))</f>
        <v>R</v>
      </c>
      <c r="R205" s="18"/>
    </row>
    <row r="206" customFormat="false" ht="15" hidden="false" customHeight="false" outlineLevel="0" collapsed="false">
      <c r="A206" s="18" t="s">
        <v>26</v>
      </c>
      <c r="B206" s="8" t="s">
        <v>27</v>
      </c>
      <c r="C206" s="9" t="n">
        <v>46118</v>
      </c>
      <c r="D206" s="8" t="n">
        <v>2026</v>
      </c>
      <c r="E206" s="8" t="n">
        <v>15</v>
      </c>
      <c r="F206" s="18" t="s">
        <v>125</v>
      </c>
      <c r="G206" s="8" t="s">
        <v>116</v>
      </c>
      <c r="H206" s="19" t="s">
        <v>115</v>
      </c>
      <c r="I206" s="19"/>
      <c r="J206" s="19"/>
      <c r="K206" s="19"/>
      <c r="L206" s="19" t="n">
        <v>0</v>
      </c>
      <c r="M206" s="19"/>
      <c r="N206" s="19" t="n">
        <v>0</v>
      </c>
      <c r="O206" s="19" t="n">
        <v>0</v>
      </c>
      <c r="P206" s="17" t="n">
        <f aca="false">IF(AND(ISNUMBER(H206),ISNUMBER(I206)),MAX(0,ROUND((I206-H206)*1440,0)-'Bilan agents'!$C$4),0)</f>
        <v>0</v>
      </c>
      <c r="Q206" s="8" t="str">
        <f aca="false">IF(H206="Congé","CP",IF(H206="Férié","F",IF(H206="OFF","R",IF(N206&gt;0,"A",IF(ISNUMBER(I206),"P","NR")))))</f>
        <v>R</v>
      </c>
      <c r="R206" s="18"/>
    </row>
    <row r="207" customFormat="false" ht="15" hidden="false" customHeight="false" outlineLevel="0" collapsed="false">
      <c r="A207" s="18" t="s">
        <v>26</v>
      </c>
      <c r="B207" s="8" t="s">
        <v>27</v>
      </c>
      <c r="C207" s="9" t="n">
        <v>46119</v>
      </c>
      <c r="D207" s="8" t="n">
        <v>2026</v>
      </c>
      <c r="E207" s="8" t="n">
        <v>15</v>
      </c>
      <c r="F207" s="18" t="s">
        <v>125</v>
      </c>
      <c r="G207" s="8" t="s">
        <v>117</v>
      </c>
      <c r="H207" s="19" t="n">
        <v>0.333333333333333</v>
      </c>
      <c r="I207" s="19" t="n">
        <v>0.331944444444444</v>
      </c>
      <c r="J207" s="19" t="n">
        <v>0.75</v>
      </c>
      <c r="K207" s="19" t="n">
        <v>0.75</v>
      </c>
      <c r="L207" s="19" t="n">
        <v>0.375</v>
      </c>
      <c r="M207" s="19" t="n">
        <v>0.375</v>
      </c>
      <c r="N207" s="19" t="n">
        <v>0</v>
      </c>
      <c r="O207" s="19" t="n">
        <v>0.00138888888888889</v>
      </c>
      <c r="P207" s="17" t="n">
        <f aca="false">IF(AND(ISNUMBER(H207),ISNUMBER(I207)),MAX(0,ROUND((I207-H207)*1440,0)-'Bilan agents'!$C$4),0)</f>
        <v>0</v>
      </c>
      <c r="Q207" s="8" t="str">
        <f aca="false">IF(H207="Congé","CP",IF(H207="Férié","F",IF(H207="OFF","R",IF(N207&gt;0,"A",IF(ISNUMBER(I207),"P","NR")))))</f>
        <v>P</v>
      </c>
      <c r="R207" s="18"/>
    </row>
    <row r="208" customFormat="false" ht="15" hidden="false" customHeight="false" outlineLevel="0" collapsed="false">
      <c r="A208" s="18" t="s">
        <v>26</v>
      </c>
      <c r="B208" s="8" t="s">
        <v>27</v>
      </c>
      <c r="C208" s="9" t="n">
        <v>46120</v>
      </c>
      <c r="D208" s="8" t="n">
        <v>2026</v>
      </c>
      <c r="E208" s="8" t="n">
        <v>15</v>
      </c>
      <c r="F208" s="18" t="s">
        <v>125</v>
      </c>
      <c r="G208" s="8" t="s">
        <v>118</v>
      </c>
      <c r="H208" s="19" t="n">
        <v>0.333333333333333</v>
      </c>
      <c r="I208" s="19" t="n">
        <v>0.332638888888889</v>
      </c>
      <c r="J208" s="19" t="n">
        <v>0.75</v>
      </c>
      <c r="K208" s="19" t="n">
        <v>0.75</v>
      </c>
      <c r="L208" s="19" t="n">
        <v>0.375</v>
      </c>
      <c r="M208" s="19" t="n">
        <v>0.375</v>
      </c>
      <c r="N208" s="19" t="n">
        <v>0</v>
      </c>
      <c r="O208" s="19" t="n">
        <v>0</v>
      </c>
      <c r="P208" s="17" t="n">
        <f aca="false">IF(AND(ISNUMBER(H208),ISNUMBER(I208)),MAX(0,ROUND((I208-H208)*1440,0)-'Bilan agents'!$C$4),0)</f>
        <v>0</v>
      </c>
      <c r="Q208" s="8" t="str">
        <f aca="false">IF(H208="Congé","CP",IF(H208="Férié","F",IF(H208="OFF","R",IF(N208&gt;0,"A",IF(ISNUMBER(I208),"P","NR")))))</f>
        <v>P</v>
      </c>
      <c r="R208" s="18"/>
    </row>
    <row r="209" customFormat="false" ht="15" hidden="false" customHeight="false" outlineLevel="0" collapsed="false">
      <c r="A209" s="18" t="s">
        <v>26</v>
      </c>
      <c r="B209" s="8" t="s">
        <v>27</v>
      </c>
      <c r="C209" s="9" t="n">
        <v>46121</v>
      </c>
      <c r="D209" s="8" t="n">
        <v>2026</v>
      </c>
      <c r="E209" s="8" t="n">
        <v>15</v>
      </c>
      <c r="F209" s="18" t="s">
        <v>125</v>
      </c>
      <c r="G209" s="8" t="s">
        <v>119</v>
      </c>
      <c r="H209" s="19" t="n">
        <v>0.333333333333333</v>
      </c>
      <c r="I209" s="19" t="n">
        <v>0.333333333333333</v>
      </c>
      <c r="J209" s="19" t="n">
        <v>0.75</v>
      </c>
      <c r="K209" s="19" t="n">
        <v>0.75</v>
      </c>
      <c r="L209" s="19" t="n">
        <v>0.375</v>
      </c>
      <c r="M209" s="19" t="n">
        <v>0.375</v>
      </c>
      <c r="N209" s="19" t="n">
        <v>0</v>
      </c>
      <c r="O209" s="19" t="n">
        <v>0</v>
      </c>
      <c r="P209" s="17" t="n">
        <f aca="false">IF(AND(ISNUMBER(H209),ISNUMBER(I209)),MAX(0,ROUND((I209-H209)*1440,0)-'Bilan agents'!$C$4),0)</f>
        <v>0</v>
      </c>
      <c r="Q209" s="8" t="str">
        <f aca="false">IF(H209="Congé","CP",IF(H209="Férié","F",IF(H209="OFF","R",IF(N209&gt;0,"A",IF(ISNUMBER(I209),"P","NR")))))</f>
        <v>P</v>
      </c>
      <c r="R209" s="18"/>
    </row>
    <row r="210" customFormat="false" ht="15" hidden="false" customHeight="false" outlineLevel="0" collapsed="false">
      <c r="A210" s="18" t="s">
        <v>26</v>
      </c>
      <c r="B210" s="8" t="s">
        <v>27</v>
      </c>
      <c r="C210" s="9" t="n">
        <v>46122</v>
      </c>
      <c r="D210" s="8" t="n">
        <v>2026</v>
      </c>
      <c r="E210" s="8" t="n">
        <v>15</v>
      </c>
      <c r="F210" s="18" t="s">
        <v>125</v>
      </c>
      <c r="G210" s="8" t="s">
        <v>120</v>
      </c>
      <c r="H210" s="19" t="n">
        <v>0.333333333333333</v>
      </c>
      <c r="I210" s="19" t="n">
        <v>0.333333333333333</v>
      </c>
      <c r="J210" s="19" t="n">
        <v>0.708333333333333</v>
      </c>
      <c r="K210" s="19" t="n">
        <v>0.708333333333333</v>
      </c>
      <c r="L210" s="19" t="n">
        <v>0.333333333333333</v>
      </c>
      <c r="M210" s="19" t="n">
        <v>0.333333333333333</v>
      </c>
      <c r="N210" s="19" t="n">
        <v>0</v>
      </c>
      <c r="O210" s="19" t="n">
        <v>0</v>
      </c>
      <c r="P210" s="17" t="n">
        <f aca="false">IF(AND(ISNUMBER(H210),ISNUMBER(I210)),MAX(0,ROUND((I210-H210)*1440,0)-'Bilan agents'!$C$4),0)</f>
        <v>0</v>
      </c>
      <c r="Q210" s="8" t="str">
        <f aca="false">IF(H210="Congé","CP",IF(H210="Férié","F",IF(H210="OFF","R",IF(N210&gt;0,"A",IF(ISNUMBER(I210),"P","NR")))))</f>
        <v>P</v>
      </c>
      <c r="R210" s="18"/>
    </row>
    <row r="211" customFormat="false" ht="15" hidden="false" customHeight="false" outlineLevel="0" collapsed="false">
      <c r="A211" s="18" t="s">
        <v>26</v>
      </c>
      <c r="B211" s="8" t="s">
        <v>27</v>
      </c>
      <c r="C211" s="9" t="n">
        <v>46123</v>
      </c>
      <c r="D211" s="8" t="n">
        <v>2026</v>
      </c>
      <c r="E211" s="8" t="n">
        <v>15</v>
      </c>
      <c r="F211" s="18" t="s">
        <v>125</v>
      </c>
      <c r="G211" s="8" t="s">
        <v>121</v>
      </c>
      <c r="H211" s="19" t="s">
        <v>115</v>
      </c>
      <c r="I211" s="19"/>
      <c r="J211" s="19"/>
      <c r="K211" s="19"/>
      <c r="L211" s="19" t="n">
        <v>0</v>
      </c>
      <c r="M211" s="19"/>
      <c r="N211" s="19" t="n">
        <v>0</v>
      </c>
      <c r="O211" s="19" t="n">
        <v>0</v>
      </c>
      <c r="P211" s="17" t="n">
        <f aca="false">IF(AND(ISNUMBER(H211),ISNUMBER(I211)),MAX(0,ROUND((I211-H211)*1440,0)-'Bilan agents'!$C$4),0)</f>
        <v>0</v>
      </c>
      <c r="Q211" s="8" t="str">
        <f aca="false">IF(H211="Congé","CP",IF(H211="Férié","F",IF(H211="OFF","R",IF(N211&gt;0,"A",IF(ISNUMBER(I211),"P","NR")))))</f>
        <v>R</v>
      </c>
      <c r="R211" s="18"/>
    </row>
    <row r="212" customFormat="false" ht="15" hidden="false" customHeight="false" outlineLevel="0" collapsed="false">
      <c r="A212" s="18" t="s">
        <v>26</v>
      </c>
      <c r="B212" s="8" t="s">
        <v>27</v>
      </c>
      <c r="C212" s="9" t="n">
        <v>46124</v>
      </c>
      <c r="D212" s="8" t="n">
        <v>2026</v>
      </c>
      <c r="E212" s="8" t="n">
        <v>15</v>
      </c>
      <c r="F212" s="18" t="s">
        <v>125</v>
      </c>
      <c r="G212" s="8" t="s">
        <v>114</v>
      </c>
      <c r="H212" s="19" t="s">
        <v>115</v>
      </c>
      <c r="I212" s="19"/>
      <c r="J212" s="19"/>
      <c r="K212" s="19"/>
      <c r="L212" s="19" t="n">
        <v>0</v>
      </c>
      <c r="M212" s="19"/>
      <c r="N212" s="19" t="n">
        <v>0</v>
      </c>
      <c r="O212" s="19" t="n">
        <v>0</v>
      </c>
      <c r="P212" s="17" t="n">
        <f aca="false">IF(AND(ISNUMBER(H212),ISNUMBER(I212)),MAX(0,ROUND((I212-H212)*1440,0)-'Bilan agents'!$C$4),0)</f>
        <v>0</v>
      </c>
      <c r="Q212" s="8" t="str">
        <f aca="false">IF(H212="Congé","CP",IF(H212="Férié","F",IF(H212="OFF","R",IF(N212&gt;0,"A",IF(ISNUMBER(I212),"P","NR")))))</f>
        <v>R</v>
      </c>
      <c r="R212" s="18"/>
    </row>
    <row r="213" customFormat="false" ht="15" hidden="false" customHeight="false" outlineLevel="0" collapsed="false">
      <c r="A213" s="18" t="s">
        <v>26</v>
      </c>
      <c r="B213" s="8" t="s">
        <v>27</v>
      </c>
      <c r="C213" s="9" t="n">
        <v>46125</v>
      </c>
      <c r="D213" s="8" t="n">
        <v>2026</v>
      </c>
      <c r="E213" s="8" t="n">
        <v>16</v>
      </c>
      <c r="F213" s="18" t="s">
        <v>125</v>
      </c>
      <c r="G213" s="8" t="s">
        <v>116</v>
      </c>
      <c r="H213" s="19" t="n">
        <v>0.333333333333333</v>
      </c>
      <c r="I213" s="19" t="n">
        <v>0.331944444444444</v>
      </c>
      <c r="J213" s="19" t="n">
        <v>0.75</v>
      </c>
      <c r="K213" s="19" t="n">
        <v>0.75</v>
      </c>
      <c r="L213" s="19" t="n">
        <v>0.375</v>
      </c>
      <c r="M213" s="19" t="n">
        <v>0.375</v>
      </c>
      <c r="N213" s="19" t="n">
        <v>0</v>
      </c>
      <c r="O213" s="19" t="n">
        <v>0.00138888888888889</v>
      </c>
      <c r="P213" s="17" t="n">
        <f aca="false">IF(AND(ISNUMBER(H213),ISNUMBER(I213)),MAX(0,ROUND((I213-H213)*1440,0)-'Bilan agents'!$C$4),0)</f>
        <v>0</v>
      </c>
      <c r="Q213" s="8" t="str">
        <f aca="false">IF(H213="Congé","CP",IF(H213="Férié","F",IF(H213="OFF","R",IF(N213&gt;0,"A",IF(ISNUMBER(I213),"P","NR")))))</f>
        <v>P</v>
      </c>
      <c r="R213" s="18"/>
    </row>
    <row r="214" customFormat="false" ht="15" hidden="false" customHeight="false" outlineLevel="0" collapsed="false">
      <c r="A214" s="18" t="s">
        <v>26</v>
      </c>
      <c r="B214" s="8" t="s">
        <v>27</v>
      </c>
      <c r="C214" s="9" t="n">
        <v>46126</v>
      </c>
      <c r="D214" s="8" t="n">
        <v>2026</v>
      </c>
      <c r="E214" s="8" t="n">
        <v>16</v>
      </c>
      <c r="F214" s="18" t="s">
        <v>125</v>
      </c>
      <c r="G214" s="8" t="s">
        <v>117</v>
      </c>
      <c r="H214" s="19" t="n">
        <v>0.333333333333333</v>
      </c>
      <c r="I214" s="19" t="n">
        <v>0.33125</v>
      </c>
      <c r="J214" s="19" t="n">
        <v>0.75</v>
      </c>
      <c r="K214" s="19" t="n">
        <v>0.75</v>
      </c>
      <c r="L214" s="19" t="n">
        <v>0.375</v>
      </c>
      <c r="M214" s="19" t="n">
        <v>0.375</v>
      </c>
      <c r="N214" s="19" t="n">
        <v>0</v>
      </c>
      <c r="O214" s="19" t="n">
        <v>0.00208333333333333</v>
      </c>
      <c r="P214" s="17" t="n">
        <f aca="false">IF(AND(ISNUMBER(H214),ISNUMBER(I214)),MAX(0,ROUND((I214-H214)*1440,0)-'Bilan agents'!$C$4),0)</f>
        <v>0</v>
      </c>
      <c r="Q214" s="8" t="str">
        <f aca="false">IF(H214="Congé","CP",IF(H214="Férié","F",IF(H214="OFF","R",IF(N214&gt;0,"A",IF(ISNUMBER(I214),"P","NR")))))</f>
        <v>P</v>
      </c>
      <c r="R214" s="18"/>
    </row>
    <row r="215" customFormat="false" ht="15" hidden="false" customHeight="false" outlineLevel="0" collapsed="false">
      <c r="A215" s="18" t="s">
        <v>26</v>
      </c>
      <c r="B215" s="8" t="s">
        <v>27</v>
      </c>
      <c r="C215" s="9" t="n">
        <v>46127</v>
      </c>
      <c r="D215" s="8" t="n">
        <v>2026</v>
      </c>
      <c r="E215" s="8" t="n">
        <v>16</v>
      </c>
      <c r="F215" s="18" t="s">
        <v>125</v>
      </c>
      <c r="G215" s="8" t="s">
        <v>118</v>
      </c>
      <c r="H215" s="19" t="n">
        <v>0.333333333333333</v>
      </c>
      <c r="I215" s="19" t="n">
        <v>0.332638888888889</v>
      </c>
      <c r="J215" s="19" t="n">
        <v>0.75</v>
      </c>
      <c r="K215" s="19" t="n">
        <v>0.75</v>
      </c>
      <c r="L215" s="19" t="n">
        <v>0.375</v>
      </c>
      <c r="M215" s="19" t="n">
        <v>0.375</v>
      </c>
      <c r="N215" s="19" t="n">
        <v>0</v>
      </c>
      <c r="O215" s="19" t="n">
        <v>0</v>
      </c>
      <c r="P215" s="17" t="n">
        <f aca="false">IF(AND(ISNUMBER(H215),ISNUMBER(I215)),MAX(0,ROUND((I215-H215)*1440,0)-'Bilan agents'!$C$4),0)</f>
        <v>0</v>
      </c>
      <c r="Q215" s="8" t="str">
        <f aca="false">IF(H215="Congé","CP",IF(H215="Férié","F",IF(H215="OFF","R",IF(N215&gt;0,"A",IF(ISNUMBER(I215),"P","NR")))))</f>
        <v>P</v>
      </c>
      <c r="R215" s="18"/>
    </row>
    <row r="216" customFormat="false" ht="15" hidden="false" customHeight="false" outlineLevel="0" collapsed="false">
      <c r="A216" s="18" t="s">
        <v>26</v>
      </c>
      <c r="B216" s="8" t="s">
        <v>27</v>
      </c>
      <c r="C216" s="9" t="n">
        <v>46128</v>
      </c>
      <c r="D216" s="8" t="n">
        <v>2026</v>
      </c>
      <c r="E216" s="8" t="n">
        <v>16</v>
      </c>
      <c r="F216" s="18" t="s">
        <v>125</v>
      </c>
      <c r="G216" s="8" t="s">
        <v>119</v>
      </c>
      <c r="H216" s="19" t="n">
        <v>0.333333333333333</v>
      </c>
      <c r="I216" s="19" t="n">
        <v>0.331944444444444</v>
      </c>
      <c r="J216" s="19" t="n">
        <v>0.75</v>
      </c>
      <c r="K216" s="19" t="n">
        <v>0.75</v>
      </c>
      <c r="L216" s="19" t="n">
        <v>0.375</v>
      </c>
      <c r="M216" s="19" t="n">
        <v>0.375</v>
      </c>
      <c r="N216" s="19" t="n">
        <v>0</v>
      </c>
      <c r="O216" s="19" t="n">
        <v>0.00138888888888889</v>
      </c>
      <c r="P216" s="17" t="n">
        <f aca="false">IF(AND(ISNUMBER(H216),ISNUMBER(I216)),MAX(0,ROUND((I216-H216)*1440,0)-'Bilan agents'!$C$4),0)</f>
        <v>0</v>
      </c>
      <c r="Q216" s="8" t="str">
        <f aca="false">IF(H216="Congé","CP",IF(H216="Férié","F",IF(H216="OFF","R",IF(N216&gt;0,"A",IF(ISNUMBER(I216),"P","NR")))))</f>
        <v>P</v>
      </c>
      <c r="R216" s="18"/>
    </row>
    <row r="217" customFormat="false" ht="15" hidden="false" customHeight="false" outlineLevel="0" collapsed="false">
      <c r="A217" s="18" t="s">
        <v>26</v>
      </c>
      <c r="B217" s="8" t="s">
        <v>27</v>
      </c>
      <c r="C217" s="9" t="n">
        <v>46129</v>
      </c>
      <c r="D217" s="8" t="n">
        <v>2026</v>
      </c>
      <c r="E217" s="8" t="n">
        <v>16</v>
      </c>
      <c r="F217" s="18" t="s">
        <v>125</v>
      </c>
      <c r="G217" s="8" t="s">
        <v>120</v>
      </c>
      <c r="H217" s="19" t="n">
        <v>0.333333333333333</v>
      </c>
      <c r="I217" s="19" t="n">
        <v>0.333333333333333</v>
      </c>
      <c r="J217" s="19" t="n">
        <v>0.708333333333333</v>
      </c>
      <c r="K217" s="19" t="n">
        <v>0.708333333333333</v>
      </c>
      <c r="L217" s="19" t="n">
        <v>0.333333333333333</v>
      </c>
      <c r="M217" s="19" t="n">
        <v>0.333333333333333</v>
      </c>
      <c r="N217" s="19" t="n">
        <v>0</v>
      </c>
      <c r="O217" s="19" t="n">
        <v>0</v>
      </c>
      <c r="P217" s="17" t="n">
        <f aca="false">IF(AND(ISNUMBER(H217),ISNUMBER(I217)),MAX(0,ROUND((I217-H217)*1440,0)-'Bilan agents'!$C$4),0)</f>
        <v>0</v>
      </c>
      <c r="Q217" s="8" t="str">
        <f aca="false">IF(H217="Congé","CP",IF(H217="Férié","F",IF(H217="OFF","R",IF(N217&gt;0,"A",IF(ISNUMBER(I217),"P","NR")))))</f>
        <v>P</v>
      </c>
      <c r="R217" s="18"/>
    </row>
    <row r="218" customFormat="false" ht="15" hidden="false" customHeight="false" outlineLevel="0" collapsed="false">
      <c r="A218" s="18" t="s">
        <v>26</v>
      </c>
      <c r="B218" s="8" t="s">
        <v>27</v>
      </c>
      <c r="C218" s="9" t="n">
        <v>46130</v>
      </c>
      <c r="D218" s="8" t="n">
        <v>2026</v>
      </c>
      <c r="E218" s="8" t="n">
        <v>16</v>
      </c>
      <c r="F218" s="18" t="s">
        <v>125</v>
      </c>
      <c r="G218" s="8" t="s">
        <v>121</v>
      </c>
      <c r="H218" s="19" t="s">
        <v>115</v>
      </c>
      <c r="I218" s="19"/>
      <c r="J218" s="19"/>
      <c r="K218" s="19"/>
      <c r="L218" s="19" t="n">
        <v>0</v>
      </c>
      <c r="M218" s="19"/>
      <c r="N218" s="19" t="n">
        <v>0</v>
      </c>
      <c r="O218" s="19" t="n">
        <v>0</v>
      </c>
      <c r="P218" s="17" t="n">
        <f aca="false">IF(AND(ISNUMBER(H218),ISNUMBER(I218)),MAX(0,ROUND((I218-H218)*1440,0)-'Bilan agents'!$C$4),0)</f>
        <v>0</v>
      </c>
      <c r="Q218" s="8" t="str">
        <f aca="false">IF(H218="Congé","CP",IF(H218="Férié","F",IF(H218="OFF","R",IF(N218&gt;0,"A",IF(ISNUMBER(I218),"P","NR")))))</f>
        <v>R</v>
      </c>
      <c r="R218" s="18"/>
    </row>
    <row r="219" customFormat="false" ht="15" hidden="false" customHeight="false" outlineLevel="0" collapsed="false">
      <c r="A219" s="18" t="s">
        <v>26</v>
      </c>
      <c r="B219" s="8" t="s">
        <v>27</v>
      </c>
      <c r="C219" s="9" t="n">
        <v>46131</v>
      </c>
      <c r="D219" s="8" t="n">
        <v>2026</v>
      </c>
      <c r="E219" s="8" t="n">
        <v>16</v>
      </c>
      <c r="F219" s="18" t="s">
        <v>125</v>
      </c>
      <c r="G219" s="8" t="s">
        <v>114</v>
      </c>
      <c r="H219" s="19" t="s">
        <v>115</v>
      </c>
      <c r="I219" s="19"/>
      <c r="J219" s="19"/>
      <c r="K219" s="19"/>
      <c r="L219" s="19" t="n">
        <v>0</v>
      </c>
      <c r="M219" s="19"/>
      <c r="N219" s="19" t="n">
        <v>0</v>
      </c>
      <c r="O219" s="19" t="n">
        <v>0</v>
      </c>
      <c r="P219" s="17" t="n">
        <f aca="false">IF(AND(ISNUMBER(H219),ISNUMBER(I219)),MAX(0,ROUND((I219-H219)*1440,0)-'Bilan agents'!$C$4),0)</f>
        <v>0</v>
      </c>
      <c r="Q219" s="8" t="str">
        <f aca="false">IF(H219="Congé","CP",IF(H219="Férié","F",IF(H219="OFF","R",IF(N219&gt;0,"A",IF(ISNUMBER(I219),"P","NR")))))</f>
        <v>R</v>
      </c>
      <c r="R219" s="18"/>
    </row>
    <row r="220" customFormat="false" ht="15" hidden="false" customHeight="false" outlineLevel="0" collapsed="false">
      <c r="A220" s="18" t="s">
        <v>26</v>
      </c>
      <c r="B220" s="8" t="s">
        <v>27</v>
      </c>
      <c r="C220" s="9" t="n">
        <v>46132</v>
      </c>
      <c r="D220" s="8" t="n">
        <v>2026</v>
      </c>
      <c r="E220" s="8" t="n">
        <v>17</v>
      </c>
      <c r="F220" s="18" t="s">
        <v>125</v>
      </c>
      <c r="G220" s="8" t="s">
        <v>116</v>
      </c>
      <c r="H220" s="19" t="n">
        <v>0.333333333333333</v>
      </c>
      <c r="I220" s="19" t="n">
        <v>0.332638888888889</v>
      </c>
      <c r="J220" s="19" t="n">
        <v>0.75</v>
      </c>
      <c r="K220" s="19" t="n">
        <v>0.75</v>
      </c>
      <c r="L220" s="19" t="n">
        <v>0.375</v>
      </c>
      <c r="M220" s="19" t="n">
        <v>0.375</v>
      </c>
      <c r="N220" s="19" t="n">
        <v>0</v>
      </c>
      <c r="O220" s="19" t="n">
        <v>0</v>
      </c>
      <c r="P220" s="17" t="n">
        <f aca="false">IF(AND(ISNUMBER(H220),ISNUMBER(I220)),MAX(0,ROUND((I220-H220)*1440,0)-'Bilan agents'!$C$4),0)</f>
        <v>0</v>
      </c>
      <c r="Q220" s="8" t="str">
        <f aca="false">IF(H220="Congé","CP",IF(H220="Férié","F",IF(H220="OFF","R",IF(N220&gt;0,"A",IF(ISNUMBER(I220),"P","NR")))))</f>
        <v>P</v>
      </c>
      <c r="R220" s="18"/>
    </row>
    <row r="221" customFormat="false" ht="15" hidden="false" customHeight="false" outlineLevel="0" collapsed="false">
      <c r="A221" s="18" t="s">
        <v>26</v>
      </c>
      <c r="B221" s="8" t="s">
        <v>27</v>
      </c>
      <c r="C221" s="9" t="n">
        <v>46133</v>
      </c>
      <c r="D221" s="8" t="n">
        <v>2026</v>
      </c>
      <c r="E221" s="8" t="n">
        <v>17</v>
      </c>
      <c r="F221" s="18" t="s">
        <v>125</v>
      </c>
      <c r="G221" s="8" t="s">
        <v>117</v>
      </c>
      <c r="H221" s="19" t="n">
        <v>0.333333333333333</v>
      </c>
      <c r="I221" s="19" t="n">
        <v>0.331944444444444</v>
      </c>
      <c r="J221" s="19" t="n">
        <v>0.75</v>
      </c>
      <c r="K221" s="19" t="n">
        <v>0.75</v>
      </c>
      <c r="L221" s="19" t="n">
        <v>0.375</v>
      </c>
      <c r="M221" s="19" t="n">
        <v>0.375</v>
      </c>
      <c r="N221" s="19" t="n">
        <v>0</v>
      </c>
      <c r="O221" s="19" t="n">
        <v>0.00138888888888889</v>
      </c>
      <c r="P221" s="17" t="n">
        <f aca="false">IF(AND(ISNUMBER(H221),ISNUMBER(I221)),MAX(0,ROUND((I221-H221)*1440,0)-'Bilan agents'!$C$4),0)</f>
        <v>0</v>
      </c>
      <c r="Q221" s="8" t="str">
        <f aca="false">IF(H221="Congé","CP",IF(H221="Férié","F",IF(H221="OFF","R",IF(N221&gt;0,"A",IF(ISNUMBER(I221),"P","NR")))))</f>
        <v>P</v>
      </c>
      <c r="R221" s="18"/>
    </row>
    <row r="222" customFormat="false" ht="15" hidden="false" customHeight="false" outlineLevel="0" collapsed="false">
      <c r="A222" s="18" t="s">
        <v>26</v>
      </c>
      <c r="B222" s="8" t="s">
        <v>27</v>
      </c>
      <c r="C222" s="9" t="n">
        <v>46134</v>
      </c>
      <c r="D222" s="8" t="n">
        <v>2026</v>
      </c>
      <c r="E222" s="8" t="n">
        <v>17</v>
      </c>
      <c r="F222" s="18" t="s">
        <v>125</v>
      </c>
      <c r="G222" s="8" t="s">
        <v>118</v>
      </c>
      <c r="H222" s="19" t="n">
        <v>0.333333333333333</v>
      </c>
      <c r="I222" s="19" t="n">
        <v>0.332638888888889</v>
      </c>
      <c r="J222" s="19" t="n">
        <v>0.75</v>
      </c>
      <c r="K222" s="19" t="n">
        <v>0.75</v>
      </c>
      <c r="L222" s="19" t="n">
        <v>0.375</v>
      </c>
      <c r="M222" s="19" t="n">
        <v>0.375</v>
      </c>
      <c r="N222" s="19" t="n">
        <v>0</v>
      </c>
      <c r="O222" s="19" t="n">
        <v>0</v>
      </c>
      <c r="P222" s="17" t="n">
        <f aca="false">IF(AND(ISNUMBER(H222),ISNUMBER(I222)),MAX(0,ROUND((I222-H222)*1440,0)-'Bilan agents'!$C$4),0)</f>
        <v>0</v>
      </c>
      <c r="Q222" s="8" t="str">
        <f aca="false">IF(H222="Congé","CP",IF(H222="Férié","F",IF(H222="OFF","R",IF(N222&gt;0,"A",IF(ISNUMBER(I222),"P","NR")))))</f>
        <v>P</v>
      </c>
      <c r="R222" s="18"/>
    </row>
    <row r="223" customFormat="false" ht="15" hidden="false" customHeight="false" outlineLevel="0" collapsed="false">
      <c r="A223" s="18" t="s">
        <v>26</v>
      </c>
      <c r="B223" s="8" t="s">
        <v>27</v>
      </c>
      <c r="C223" s="9" t="n">
        <v>46135</v>
      </c>
      <c r="D223" s="8" t="n">
        <v>2026</v>
      </c>
      <c r="E223" s="8" t="n">
        <v>17</v>
      </c>
      <c r="F223" s="18" t="s">
        <v>125</v>
      </c>
      <c r="G223" s="8" t="s">
        <v>119</v>
      </c>
      <c r="H223" s="19" t="n">
        <v>0.333333333333333</v>
      </c>
      <c r="I223" s="19" t="n">
        <v>0.332638888888889</v>
      </c>
      <c r="J223" s="19" t="n">
        <v>0.75</v>
      </c>
      <c r="K223" s="19" t="n">
        <v>0.75</v>
      </c>
      <c r="L223" s="19" t="n">
        <v>0.375</v>
      </c>
      <c r="M223" s="19" t="n">
        <v>0.375</v>
      </c>
      <c r="N223" s="19" t="n">
        <v>0</v>
      </c>
      <c r="O223" s="19" t="n">
        <v>0</v>
      </c>
      <c r="P223" s="17" t="n">
        <f aca="false">IF(AND(ISNUMBER(H223),ISNUMBER(I223)),MAX(0,ROUND((I223-H223)*1440,0)-'Bilan agents'!$C$4),0)</f>
        <v>0</v>
      </c>
      <c r="Q223" s="8" t="str">
        <f aca="false">IF(H223="Congé","CP",IF(H223="Férié","F",IF(H223="OFF","R",IF(N223&gt;0,"A",IF(ISNUMBER(I223),"P","NR")))))</f>
        <v>P</v>
      </c>
      <c r="R223" s="18"/>
    </row>
    <row r="224" customFormat="false" ht="15" hidden="false" customHeight="false" outlineLevel="0" collapsed="false">
      <c r="A224" s="18" t="s">
        <v>26</v>
      </c>
      <c r="B224" s="8" t="s">
        <v>27</v>
      </c>
      <c r="C224" s="9" t="n">
        <v>46136</v>
      </c>
      <c r="D224" s="8" t="n">
        <v>2026</v>
      </c>
      <c r="E224" s="8" t="n">
        <v>17</v>
      </c>
      <c r="F224" s="18" t="s">
        <v>125</v>
      </c>
      <c r="G224" s="8" t="s">
        <v>120</v>
      </c>
      <c r="H224" s="19" t="n">
        <v>0.333333333333333</v>
      </c>
      <c r="I224" s="19" t="n">
        <v>0.333333333333333</v>
      </c>
      <c r="J224" s="19" t="n">
        <v>0.708333333333333</v>
      </c>
      <c r="K224" s="19" t="n">
        <v>0.708333333333333</v>
      </c>
      <c r="L224" s="19" t="n">
        <v>0.333333333333333</v>
      </c>
      <c r="M224" s="19" t="n">
        <v>0.333333333333333</v>
      </c>
      <c r="N224" s="19" t="n">
        <v>0</v>
      </c>
      <c r="O224" s="19" t="n">
        <v>0</v>
      </c>
      <c r="P224" s="17" t="n">
        <f aca="false">IF(AND(ISNUMBER(H224),ISNUMBER(I224)),MAX(0,ROUND((I224-H224)*1440,0)-'Bilan agents'!$C$4),0)</f>
        <v>0</v>
      </c>
      <c r="Q224" s="8" t="str">
        <f aca="false">IF(H224="Congé","CP",IF(H224="Férié","F",IF(H224="OFF","R",IF(N224&gt;0,"A",IF(ISNUMBER(I224),"P","NR")))))</f>
        <v>P</v>
      </c>
      <c r="R224" s="18"/>
    </row>
    <row r="225" customFormat="false" ht="15" hidden="false" customHeight="false" outlineLevel="0" collapsed="false">
      <c r="A225" s="18" t="s">
        <v>26</v>
      </c>
      <c r="B225" s="8" t="s">
        <v>27</v>
      </c>
      <c r="C225" s="9" t="n">
        <v>46137</v>
      </c>
      <c r="D225" s="8" t="n">
        <v>2026</v>
      </c>
      <c r="E225" s="8" t="n">
        <v>17</v>
      </c>
      <c r="F225" s="18" t="s">
        <v>125</v>
      </c>
      <c r="G225" s="8" t="s">
        <v>121</v>
      </c>
      <c r="H225" s="19" t="s">
        <v>115</v>
      </c>
      <c r="I225" s="19"/>
      <c r="J225" s="19"/>
      <c r="K225" s="19"/>
      <c r="L225" s="19" t="n">
        <v>0</v>
      </c>
      <c r="M225" s="19"/>
      <c r="N225" s="19" t="n">
        <v>0</v>
      </c>
      <c r="O225" s="19" t="n">
        <v>0</v>
      </c>
      <c r="P225" s="17" t="n">
        <f aca="false">IF(AND(ISNUMBER(H225),ISNUMBER(I225)),MAX(0,ROUND((I225-H225)*1440,0)-'Bilan agents'!$C$4),0)</f>
        <v>0</v>
      </c>
      <c r="Q225" s="8" t="str">
        <f aca="false">IF(H225="Congé","CP",IF(H225="Férié","F",IF(H225="OFF","R",IF(N225&gt;0,"A",IF(ISNUMBER(I225),"P","NR")))))</f>
        <v>R</v>
      </c>
      <c r="R225" s="18"/>
    </row>
    <row r="226" customFormat="false" ht="15" hidden="false" customHeight="false" outlineLevel="0" collapsed="false">
      <c r="A226" s="18" t="s">
        <v>26</v>
      </c>
      <c r="B226" s="8" t="s">
        <v>27</v>
      </c>
      <c r="C226" s="9" t="n">
        <v>46138</v>
      </c>
      <c r="D226" s="8" t="n">
        <v>2026</v>
      </c>
      <c r="E226" s="8" t="n">
        <v>17</v>
      </c>
      <c r="F226" s="18" t="s">
        <v>125</v>
      </c>
      <c r="G226" s="8" t="s">
        <v>114</v>
      </c>
      <c r="H226" s="19" t="s">
        <v>115</v>
      </c>
      <c r="I226" s="19"/>
      <c r="J226" s="19"/>
      <c r="K226" s="19"/>
      <c r="L226" s="19" t="n">
        <v>0</v>
      </c>
      <c r="M226" s="19"/>
      <c r="N226" s="19" t="n">
        <v>0</v>
      </c>
      <c r="O226" s="19" t="n">
        <v>0</v>
      </c>
      <c r="P226" s="17" t="n">
        <f aca="false">IF(AND(ISNUMBER(H226),ISNUMBER(I226)),MAX(0,ROUND((I226-H226)*1440,0)-'Bilan agents'!$C$4),0)</f>
        <v>0</v>
      </c>
      <c r="Q226" s="8" t="str">
        <f aca="false">IF(H226="Congé","CP",IF(H226="Férié","F",IF(H226="OFF","R",IF(N226&gt;0,"A",IF(ISNUMBER(I226),"P","NR")))))</f>
        <v>R</v>
      </c>
      <c r="R226" s="18"/>
    </row>
    <row r="227" customFormat="false" ht="15" hidden="false" customHeight="false" outlineLevel="0" collapsed="false">
      <c r="A227" s="18" t="s">
        <v>26</v>
      </c>
      <c r="B227" s="8" t="s">
        <v>27</v>
      </c>
      <c r="C227" s="9" t="n">
        <v>46139</v>
      </c>
      <c r="D227" s="8" t="n">
        <v>2026</v>
      </c>
      <c r="E227" s="8" t="n">
        <v>18</v>
      </c>
      <c r="F227" s="18" t="s">
        <v>125</v>
      </c>
      <c r="G227" s="8" t="s">
        <v>116</v>
      </c>
      <c r="H227" s="19" t="n">
        <v>0.333333333333333</v>
      </c>
      <c r="I227" s="19" t="n">
        <v>0.332638888888889</v>
      </c>
      <c r="J227" s="19" t="n">
        <v>0.75</v>
      </c>
      <c r="K227" s="19" t="n">
        <v>0.75</v>
      </c>
      <c r="L227" s="19" t="n">
        <v>0.375</v>
      </c>
      <c r="M227" s="19" t="n">
        <v>0.375</v>
      </c>
      <c r="N227" s="19" t="n">
        <v>0</v>
      </c>
      <c r="O227" s="19" t="n">
        <v>0</v>
      </c>
      <c r="P227" s="17" t="n">
        <f aca="false">IF(AND(ISNUMBER(H227),ISNUMBER(I227)),MAX(0,ROUND((I227-H227)*1440,0)-'Bilan agents'!$C$4),0)</f>
        <v>0</v>
      </c>
      <c r="Q227" s="8" t="str">
        <f aca="false">IF(H227="Congé","CP",IF(H227="Férié","F",IF(H227="OFF","R",IF(N227&gt;0,"A",IF(ISNUMBER(I227),"P","NR")))))</f>
        <v>P</v>
      </c>
      <c r="R227" s="18"/>
    </row>
    <row r="228" customFormat="false" ht="15" hidden="false" customHeight="false" outlineLevel="0" collapsed="false">
      <c r="A228" s="18" t="s">
        <v>26</v>
      </c>
      <c r="B228" s="8" t="s">
        <v>27</v>
      </c>
      <c r="C228" s="9" t="n">
        <v>46140</v>
      </c>
      <c r="D228" s="8" t="n">
        <v>2026</v>
      </c>
      <c r="E228" s="8" t="n">
        <v>18</v>
      </c>
      <c r="F228" s="18" t="s">
        <v>125</v>
      </c>
      <c r="G228" s="8" t="s">
        <v>117</v>
      </c>
      <c r="H228" s="19" t="n">
        <v>0.333333333333333</v>
      </c>
      <c r="I228" s="19" t="n">
        <v>0.332638888888889</v>
      </c>
      <c r="J228" s="19" t="n">
        <v>0.75</v>
      </c>
      <c r="K228" s="19" t="n">
        <v>0.75</v>
      </c>
      <c r="L228" s="19" t="n">
        <v>0.375</v>
      </c>
      <c r="M228" s="19" t="n">
        <v>0.375</v>
      </c>
      <c r="N228" s="19" t="n">
        <v>0</v>
      </c>
      <c r="O228" s="19" t="n">
        <v>0</v>
      </c>
      <c r="P228" s="17" t="n">
        <f aca="false">IF(AND(ISNUMBER(H228),ISNUMBER(I228)),MAX(0,ROUND((I228-H228)*1440,0)-'Bilan agents'!$C$4),0)</f>
        <v>0</v>
      </c>
      <c r="Q228" s="8" t="str">
        <f aca="false">IF(H228="Congé","CP",IF(H228="Férié","F",IF(H228="OFF","R",IF(N228&gt;0,"A",IF(ISNUMBER(I228),"P","NR")))))</f>
        <v>P</v>
      </c>
      <c r="R228" s="18"/>
    </row>
    <row r="229" customFormat="false" ht="15" hidden="false" customHeight="false" outlineLevel="0" collapsed="false">
      <c r="A229" s="18" t="s">
        <v>26</v>
      </c>
      <c r="B229" s="8" t="s">
        <v>27</v>
      </c>
      <c r="C229" s="9" t="n">
        <v>46141</v>
      </c>
      <c r="D229" s="8" t="n">
        <v>2026</v>
      </c>
      <c r="E229" s="8" t="n">
        <v>18</v>
      </c>
      <c r="F229" s="18" t="s">
        <v>125</v>
      </c>
      <c r="G229" s="8" t="s">
        <v>118</v>
      </c>
      <c r="H229" s="19" t="n">
        <v>0.333333333333333</v>
      </c>
      <c r="I229" s="19" t="n">
        <v>0.332638888888889</v>
      </c>
      <c r="J229" s="19" t="n">
        <v>0.75</v>
      </c>
      <c r="K229" s="19" t="n">
        <v>0.75</v>
      </c>
      <c r="L229" s="19" t="n">
        <v>0.375</v>
      </c>
      <c r="M229" s="19" t="n">
        <v>0.375</v>
      </c>
      <c r="N229" s="19" t="n">
        <v>0</v>
      </c>
      <c r="O229" s="19" t="n">
        <v>0</v>
      </c>
      <c r="P229" s="17" t="n">
        <f aca="false">IF(AND(ISNUMBER(H229),ISNUMBER(I229)),MAX(0,ROUND((I229-H229)*1440,0)-'Bilan agents'!$C$4),0)</f>
        <v>0</v>
      </c>
      <c r="Q229" s="8" t="str">
        <f aca="false">IF(H229="Congé","CP",IF(H229="Férié","F",IF(H229="OFF","R",IF(N229&gt;0,"A",IF(ISNUMBER(I229),"P","NR")))))</f>
        <v>P</v>
      </c>
      <c r="R229" s="18"/>
    </row>
    <row r="230" customFormat="false" ht="15" hidden="false" customHeight="false" outlineLevel="0" collapsed="false">
      <c r="A230" s="18" t="s">
        <v>26</v>
      </c>
      <c r="B230" s="8" t="s">
        <v>27</v>
      </c>
      <c r="C230" s="9" t="n">
        <v>46142</v>
      </c>
      <c r="D230" s="8" t="n">
        <v>2026</v>
      </c>
      <c r="E230" s="8" t="n">
        <v>18</v>
      </c>
      <c r="F230" s="18" t="s">
        <v>125</v>
      </c>
      <c r="G230" s="8" t="s">
        <v>119</v>
      </c>
      <c r="H230" s="19" t="n">
        <v>0.333333333333333</v>
      </c>
      <c r="I230" s="19" t="n">
        <v>0.331944444444444</v>
      </c>
      <c r="J230" s="19" t="n">
        <v>0.75</v>
      </c>
      <c r="K230" s="19" t="n">
        <v>0.75</v>
      </c>
      <c r="L230" s="19" t="n">
        <v>0.375</v>
      </c>
      <c r="M230" s="19" t="n">
        <v>0.375</v>
      </c>
      <c r="N230" s="19" t="n">
        <v>0</v>
      </c>
      <c r="O230" s="19" t="n">
        <v>0.00138888888888889</v>
      </c>
      <c r="P230" s="17" t="n">
        <f aca="false">IF(AND(ISNUMBER(H230),ISNUMBER(I230)),MAX(0,ROUND((I230-H230)*1440,0)-'Bilan agents'!$C$4),0)</f>
        <v>0</v>
      </c>
      <c r="Q230" s="8" t="str">
        <f aca="false">IF(H230="Congé","CP",IF(H230="Férié","F",IF(H230="OFF","R",IF(N230&gt;0,"A",IF(ISNUMBER(I230),"P","NR")))))</f>
        <v>P</v>
      </c>
      <c r="R230" s="18"/>
    </row>
    <row r="231" customFormat="false" ht="15" hidden="false" customHeight="false" outlineLevel="0" collapsed="false">
      <c r="A231" s="18" t="s">
        <v>26</v>
      </c>
      <c r="B231" s="8" t="s">
        <v>27</v>
      </c>
      <c r="C231" s="9" t="n">
        <v>46143</v>
      </c>
      <c r="D231" s="8" t="n">
        <v>2026</v>
      </c>
      <c r="E231" s="8" t="n">
        <v>18</v>
      </c>
      <c r="F231" s="18" t="s">
        <v>126</v>
      </c>
      <c r="G231" s="8" t="s">
        <v>120</v>
      </c>
      <c r="H231" s="19" t="s">
        <v>45</v>
      </c>
      <c r="I231" s="19"/>
      <c r="J231" s="19"/>
      <c r="K231" s="19"/>
      <c r="L231" s="19" t="n">
        <v>0</v>
      </c>
      <c r="M231" s="19"/>
      <c r="N231" s="19" t="n">
        <v>0</v>
      </c>
      <c r="O231" s="19" t="n">
        <v>0</v>
      </c>
      <c r="P231" s="17" t="n">
        <f aca="false">IF(AND(ISNUMBER(H231),ISNUMBER(I231)),MAX(0,ROUND((I231-H231)*1440,0)-'Bilan agents'!$C$4),0)</f>
        <v>0</v>
      </c>
      <c r="Q231" s="8" t="str">
        <f aca="false">IF(H231="Congé","CP",IF(H231="Férié","F",IF(H231="OFF","R",IF(N231&gt;0,"A",IF(ISNUMBER(I231),"P","NR")))))</f>
        <v>F</v>
      </c>
      <c r="R231" s="18"/>
    </row>
    <row r="232" customFormat="false" ht="15" hidden="false" customHeight="false" outlineLevel="0" collapsed="false">
      <c r="A232" s="18" t="s">
        <v>26</v>
      </c>
      <c r="B232" s="8" t="s">
        <v>27</v>
      </c>
      <c r="C232" s="9" t="n">
        <v>46144</v>
      </c>
      <c r="D232" s="8" t="n">
        <v>2026</v>
      </c>
      <c r="E232" s="8" t="n">
        <v>18</v>
      </c>
      <c r="F232" s="18" t="s">
        <v>126</v>
      </c>
      <c r="G232" s="8" t="s">
        <v>121</v>
      </c>
      <c r="H232" s="19" t="s">
        <v>115</v>
      </c>
      <c r="I232" s="19"/>
      <c r="J232" s="19"/>
      <c r="K232" s="19"/>
      <c r="L232" s="19" t="n">
        <v>0</v>
      </c>
      <c r="M232" s="19"/>
      <c r="N232" s="19" t="n">
        <v>0</v>
      </c>
      <c r="O232" s="19" t="n">
        <v>0</v>
      </c>
      <c r="P232" s="17" t="n">
        <f aca="false">IF(AND(ISNUMBER(H232),ISNUMBER(I232)),MAX(0,ROUND((I232-H232)*1440,0)-'Bilan agents'!$C$4),0)</f>
        <v>0</v>
      </c>
      <c r="Q232" s="8" t="str">
        <f aca="false">IF(H232="Congé","CP",IF(H232="Férié","F",IF(H232="OFF","R",IF(N232&gt;0,"A",IF(ISNUMBER(I232),"P","NR")))))</f>
        <v>R</v>
      </c>
      <c r="R232" s="18"/>
    </row>
    <row r="233" customFormat="false" ht="15" hidden="false" customHeight="false" outlineLevel="0" collapsed="false">
      <c r="A233" s="18" t="s">
        <v>26</v>
      </c>
      <c r="B233" s="8" t="s">
        <v>27</v>
      </c>
      <c r="C233" s="9" t="n">
        <v>46145</v>
      </c>
      <c r="D233" s="8" t="n">
        <v>2026</v>
      </c>
      <c r="E233" s="8" t="n">
        <v>18</v>
      </c>
      <c r="F233" s="18" t="s">
        <v>126</v>
      </c>
      <c r="G233" s="8" t="s">
        <v>114</v>
      </c>
      <c r="H233" s="19" t="s">
        <v>115</v>
      </c>
      <c r="I233" s="19"/>
      <c r="J233" s="19"/>
      <c r="K233" s="19"/>
      <c r="L233" s="19" t="n">
        <v>0</v>
      </c>
      <c r="M233" s="19"/>
      <c r="N233" s="19" t="n">
        <v>0</v>
      </c>
      <c r="O233" s="19" t="n">
        <v>0</v>
      </c>
      <c r="P233" s="17" t="n">
        <f aca="false">IF(AND(ISNUMBER(H233),ISNUMBER(I233)),MAX(0,ROUND((I233-H233)*1440,0)-'Bilan agents'!$C$4),0)</f>
        <v>0</v>
      </c>
      <c r="Q233" s="8" t="str">
        <f aca="false">IF(H233="Congé","CP",IF(H233="Férié","F",IF(H233="OFF","R",IF(N233&gt;0,"A",IF(ISNUMBER(I233),"P","NR")))))</f>
        <v>R</v>
      </c>
      <c r="R233" s="18"/>
    </row>
    <row r="234" customFormat="false" ht="15" hidden="false" customHeight="false" outlineLevel="0" collapsed="false">
      <c r="A234" s="18" t="s">
        <v>26</v>
      </c>
      <c r="B234" s="8" t="s">
        <v>27</v>
      </c>
      <c r="C234" s="9" t="n">
        <v>46146</v>
      </c>
      <c r="D234" s="8" t="n">
        <v>2026</v>
      </c>
      <c r="E234" s="8" t="n">
        <v>19</v>
      </c>
      <c r="F234" s="18" t="s">
        <v>126</v>
      </c>
      <c r="G234" s="8" t="s">
        <v>116</v>
      </c>
      <c r="H234" s="19" t="n">
        <v>0.333333333333333</v>
      </c>
      <c r="I234" s="19" t="n">
        <v>0.332638888888889</v>
      </c>
      <c r="J234" s="19" t="n">
        <v>0.75</v>
      </c>
      <c r="K234" s="19" t="n">
        <v>0.75</v>
      </c>
      <c r="L234" s="19" t="n">
        <v>0.375</v>
      </c>
      <c r="M234" s="19" t="n">
        <v>0.375</v>
      </c>
      <c r="N234" s="19" t="n">
        <v>0</v>
      </c>
      <c r="O234" s="19" t="n">
        <v>0</v>
      </c>
      <c r="P234" s="17" t="n">
        <f aca="false">IF(AND(ISNUMBER(H234),ISNUMBER(I234)),MAX(0,ROUND((I234-H234)*1440,0)-'Bilan agents'!$C$4),0)</f>
        <v>0</v>
      </c>
      <c r="Q234" s="8" t="str">
        <f aca="false">IF(H234="Congé","CP",IF(H234="Férié","F",IF(H234="OFF","R",IF(N234&gt;0,"A",IF(ISNUMBER(I234),"P","NR")))))</f>
        <v>P</v>
      </c>
      <c r="R234" s="18"/>
    </row>
    <row r="235" customFormat="false" ht="15" hidden="false" customHeight="false" outlineLevel="0" collapsed="false">
      <c r="A235" s="18" t="s">
        <v>26</v>
      </c>
      <c r="B235" s="8" t="s">
        <v>27</v>
      </c>
      <c r="C235" s="9" t="n">
        <v>46147</v>
      </c>
      <c r="D235" s="8" t="n">
        <v>2026</v>
      </c>
      <c r="E235" s="8" t="n">
        <v>19</v>
      </c>
      <c r="F235" s="18" t="s">
        <v>126</v>
      </c>
      <c r="G235" s="8" t="s">
        <v>117</v>
      </c>
      <c r="H235" s="19" t="n">
        <v>0.333333333333333</v>
      </c>
      <c r="I235" s="19" t="n">
        <v>0.332638888888889</v>
      </c>
      <c r="J235" s="19" t="n">
        <v>0.75</v>
      </c>
      <c r="K235" s="19" t="n">
        <v>0.75</v>
      </c>
      <c r="L235" s="19" t="n">
        <v>0.375</v>
      </c>
      <c r="M235" s="19" t="n">
        <v>0.375</v>
      </c>
      <c r="N235" s="19" t="n">
        <v>0</v>
      </c>
      <c r="O235" s="19" t="n">
        <v>0</v>
      </c>
      <c r="P235" s="17" t="n">
        <f aca="false">IF(AND(ISNUMBER(H235),ISNUMBER(I235)),MAX(0,ROUND((I235-H235)*1440,0)-'Bilan agents'!$C$4),0)</f>
        <v>0</v>
      </c>
      <c r="Q235" s="8" t="str">
        <f aca="false">IF(H235="Congé","CP",IF(H235="Férié","F",IF(H235="OFF","R",IF(N235&gt;0,"A",IF(ISNUMBER(I235),"P","NR")))))</f>
        <v>P</v>
      </c>
      <c r="R235" s="18"/>
    </row>
    <row r="236" customFormat="false" ht="15" hidden="false" customHeight="false" outlineLevel="0" collapsed="false">
      <c r="A236" s="18" t="s">
        <v>26</v>
      </c>
      <c r="B236" s="8" t="s">
        <v>27</v>
      </c>
      <c r="C236" s="9" t="n">
        <v>46148</v>
      </c>
      <c r="D236" s="8" t="n">
        <v>2026</v>
      </c>
      <c r="E236" s="8" t="n">
        <v>19</v>
      </c>
      <c r="F236" s="18" t="s">
        <v>126</v>
      </c>
      <c r="G236" s="8" t="s">
        <v>118</v>
      </c>
      <c r="H236" s="19" t="n">
        <v>0.333333333333333</v>
      </c>
      <c r="I236" s="19" t="n">
        <v>0.333333333333333</v>
      </c>
      <c r="J236" s="19" t="n">
        <v>0.75</v>
      </c>
      <c r="K236" s="19" t="n">
        <v>0.75</v>
      </c>
      <c r="L236" s="19" t="n">
        <v>0.375</v>
      </c>
      <c r="M236" s="19" t="n">
        <v>0.375</v>
      </c>
      <c r="N236" s="19" t="n">
        <v>0</v>
      </c>
      <c r="O236" s="19" t="n">
        <v>0</v>
      </c>
      <c r="P236" s="17" t="n">
        <f aca="false">IF(AND(ISNUMBER(H236),ISNUMBER(I236)),MAX(0,ROUND((I236-H236)*1440,0)-'Bilan agents'!$C$4),0)</f>
        <v>0</v>
      </c>
      <c r="Q236" s="8" t="str">
        <f aca="false">IF(H236="Congé","CP",IF(H236="Férié","F",IF(H236="OFF","R",IF(N236&gt;0,"A",IF(ISNUMBER(I236),"P","NR")))))</f>
        <v>P</v>
      </c>
      <c r="R236" s="18"/>
    </row>
    <row r="237" customFormat="false" ht="15" hidden="false" customHeight="false" outlineLevel="0" collapsed="false">
      <c r="A237" s="18" t="s">
        <v>26</v>
      </c>
      <c r="B237" s="8" t="s">
        <v>27</v>
      </c>
      <c r="C237" s="9" t="n">
        <v>46149</v>
      </c>
      <c r="D237" s="8" t="n">
        <v>2026</v>
      </c>
      <c r="E237" s="8" t="n">
        <v>19</v>
      </c>
      <c r="F237" s="18" t="s">
        <v>126</v>
      </c>
      <c r="G237" s="8" t="s">
        <v>119</v>
      </c>
      <c r="H237" s="19" t="n">
        <v>0.333333333333333</v>
      </c>
      <c r="I237" s="19" t="n">
        <v>0.331944444444444</v>
      </c>
      <c r="J237" s="19" t="n">
        <v>0.75</v>
      </c>
      <c r="K237" s="19" t="n">
        <v>0.75</v>
      </c>
      <c r="L237" s="19" t="n">
        <v>0.375</v>
      </c>
      <c r="M237" s="19" t="n">
        <v>0.375</v>
      </c>
      <c r="N237" s="19" t="n">
        <v>0</v>
      </c>
      <c r="O237" s="19" t="n">
        <v>0.00138888888888889</v>
      </c>
      <c r="P237" s="17" t="n">
        <f aca="false">IF(AND(ISNUMBER(H237),ISNUMBER(I237)),MAX(0,ROUND((I237-H237)*1440,0)-'Bilan agents'!$C$4),0)</f>
        <v>0</v>
      </c>
      <c r="Q237" s="8" t="str">
        <f aca="false">IF(H237="Congé","CP",IF(H237="Férié","F",IF(H237="OFF","R",IF(N237&gt;0,"A",IF(ISNUMBER(I237),"P","NR")))))</f>
        <v>P</v>
      </c>
      <c r="R237" s="18"/>
    </row>
    <row r="238" customFormat="false" ht="15" hidden="false" customHeight="false" outlineLevel="0" collapsed="false">
      <c r="A238" s="18" t="s">
        <v>26</v>
      </c>
      <c r="B238" s="8" t="s">
        <v>27</v>
      </c>
      <c r="C238" s="9" t="n">
        <v>46150</v>
      </c>
      <c r="D238" s="8" t="n">
        <v>2026</v>
      </c>
      <c r="E238" s="8" t="n">
        <v>19</v>
      </c>
      <c r="F238" s="18" t="s">
        <v>126</v>
      </c>
      <c r="G238" s="8" t="s">
        <v>120</v>
      </c>
      <c r="H238" s="19" t="s">
        <v>115</v>
      </c>
      <c r="I238" s="19"/>
      <c r="J238" s="19"/>
      <c r="K238" s="19"/>
      <c r="L238" s="19" t="n">
        <v>0</v>
      </c>
      <c r="M238" s="19"/>
      <c r="N238" s="19" t="n">
        <v>0</v>
      </c>
      <c r="O238" s="19" t="n">
        <v>0</v>
      </c>
      <c r="P238" s="17" t="n">
        <f aca="false">IF(AND(ISNUMBER(H238),ISNUMBER(I238)),MAX(0,ROUND((I238-H238)*1440,0)-'Bilan agents'!$C$4),0)</f>
        <v>0</v>
      </c>
      <c r="Q238" s="8" t="str">
        <f aca="false">IF(H238="Congé","CP",IF(H238="Férié","F",IF(H238="OFF","R",IF(N238&gt;0,"A",IF(ISNUMBER(I238),"P","NR")))))</f>
        <v>R</v>
      </c>
      <c r="R238" s="18"/>
    </row>
    <row r="239" customFormat="false" ht="15" hidden="false" customHeight="false" outlineLevel="0" collapsed="false">
      <c r="A239" s="18" t="s">
        <v>26</v>
      </c>
      <c r="B239" s="8" t="s">
        <v>27</v>
      </c>
      <c r="C239" s="9" t="n">
        <v>46151</v>
      </c>
      <c r="D239" s="8" t="n">
        <v>2026</v>
      </c>
      <c r="E239" s="8" t="n">
        <v>19</v>
      </c>
      <c r="F239" s="18" t="s">
        <v>126</v>
      </c>
      <c r="G239" s="8" t="s">
        <v>121</v>
      </c>
      <c r="H239" s="19" t="s">
        <v>115</v>
      </c>
      <c r="I239" s="19"/>
      <c r="J239" s="19"/>
      <c r="K239" s="19"/>
      <c r="L239" s="19" t="n">
        <v>0</v>
      </c>
      <c r="M239" s="19"/>
      <c r="N239" s="19" t="n">
        <v>0</v>
      </c>
      <c r="O239" s="19" t="n">
        <v>0</v>
      </c>
      <c r="P239" s="17" t="n">
        <f aca="false">IF(AND(ISNUMBER(H239),ISNUMBER(I239)),MAX(0,ROUND((I239-H239)*1440,0)-'Bilan agents'!$C$4),0)</f>
        <v>0</v>
      </c>
      <c r="Q239" s="8" t="str">
        <f aca="false">IF(H239="Congé","CP",IF(H239="Férié","F",IF(H239="OFF","R",IF(N239&gt;0,"A",IF(ISNUMBER(I239),"P","NR")))))</f>
        <v>R</v>
      </c>
      <c r="R239" s="18"/>
    </row>
    <row r="240" customFormat="false" ht="15" hidden="false" customHeight="false" outlineLevel="0" collapsed="false">
      <c r="A240" s="18" t="s">
        <v>26</v>
      </c>
      <c r="B240" s="8" t="s">
        <v>27</v>
      </c>
      <c r="C240" s="9" t="n">
        <v>46152</v>
      </c>
      <c r="D240" s="8" t="n">
        <v>2026</v>
      </c>
      <c r="E240" s="8" t="n">
        <v>19</v>
      </c>
      <c r="F240" s="18" t="s">
        <v>126</v>
      </c>
      <c r="G240" s="8" t="s">
        <v>114</v>
      </c>
      <c r="H240" s="19" t="s">
        <v>115</v>
      </c>
      <c r="I240" s="19"/>
      <c r="J240" s="19"/>
      <c r="K240" s="19"/>
      <c r="L240" s="19" t="n">
        <v>0</v>
      </c>
      <c r="M240" s="19"/>
      <c r="N240" s="19" t="n">
        <v>0</v>
      </c>
      <c r="O240" s="19" t="n">
        <v>0</v>
      </c>
      <c r="P240" s="17" t="n">
        <f aca="false">IF(AND(ISNUMBER(H240),ISNUMBER(I240)),MAX(0,ROUND((I240-H240)*1440,0)-'Bilan agents'!$C$4),0)</f>
        <v>0</v>
      </c>
      <c r="Q240" s="8" t="str">
        <f aca="false">IF(H240="Congé","CP",IF(H240="Férié","F",IF(H240="OFF","R",IF(N240&gt;0,"A",IF(ISNUMBER(I240),"P","NR")))))</f>
        <v>R</v>
      </c>
      <c r="R240" s="18"/>
    </row>
    <row r="241" customFormat="false" ht="15" hidden="false" customHeight="false" outlineLevel="0" collapsed="false">
      <c r="A241" s="18" t="s">
        <v>26</v>
      </c>
      <c r="B241" s="8" t="s">
        <v>27</v>
      </c>
      <c r="C241" s="9" t="n">
        <v>46153</v>
      </c>
      <c r="D241" s="8" t="n">
        <v>2026</v>
      </c>
      <c r="E241" s="8" t="n">
        <v>20</v>
      </c>
      <c r="F241" s="18" t="s">
        <v>126</v>
      </c>
      <c r="G241" s="8" t="s">
        <v>116</v>
      </c>
      <c r="H241" s="19" t="n">
        <v>0.333333333333333</v>
      </c>
      <c r="I241" s="19" t="n">
        <v>0.332638888888889</v>
      </c>
      <c r="J241" s="19" t="n">
        <v>0.75</v>
      </c>
      <c r="K241" s="19" t="n">
        <v>0.75</v>
      </c>
      <c r="L241" s="19" t="n">
        <v>0.375</v>
      </c>
      <c r="M241" s="19" t="n">
        <v>0.375</v>
      </c>
      <c r="N241" s="19" t="n">
        <v>0</v>
      </c>
      <c r="O241" s="19" t="n">
        <v>0</v>
      </c>
      <c r="P241" s="17" t="n">
        <f aca="false">IF(AND(ISNUMBER(H241),ISNUMBER(I241)),MAX(0,ROUND((I241-H241)*1440,0)-'Bilan agents'!$C$4),0)</f>
        <v>0</v>
      </c>
      <c r="Q241" s="8" t="str">
        <f aca="false">IF(H241="Congé","CP",IF(H241="Férié","F",IF(H241="OFF","R",IF(N241&gt;0,"A",IF(ISNUMBER(I241),"P","NR")))))</f>
        <v>P</v>
      </c>
      <c r="R241" s="18"/>
    </row>
    <row r="242" customFormat="false" ht="15" hidden="false" customHeight="false" outlineLevel="0" collapsed="false">
      <c r="A242" s="18" t="s">
        <v>26</v>
      </c>
      <c r="B242" s="8" t="s">
        <v>27</v>
      </c>
      <c r="C242" s="9" t="n">
        <v>46154</v>
      </c>
      <c r="D242" s="8" t="n">
        <v>2026</v>
      </c>
      <c r="E242" s="8" t="n">
        <v>20</v>
      </c>
      <c r="F242" s="18" t="s">
        <v>126</v>
      </c>
      <c r="G242" s="8" t="s">
        <v>117</v>
      </c>
      <c r="H242" s="19" t="n">
        <v>0.333333333333333</v>
      </c>
      <c r="I242" s="19" t="n">
        <v>0.332638888888889</v>
      </c>
      <c r="J242" s="19" t="n">
        <v>0.75</v>
      </c>
      <c r="K242" s="19" t="n">
        <v>0.75</v>
      </c>
      <c r="L242" s="19" t="n">
        <v>0.375</v>
      </c>
      <c r="M242" s="19" t="n">
        <v>0.375</v>
      </c>
      <c r="N242" s="19" t="n">
        <v>0</v>
      </c>
      <c r="O242" s="19" t="n">
        <v>0</v>
      </c>
      <c r="P242" s="17" t="n">
        <f aca="false">IF(AND(ISNUMBER(H242),ISNUMBER(I242)),MAX(0,ROUND((I242-H242)*1440,0)-'Bilan agents'!$C$4),0)</f>
        <v>0</v>
      </c>
      <c r="Q242" s="8" t="str">
        <f aca="false">IF(H242="Congé","CP",IF(H242="Férié","F",IF(H242="OFF","R",IF(N242&gt;0,"A",IF(ISNUMBER(I242),"P","NR")))))</f>
        <v>P</v>
      </c>
      <c r="R242" s="18"/>
    </row>
    <row r="243" customFormat="false" ht="15" hidden="false" customHeight="false" outlineLevel="0" collapsed="false">
      <c r="A243" s="18" t="s">
        <v>26</v>
      </c>
      <c r="B243" s="8" t="s">
        <v>27</v>
      </c>
      <c r="C243" s="9" t="n">
        <v>46155</v>
      </c>
      <c r="D243" s="8" t="n">
        <v>2026</v>
      </c>
      <c r="E243" s="8" t="n">
        <v>20</v>
      </c>
      <c r="F243" s="18" t="s">
        <v>126</v>
      </c>
      <c r="G243" s="8" t="s">
        <v>118</v>
      </c>
      <c r="H243" s="19" t="s">
        <v>43</v>
      </c>
      <c r="I243" s="19"/>
      <c r="J243" s="19"/>
      <c r="K243" s="19"/>
      <c r="L243" s="19" t="n">
        <v>0</v>
      </c>
      <c r="M243" s="19"/>
      <c r="N243" s="19" t="n">
        <v>0</v>
      </c>
      <c r="O243" s="19" t="n">
        <v>0</v>
      </c>
      <c r="P243" s="17" t="n">
        <f aca="false">IF(AND(ISNUMBER(H243),ISNUMBER(I243)),MAX(0,ROUND((I243-H243)*1440,0)-'Bilan agents'!$C$4),0)</f>
        <v>0</v>
      </c>
      <c r="Q243" s="8" t="str">
        <f aca="false">IF(H243="Congé","CP",IF(H243="Férié","F",IF(H243="OFF","R",IF(N243&gt;0,"A",IF(ISNUMBER(I243),"P","NR")))))</f>
        <v>CP</v>
      </c>
      <c r="R243" s="18"/>
    </row>
    <row r="244" customFormat="false" ht="15" hidden="false" customHeight="false" outlineLevel="0" collapsed="false">
      <c r="A244" s="18" t="s">
        <v>26</v>
      </c>
      <c r="B244" s="8" t="s">
        <v>27</v>
      </c>
      <c r="C244" s="9" t="n">
        <v>46156</v>
      </c>
      <c r="D244" s="8" t="n">
        <v>2026</v>
      </c>
      <c r="E244" s="8" t="n">
        <v>20</v>
      </c>
      <c r="F244" s="18" t="s">
        <v>126</v>
      </c>
      <c r="G244" s="8" t="s">
        <v>119</v>
      </c>
      <c r="H244" s="19" t="s">
        <v>115</v>
      </c>
      <c r="I244" s="19"/>
      <c r="J244" s="19"/>
      <c r="K244" s="19"/>
      <c r="L244" s="19" t="n">
        <v>0</v>
      </c>
      <c r="M244" s="19"/>
      <c r="N244" s="19" t="n">
        <v>0</v>
      </c>
      <c r="O244" s="19" t="n">
        <v>0</v>
      </c>
      <c r="P244" s="17" t="n">
        <f aca="false">IF(AND(ISNUMBER(H244),ISNUMBER(I244)),MAX(0,ROUND((I244-H244)*1440,0)-'Bilan agents'!$C$4),0)</f>
        <v>0</v>
      </c>
      <c r="Q244" s="8" t="str">
        <f aca="false">IF(H244="Congé","CP",IF(H244="Férié","F",IF(H244="OFF","R",IF(N244&gt;0,"A",IF(ISNUMBER(I244),"P","NR")))))</f>
        <v>R</v>
      </c>
      <c r="R244" s="18"/>
    </row>
    <row r="245" customFormat="false" ht="15" hidden="false" customHeight="false" outlineLevel="0" collapsed="false">
      <c r="A245" s="18" t="s">
        <v>26</v>
      </c>
      <c r="B245" s="8" t="s">
        <v>27</v>
      </c>
      <c r="C245" s="9" t="n">
        <v>46157</v>
      </c>
      <c r="D245" s="8" t="n">
        <v>2026</v>
      </c>
      <c r="E245" s="8" t="n">
        <v>20</v>
      </c>
      <c r="F245" s="18" t="s">
        <v>126</v>
      </c>
      <c r="G245" s="8" t="s">
        <v>120</v>
      </c>
      <c r="H245" s="19" t="s">
        <v>43</v>
      </c>
      <c r="I245" s="19"/>
      <c r="J245" s="19"/>
      <c r="K245" s="19"/>
      <c r="L245" s="19" t="n">
        <v>0</v>
      </c>
      <c r="M245" s="19"/>
      <c r="N245" s="19" t="n">
        <v>0</v>
      </c>
      <c r="O245" s="19" t="n">
        <v>0</v>
      </c>
      <c r="P245" s="17" t="n">
        <f aca="false">IF(AND(ISNUMBER(H245),ISNUMBER(I245)),MAX(0,ROUND((I245-H245)*1440,0)-'Bilan agents'!$C$4),0)</f>
        <v>0</v>
      </c>
      <c r="Q245" s="8" t="str">
        <f aca="false">IF(H245="Congé","CP",IF(H245="Férié","F",IF(H245="OFF","R",IF(N245&gt;0,"A",IF(ISNUMBER(I245),"P","NR")))))</f>
        <v>CP</v>
      </c>
      <c r="R245" s="18"/>
    </row>
    <row r="246" customFormat="false" ht="15" hidden="false" customHeight="false" outlineLevel="0" collapsed="false">
      <c r="A246" s="18" t="s">
        <v>26</v>
      </c>
      <c r="B246" s="8" t="s">
        <v>27</v>
      </c>
      <c r="C246" s="9" t="n">
        <v>46158</v>
      </c>
      <c r="D246" s="8" t="n">
        <v>2026</v>
      </c>
      <c r="E246" s="8" t="n">
        <v>20</v>
      </c>
      <c r="F246" s="18" t="s">
        <v>126</v>
      </c>
      <c r="G246" s="8" t="s">
        <v>121</v>
      </c>
      <c r="H246" s="19" t="s">
        <v>115</v>
      </c>
      <c r="I246" s="19"/>
      <c r="J246" s="19"/>
      <c r="K246" s="19"/>
      <c r="L246" s="19" t="n">
        <v>0</v>
      </c>
      <c r="M246" s="19"/>
      <c r="N246" s="19" t="n">
        <v>0</v>
      </c>
      <c r="O246" s="19" t="n">
        <v>0</v>
      </c>
      <c r="P246" s="17" t="n">
        <f aca="false">IF(AND(ISNUMBER(H246),ISNUMBER(I246)),MAX(0,ROUND((I246-H246)*1440,0)-'Bilan agents'!$C$4),0)</f>
        <v>0</v>
      </c>
      <c r="Q246" s="8" t="str">
        <f aca="false">IF(H246="Congé","CP",IF(H246="Férié","F",IF(H246="OFF","R",IF(N246&gt;0,"A",IF(ISNUMBER(I246),"P","NR")))))</f>
        <v>R</v>
      </c>
      <c r="R246" s="18"/>
    </row>
    <row r="247" customFormat="false" ht="15" hidden="false" customHeight="false" outlineLevel="0" collapsed="false">
      <c r="A247" s="18" t="s">
        <v>26</v>
      </c>
      <c r="B247" s="8" t="s">
        <v>27</v>
      </c>
      <c r="C247" s="9" t="n">
        <v>46159</v>
      </c>
      <c r="D247" s="8" t="n">
        <v>2026</v>
      </c>
      <c r="E247" s="8" t="n">
        <v>20</v>
      </c>
      <c r="F247" s="18" t="s">
        <v>126</v>
      </c>
      <c r="G247" s="8" t="s">
        <v>114</v>
      </c>
      <c r="H247" s="19" t="s">
        <v>115</v>
      </c>
      <c r="I247" s="19"/>
      <c r="J247" s="19"/>
      <c r="K247" s="19"/>
      <c r="L247" s="19" t="n">
        <v>0</v>
      </c>
      <c r="M247" s="19"/>
      <c r="N247" s="19" t="n">
        <v>0</v>
      </c>
      <c r="O247" s="19" t="n">
        <v>0</v>
      </c>
      <c r="P247" s="17" t="n">
        <f aca="false">IF(AND(ISNUMBER(H247),ISNUMBER(I247)),MAX(0,ROUND((I247-H247)*1440,0)-'Bilan agents'!$C$4),0)</f>
        <v>0</v>
      </c>
      <c r="Q247" s="8" t="str">
        <f aca="false">IF(H247="Congé","CP",IF(H247="Férié","F",IF(H247="OFF","R",IF(N247&gt;0,"A",IF(ISNUMBER(I247),"P","NR")))))</f>
        <v>R</v>
      </c>
      <c r="R247" s="18"/>
    </row>
    <row r="248" customFormat="false" ht="15" hidden="false" customHeight="false" outlineLevel="0" collapsed="false">
      <c r="A248" s="18" t="s">
        <v>26</v>
      </c>
      <c r="B248" s="8" t="s">
        <v>27</v>
      </c>
      <c r="C248" s="9" t="n">
        <v>46160</v>
      </c>
      <c r="D248" s="8" t="n">
        <v>2026</v>
      </c>
      <c r="E248" s="8" t="n">
        <v>21</v>
      </c>
      <c r="F248" s="18" t="s">
        <v>126</v>
      </c>
      <c r="G248" s="8" t="s">
        <v>116</v>
      </c>
      <c r="H248" s="19" t="n">
        <v>0.333333333333333</v>
      </c>
      <c r="I248" s="19" t="n">
        <v>0.331944444444444</v>
      </c>
      <c r="J248" s="19" t="n">
        <v>0.75</v>
      </c>
      <c r="K248" s="19" t="n">
        <v>0.75</v>
      </c>
      <c r="L248" s="19" t="n">
        <v>0.375</v>
      </c>
      <c r="M248" s="19" t="n">
        <v>0.375</v>
      </c>
      <c r="N248" s="19" t="n">
        <v>0</v>
      </c>
      <c r="O248" s="19" t="n">
        <v>0.00138888888888889</v>
      </c>
      <c r="P248" s="17" t="n">
        <f aca="false">IF(AND(ISNUMBER(H248),ISNUMBER(I248)),MAX(0,ROUND((I248-H248)*1440,0)-'Bilan agents'!$C$4),0)</f>
        <v>0</v>
      </c>
      <c r="Q248" s="8" t="str">
        <f aca="false">IF(H248="Congé","CP",IF(H248="Férié","F",IF(H248="OFF","R",IF(N248&gt;0,"A",IF(ISNUMBER(I248),"P","NR")))))</f>
        <v>P</v>
      </c>
      <c r="R248" s="18"/>
    </row>
    <row r="249" customFormat="false" ht="15" hidden="false" customHeight="false" outlineLevel="0" collapsed="false">
      <c r="A249" s="18" t="s">
        <v>26</v>
      </c>
      <c r="B249" s="8" t="s">
        <v>27</v>
      </c>
      <c r="C249" s="9" t="n">
        <v>46161</v>
      </c>
      <c r="D249" s="8" t="n">
        <v>2026</v>
      </c>
      <c r="E249" s="8" t="n">
        <v>21</v>
      </c>
      <c r="F249" s="18" t="s">
        <v>126</v>
      </c>
      <c r="G249" s="8" t="s">
        <v>117</v>
      </c>
      <c r="H249" s="19" t="n">
        <v>0.333333333333333</v>
      </c>
      <c r="I249" s="19" t="n">
        <v>0.333333333333333</v>
      </c>
      <c r="J249" s="19" t="n">
        <v>0.75</v>
      </c>
      <c r="K249" s="19" t="n">
        <v>0.75</v>
      </c>
      <c r="L249" s="19" t="n">
        <v>0.375</v>
      </c>
      <c r="M249" s="19" t="n">
        <v>0.375</v>
      </c>
      <c r="N249" s="19" t="n">
        <v>0</v>
      </c>
      <c r="O249" s="19" t="n">
        <v>0</v>
      </c>
      <c r="P249" s="17" t="n">
        <f aca="false">IF(AND(ISNUMBER(H249),ISNUMBER(I249)),MAX(0,ROUND((I249-H249)*1440,0)-'Bilan agents'!$C$4),0)</f>
        <v>0</v>
      </c>
      <c r="Q249" s="8" t="str">
        <f aca="false">IF(H249="Congé","CP",IF(H249="Férié","F",IF(H249="OFF","R",IF(N249&gt;0,"A",IF(ISNUMBER(I249),"P","NR")))))</f>
        <v>P</v>
      </c>
      <c r="R249" s="18"/>
    </row>
    <row r="250" customFormat="false" ht="15" hidden="false" customHeight="false" outlineLevel="0" collapsed="false">
      <c r="A250" s="18" t="s">
        <v>26</v>
      </c>
      <c r="B250" s="8" t="s">
        <v>27</v>
      </c>
      <c r="C250" s="9" t="n">
        <v>46162</v>
      </c>
      <c r="D250" s="8" t="n">
        <v>2026</v>
      </c>
      <c r="E250" s="8" t="n">
        <v>21</v>
      </c>
      <c r="F250" s="18" t="s">
        <v>126</v>
      </c>
      <c r="G250" s="8" t="s">
        <v>118</v>
      </c>
      <c r="H250" s="19" t="n">
        <v>0.333333333333333</v>
      </c>
      <c r="I250" s="19" t="n">
        <v>0.333333333333333</v>
      </c>
      <c r="J250" s="19" t="n">
        <v>0.75</v>
      </c>
      <c r="K250" s="19" t="n">
        <v>0.75</v>
      </c>
      <c r="L250" s="19" t="n">
        <v>0.375</v>
      </c>
      <c r="M250" s="19" t="n">
        <v>0.375</v>
      </c>
      <c r="N250" s="19" t="n">
        <v>0</v>
      </c>
      <c r="O250" s="19" t="n">
        <v>0</v>
      </c>
      <c r="P250" s="17" t="n">
        <f aca="false">IF(AND(ISNUMBER(H250),ISNUMBER(I250)),MAX(0,ROUND((I250-H250)*1440,0)-'Bilan agents'!$C$4),0)</f>
        <v>0</v>
      </c>
      <c r="Q250" s="8" t="str">
        <f aca="false">IF(H250="Congé","CP",IF(H250="Férié","F",IF(H250="OFF","R",IF(N250&gt;0,"A",IF(ISNUMBER(I250),"P","NR")))))</f>
        <v>P</v>
      </c>
      <c r="R250" s="18"/>
    </row>
    <row r="251" customFormat="false" ht="15" hidden="false" customHeight="false" outlineLevel="0" collapsed="false">
      <c r="A251" s="18" t="s">
        <v>26</v>
      </c>
      <c r="B251" s="8" t="s">
        <v>27</v>
      </c>
      <c r="C251" s="9" t="n">
        <v>46163</v>
      </c>
      <c r="D251" s="8" t="n">
        <v>2026</v>
      </c>
      <c r="E251" s="8" t="n">
        <v>21</v>
      </c>
      <c r="F251" s="18" t="s">
        <v>126</v>
      </c>
      <c r="G251" s="8" t="s">
        <v>119</v>
      </c>
      <c r="H251" s="19" t="n">
        <v>0.333333333333333</v>
      </c>
      <c r="I251" s="19" t="n">
        <v>0.333333333333333</v>
      </c>
      <c r="J251" s="19" t="n">
        <v>0.75</v>
      </c>
      <c r="K251" s="19" t="n">
        <v>0.75</v>
      </c>
      <c r="L251" s="19" t="n">
        <v>0.375</v>
      </c>
      <c r="M251" s="19" t="n">
        <v>0.375</v>
      </c>
      <c r="N251" s="19" t="n">
        <v>0</v>
      </c>
      <c r="O251" s="19" t="n">
        <v>0</v>
      </c>
      <c r="P251" s="17" t="n">
        <f aca="false">IF(AND(ISNUMBER(H251),ISNUMBER(I251)),MAX(0,ROUND((I251-H251)*1440,0)-'Bilan agents'!$C$4),0)</f>
        <v>0</v>
      </c>
      <c r="Q251" s="8" t="str">
        <f aca="false">IF(H251="Congé","CP",IF(H251="Férié","F",IF(H251="OFF","R",IF(N251&gt;0,"A",IF(ISNUMBER(I251),"P","NR")))))</f>
        <v>P</v>
      </c>
      <c r="R251" s="18"/>
    </row>
    <row r="252" customFormat="false" ht="15" hidden="false" customHeight="false" outlineLevel="0" collapsed="false">
      <c r="A252" s="18" t="s">
        <v>26</v>
      </c>
      <c r="B252" s="8" t="s">
        <v>27</v>
      </c>
      <c r="C252" s="9" t="n">
        <v>46164</v>
      </c>
      <c r="D252" s="8" t="n">
        <v>2026</v>
      </c>
      <c r="E252" s="8" t="n">
        <v>21</v>
      </c>
      <c r="F252" s="18" t="s">
        <v>126</v>
      </c>
      <c r="G252" s="8" t="s">
        <v>120</v>
      </c>
      <c r="H252" s="19" t="n">
        <v>0.333333333333333</v>
      </c>
      <c r="I252" s="19" t="n">
        <v>0.333333333333333</v>
      </c>
      <c r="J252" s="19" t="n">
        <v>0.708333333333333</v>
      </c>
      <c r="K252" s="19" t="n">
        <v>0.708333333333333</v>
      </c>
      <c r="L252" s="19" t="n">
        <v>0.333333333333333</v>
      </c>
      <c r="M252" s="19" t="n">
        <v>0.333333333333333</v>
      </c>
      <c r="N252" s="19" t="n">
        <v>0</v>
      </c>
      <c r="O252" s="19" t="n">
        <v>0</v>
      </c>
      <c r="P252" s="17" t="n">
        <f aca="false">IF(AND(ISNUMBER(H252),ISNUMBER(I252)),MAX(0,ROUND((I252-H252)*1440,0)-'Bilan agents'!$C$4),0)</f>
        <v>0</v>
      </c>
      <c r="Q252" s="8" t="str">
        <f aca="false">IF(H252="Congé","CP",IF(H252="Férié","F",IF(H252="OFF","R",IF(N252&gt;0,"A",IF(ISNUMBER(I252),"P","NR")))))</f>
        <v>P</v>
      </c>
      <c r="R252" s="18"/>
    </row>
    <row r="253" customFormat="false" ht="15" hidden="false" customHeight="false" outlineLevel="0" collapsed="false">
      <c r="A253" s="18" t="s">
        <v>26</v>
      </c>
      <c r="B253" s="8" t="s">
        <v>27</v>
      </c>
      <c r="C253" s="9" t="n">
        <v>46165</v>
      </c>
      <c r="D253" s="8" t="n">
        <v>2026</v>
      </c>
      <c r="E253" s="8" t="n">
        <v>21</v>
      </c>
      <c r="F253" s="18" t="s">
        <v>126</v>
      </c>
      <c r="G253" s="8" t="s">
        <v>121</v>
      </c>
      <c r="H253" s="19" t="s">
        <v>115</v>
      </c>
      <c r="I253" s="19"/>
      <c r="J253" s="19"/>
      <c r="K253" s="19"/>
      <c r="L253" s="19" t="n">
        <v>0</v>
      </c>
      <c r="M253" s="19"/>
      <c r="N253" s="19" t="n">
        <v>0</v>
      </c>
      <c r="O253" s="19" t="n">
        <v>0</v>
      </c>
      <c r="P253" s="17" t="n">
        <f aca="false">IF(AND(ISNUMBER(H253),ISNUMBER(I253)),MAX(0,ROUND((I253-H253)*1440,0)-'Bilan agents'!$C$4),0)</f>
        <v>0</v>
      </c>
      <c r="Q253" s="8" t="str">
        <f aca="false">IF(H253="Congé","CP",IF(H253="Férié","F",IF(H253="OFF","R",IF(N253&gt;0,"A",IF(ISNUMBER(I253),"P","NR")))))</f>
        <v>R</v>
      </c>
      <c r="R253" s="18"/>
    </row>
    <row r="254" customFormat="false" ht="15" hidden="false" customHeight="false" outlineLevel="0" collapsed="false">
      <c r="A254" s="18" t="s">
        <v>26</v>
      </c>
      <c r="B254" s="8" t="s">
        <v>27</v>
      </c>
      <c r="C254" s="9" t="n">
        <v>46166</v>
      </c>
      <c r="D254" s="8" t="n">
        <v>2026</v>
      </c>
      <c r="E254" s="8" t="n">
        <v>21</v>
      </c>
      <c r="F254" s="18" t="s">
        <v>126</v>
      </c>
      <c r="G254" s="8" t="s">
        <v>114</v>
      </c>
      <c r="H254" s="19" t="s">
        <v>115</v>
      </c>
      <c r="I254" s="19"/>
      <c r="J254" s="19"/>
      <c r="K254" s="19"/>
      <c r="L254" s="19" t="n">
        <v>0</v>
      </c>
      <c r="M254" s="19"/>
      <c r="N254" s="19" t="n">
        <v>0</v>
      </c>
      <c r="O254" s="19" t="n">
        <v>0</v>
      </c>
      <c r="P254" s="17" t="n">
        <f aca="false">IF(AND(ISNUMBER(H254),ISNUMBER(I254)),MAX(0,ROUND((I254-H254)*1440,0)-'Bilan agents'!$C$4),0)</f>
        <v>0</v>
      </c>
      <c r="Q254" s="8" t="str">
        <f aca="false">IF(H254="Congé","CP",IF(H254="Férié","F",IF(H254="OFF","R",IF(N254&gt;0,"A",IF(ISNUMBER(I254),"P","NR")))))</f>
        <v>R</v>
      </c>
      <c r="R254" s="18"/>
    </row>
    <row r="255" customFormat="false" ht="15" hidden="false" customHeight="false" outlineLevel="0" collapsed="false">
      <c r="A255" s="18" t="s">
        <v>26</v>
      </c>
      <c r="B255" s="8" t="s">
        <v>27</v>
      </c>
      <c r="C255" s="9" t="n">
        <v>46167</v>
      </c>
      <c r="D255" s="8" t="n">
        <v>2026</v>
      </c>
      <c r="E255" s="8" t="n">
        <v>22</v>
      </c>
      <c r="F255" s="18" t="s">
        <v>126</v>
      </c>
      <c r="G255" s="8" t="s">
        <v>116</v>
      </c>
      <c r="H255" s="19" t="s">
        <v>115</v>
      </c>
      <c r="I255" s="19"/>
      <c r="J255" s="19"/>
      <c r="K255" s="19"/>
      <c r="L255" s="19" t="n">
        <v>0</v>
      </c>
      <c r="M255" s="19"/>
      <c r="N255" s="19" t="n">
        <v>0</v>
      </c>
      <c r="O255" s="19" t="n">
        <v>0</v>
      </c>
      <c r="P255" s="17" t="n">
        <f aca="false">IF(AND(ISNUMBER(H255),ISNUMBER(I255)),MAX(0,ROUND((I255-H255)*1440,0)-'Bilan agents'!$C$4),0)</f>
        <v>0</v>
      </c>
      <c r="Q255" s="8" t="str">
        <f aca="false">IF(H255="Congé","CP",IF(H255="Férié","F",IF(H255="OFF","R",IF(N255&gt;0,"A",IF(ISNUMBER(I255),"P","NR")))))</f>
        <v>R</v>
      </c>
      <c r="R255" s="18"/>
    </row>
    <row r="256" customFormat="false" ht="15" hidden="false" customHeight="false" outlineLevel="0" collapsed="false">
      <c r="A256" s="18" t="s">
        <v>26</v>
      </c>
      <c r="B256" s="8" t="s">
        <v>27</v>
      </c>
      <c r="C256" s="9" t="n">
        <v>46168</v>
      </c>
      <c r="D256" s="8" t="n">
        <v>2026</v>
      </c>
      <c r="E256" s="8" t="n">
        <v>22</v>
      </c>
      <c r="F256" s="18" t="s">
        <v>126</v>
      </c>
      <c r="G256" s="8" t="s">
        <v>117</v>
      </c>
      <c r="H256" s="19" t="n">
        <v>0.333333333333333</v>
      </c>
      <c r="I256" s="19" t="n">
        <v>0.331944444444444</v>
      </c>
      <c r="J256" s="19" t="n">
        <v>0.75</v>
      </c>
      <c r="K256" s="19" t="n">
        <v>0.75</v>
      </c>
      <c r="L256" s="19" t="n">
        <v>0.375</v>
      </c>
      <c r="M256" s="19" t="n">
        <v>0.375</v>
      </c>
      <c r="N256" s="19" t="n">
        <v>0</v>
      </c>
      <c r="O256" s="19" t="n">
        <v>0.00138888888888889</v>
      </c>
      <c r="P256" s="17" t="n">
        <f aca="false">IF(AND(ISNUMBER(H256),ISNUMBER(I256)),MAX(0,ROUND((I256-H256)*1440,0)-'Bilan agents'!$C$4),0)</f>
        <v>0</v>
      </c>
      <c r="Q256" s="8" t="str">
        <f aca="false">IF(H256="Congé","CP",IF(H256="Férié","F",IF(H256="OFF","R",IF(N256&gt;0,"A",IF(ISNUMBER(I256),"P","NR")))))</f>
        <v>P</v>
      </c>
      <c r="R256" s="18"/>
    </row>
    <row r="257" customFormat="false" ht="15" hidden="false" customHeight="false" outlineLevel="0" collapsed="false">
      <c r="A257" s="18" t="s">
        <v>26</v>
      </c>
      <c r="B257" s="8" t="s">
        <v>27</v>
      </c>
      <c r="C257" s="9" t="n">
        <v>46169</v>
      </c>
      <c r="D257" s="8" t="n">
        <v>2026</v>
      </c>
      <c r="E257" s="8" t="n">
        <v>22</v>
      </c>
      <c r="F257" s="18" t="s">
        <v>126</v>
      </c>
      <c r="G257" s="8" t="s">
        <v>118</v>
      </c>
      <c r="H257" s="19" t="n">
        <v>0.333333333333333</v>
      </c>
      <c r="I257" s="19" t="n">
        <v>0.33125</v>
      </c>
      <c r="J257" s="19" t="n">
        <v>0.75</v>
      </c>
      <c r="K257" s="19" t="n">
        <v>0.75</v>
      </c>
      <c r="L257" s="19" t="n">
        <v>0.375</v>
      </c>
      <c r="M257" s="19" t="n">
        <v>0.375</v>
      </c>
      <c r="N257" s="19" t="n">
        <v>0</v>
      </c>
      <c r="O257" s="19" t="n">
        <v>0.00208333333333333</v>
      </c>
      <c r="P257" s="17" t="n">
        <f aca="false">IF(AND(ISNUMBER(H257),ISNUMBER(I257)),MAX(0,ROUND((I257-H257)*1440,0)-'Bilan agents'!$C$4),0)</f>
        <v>0</v>
      </c>
      <c r="Q257" s="8" t="str">
        <f aca="false">IF(H257="Congé","CP",IF(H257="Férié","F",IF(H257="OFF","R",IF(N257&gt;0,"A",IF(ISNUMBER(I257),"P","NR")))))</f>
        <v>P</v>
      </c>
      <c r="R257" s="18"/>
    </row>
    <row r="258" customFormat="false" ht="15" hidden="false" customHeight="false" outlineLevel="0" collapsed="false">
      <c r="A258" s="18" t="s">
        <v>26</v>
      </c>
      <c r="B258" s="8" t="s">
        <v>27</v>
      </c>
      <c r="C258" s="9" t="n">
        <v>46170</v>
      </c>
      <c r="D258" s="8" t="n">
        <v>2026</v>
      </c>
      <c r="E258" s="8" t="n">
        <v>22</v>
      </c>
      <c r="F258" s="18" t="s">
        <v>126</v>
      </c>
      <c r="G258" s="8" t="s">
        <v>119</v>
      </c>
      <c r="H258" s="19" t="n">
        <v>0.333333333333333</v>
      </c>
      <c r="I258" s="19" t="n">
        <v>0.333333333333333</v>
      </c>
      <c r="J258" s="19" t="n">
        <v>0.75</v>
      </c>
      <c r="K258" s="19" t="n">
        <v>0.75</v>
      </c>
      <c r="L258" s="19" t="n">
        <v>0.375</v>
      </c>
      <c r="M258" s="19" t="n">
        <v>0.375</v>
      </c>
      <c r="N258" s="19" t="n">
        <v>0</v>
      </c>
      <c r="O258" s="19" t="n">
        <v>0</v>
      </c>
      <c r="P258" s="17" t="n">
        <f aca="false">IF(AND(ISNUMBER(H258),ISNUMBER(I258)),MAX(0,ROUND((I258-H258)*1440,0)-'Bilan agents'!$C$4),0)</f>
        <v>0</v>
      </c>
      <c r="Q258" s="8" t="str">
        <f aca="false">IF(H258="Congé","CP",IF(H258="Férié","F",IF(H258="OFF","R",IF(N258&gt;0,"A",IF(ISNUMBER(I258),"P","NR")))))</f>
        <v>P</v>
      </c>
      <c r="R258" s="18"/>
    </row>
    <row r="259" customFormat="false" ht="15" hidden="false" customHeight="false" outlineLevel="0" collapsed="false">
      <c r="A259" s="18" t="s">
        <v>26</v>
      </c>
      <c r="B259" s="8" t="s">
        <v>27</v>
      </c>
      <c r="C259" s="9" t="n">
        <v>46171</v>
      </c>
      <c r="D259" s="8" t="n">
        <v>2026</v>
      </c>
      <c r="E259" s="8" t="n">
        <v>22</v>
      </c>
      <c r="F259" s="18" t="s">
        <v>126</v>
      </c>
      <c r="G259" s="8" t="s">
        <v>120</v>
      </c>
      <c r="H259" s="19" t="n">
        <v>0.333333333333333</v>
      </c>
      <c r="I259" s="19" t="n">
        <v>0.333333333333333</v>
      </c>
      <c r="J259" s="19" t="n">
        <v>0.708333333333333</v>
      </c>
      <c r="K259" s="19" t="n">
        <v>0.708333333333333</v>
      </c>
      <c r="L259" s="19" t="n">
        <v>0.333333333333333</v>
      </c>
      <c r="M259" s="19" t="n">
        <v>0.333333333333333</v>
      </c>
      <c r="N259" s="19" t="n">
        <v>0</v>
      </c>
      <c r="O259" s="19" t="n">
        <v>0</v>
      </c>
      <c r="P259" s="17" t="n">
        <f aca="false">IF(AND(ISNUMBER(H259),ISNUMBER(I259)),MAX(0,ROUND((I259-H259)*1440,0)-'Bilan agents'!$C$4),0)</f>
        <v>0</v>
      </c>
      <c r="Q259" s="8" t="str">
        <f aca="false">IF(H259="Congé","CP",IF(H259="Férié","F",IF(H259="OFF","R",IF(N259&gt;0,"A",IF(ISNUMBER(I259),"P","NR")))))</f>
        <v>P</v>
      </c>
      <c r="R259" s="18"/>
    </row>
    <row r="260" customFormat="false" ht="15" hidden="false" customHeight="false" outlineLevel="0" collapsed="false">
      <c r="A260" s="18" t="s">
        <v>26</v>
      </c>
      <c r="B260" s="8" t="s">
        <v>27</v>
      </c>
      <c r="C260" s="9" t="n">
        <v>46172</v>
      </c>
      <c r="D260" s="8" t="n">
        <v>2026</v>
      </c>
      <c r="E260" s="8" t="n">
        <v>22</v>
      </c>
      <c r="F260" s="18" t="s">
        <v>126</v>
      </c>
      <c r="G260" s="8" t="s">
        <v>121</v>
      </c>
      <c r="H260" s="19" t="s">
        <v>115</v>
      </c>
      <c r="I260" s="19"/>
      <c r="J260" s="19"/>
      <c r="K260" s="19"/>
      <c r="L260" s="19" t="n">
        <v>0</v>
      </c>
      <c r="M260" s="19"/>
      <c r="N260" s="19" t="n">
        <v>0</v>
      </c>
      <c r="O260" s="19" t="n">
        <v>0</v>
      </c>
      <c r="P260" s="17" t="n">
        <f aca="false">IF(AND(ISNUMBER(H260),ISNUMBER(I260)),MAX(0,ROUND((I260-H260)*1440,0)-'Bilan agents'!$C$4),0)</f>
        <v>0</v>
      </c>
      <c r="Q260" s="8" t="str">
        <f aca="false">IF(H260="Congé","CP",IF(H260="Férié","F",IF(H260="OFF","R",IF(N260&gt;0,"A",IF(ISNUMBER(I260),"P","NR")))))</f>
        <v>R</v>
      </c>
      <c r="R260" s="18"/>
    </row>
    <row r="261" customFormat="false" ht="15" hidden="false" customHeight="false" outlineLevel="0" collapsed="false">
      <c r="A261" s="18" t="s">
        <v>26</v>
      </c>
      <c r="B261" s="8" t="s">
        <v>27</v>
      </c>
      <c r="C261" s="9" t="n">
        <v>46173</v>
      </c>
      <c r="D261" s="8" t="n">
        <v>2026</v>
      </c>
      <c r="E261" s="8" t="n">
        <v>22</v>
      </c>
      <c r="F261" s="18" t="s">
        <v>126</v>
      </c>
      <c r="G261" s="8" t="s">
        <v>114</v>
      </c>
      <c r="H261" s="19" t="s">
        <v>115</v>
      </c>
      <c r="I261" s="19"/>
      <c r="J261" s="19"/>
      <c r="K261" s="19"/>
      <c r="L261" s="19" t="n">
        <v>0</v>
      </c>
      <c r="M261" s="19"/>
      <c r="N261" s="19" t="n">
        <v>0</v>
      </c>
      <c r="O261" s="19" t="n">
        <v>0</v>
      </c>
      <c r="P261" s="17" t="n">
        <f aca="false">IF(AND(ISNUMBER(H261),ISNUMBER(I261)),MAX(0,ROUND((I261-H261)*1440,0)-'Bilan agents'!$C$4),0)</f>
        <v>0</v>
      </c>
      <c r="Q261" s="8" t="str">
        <f aca="false">IF(H261="Congé","CP",IF(H261="Férié","F",IF(H261="OFF","R",IF(N261&gt;0,"A",IF(ISNUMBER(I261),"P","NR")))))</f>
        <v>R</v>
      </c>
      <c r="R261" s="18"/>
    </row>
    <row r="262" customFormat="false" ht="15" hidden="false" customHeight="false" outlineLevel="0" collapsed="false">
      <c r="A262" s="18" t="s">
        <v>26</v>
      </c>
      <c r="B262" s="8" t="s">
        <v>27</v>
      </c>
      <c r="C262" s="9" t="n">
        <v>46174</v>
      </c>
      <c r="D262" s="8" t="n">
        <v>2026</v>
      </c>
      <c r="E262" s="8" t="n">
        <v>23</v>
      </c>
      <c r="F262" s="18" t="s">
        <v>127</v>
      </c>
      <c r="G262" s="8" t="s">
        <v>116</v>
      </c>
      <c r="H262" s="19" t="n">
        <v>0.333333333333333</v>
      </c>
      <c r="I262" s="19" t="n">
        <v>0.331944444444444</v>
      </c>
      <c r="J262" s="19" t="n">
        <v>0.75</v>
      </c>
      <c r="K262" s="19" t="n">
        <v>0.75</v>
      </c>
      <c r="L262" s="19" t="n">
        <v>0.375</v>
      </c>
      <c r="M262" s="19" t="n">
        <v>0.375</v>
      </c>
      <c r="N262" s="19" t="n">
        <v>0</v>
      </c>
      <c r="O262" s="19" t="n">
        <v>0.00138888888888889</v>
      </c>
      <c r="P262" s="17" t="n">
        <f aca="false">IF(AND(ISNUMBER(H262),ISNUMBER(I262)),MAX(0,ROUND((I262-H262)*1440,0)-'Bilan agents'!$C$4),0)</f>
        <v>0</v>
      </c>
      <c r="Q262" s="8" t="str">
        <f aca="false">IF(H262="Congé","CP",IF(H262="Férié","F",IF(H262="OFF","R",IF(N262&gt;0,"A",IF(ISNUMBER(I262),"P","NR")))))</f>
        <v>P</v>
      </c>
      <c r="R262" s="18"/>
    </row>
    <row r="263" customFormat="false" ht="15" hidden="false" customHeight="false" outlineLevel="0" collapsed="false">
      <c r="A263" s="18" t="s">
        <v>26</v>
      </c>
      <c r="B263" s="8" t="s">
        <v>27</v>
      </c>
      <c r="C263" s="9" t="n">
        <v>46175</v>
      </c>
      <c r="D263" s="8" t="n">
        <v>2026</v>
      </c>
      <c r="E263" s="8" t="n">
        <v>23</v>
      </c>
      <c r="F263" s="18" t="s">
        <v>127</v>
      </c>
      <c r="G263" s="8" t="s">
        <v>117</v>
      </c>
      <c r="H263" s="19" t="n">
        <v>0.333333333333333</v>
      </c>
      <c r="I263" s="19" t="n">
        <v>0.332638888888889</v>
      </c>
      <c r="J263" s="19" t="n">
        <v>0.75</v>
      </c>
      <c r="K263" s="19" t="n">
        <v>0.75</v>
      </c>
      <c r="L263" s="19" t="n">
        <v>0.375</v>
      </c>
      <c r="M263" s="19" t="n">
        <v>0.375</v>
      </c>
      <c r="N263" s="19" t="n">
        <v>0</v>
      </c>
      <c r="O263" s="19" t="n">
        <v>0</v>
      </c>
      <c r="P263" s="17" t="n">
        <f aca="false">IF(AND(ISNUMBER(H263),ISNUMBER(I263)),MAX(0,ROUND((I263-H263)*1440,0)-'Bilan agents'!$C$4),0)</f>
        <v>0</v>
      </c>
      <c r="Q263" s="8" t="str">
        <f aca="false">IF(H263="Congé","CP",IF(H263="Férié","F",IF(H263="OFF","R",IF(N263&gt;0,"A",IF(ISNUMBER(I263),"P","NR")))))</f>
        <v>P</v>
      </c>
      <c r="R263" s="18"/>
    </row>
    <row r="264" customFormat="false" ht="15" hidden="false" customHeight="false" outlineLevel="0" collapsed="false">
      <c r="A264" s="18" t="s">
        <v>26</v>
      </c>
      <c r="B264" s="8" t="s">
        <v>27</v>
      </c>
      <c r="C264" s="9" t="n">
        <v>46176</v>
      </c>
      <c r="D264" s="8" t="n">
        <v>2026</v>
      </c>
      <c r="E264" s="8" t="n">
        <v>23</v>
      </c>
      <c r="F264" s="18" t="s">
        <v>127</v>
      </c>
      <c r="G264" s="8" t="s">
        <v>118</v>
      </c>
      <c r="H264" s="19" t="n">
        <v>0.333333333333333</v>
      </c>
      <c r="I264" s="19" t="n">
        <v>0.331944444444444</v>
      </c>
      <c r="J264" s="19" t="n">
        <v>0.75</v>
      </c>
      <c r="K264" s="19" t="n">
        <v>0.75</v>
      </c>
      <c r="L264" s="19" t="n">
        <v>0.375</v>
      </c>
      <c r="M264" s="19" t="n">
        <v>0.375</v>
      </c>
      <c r="N264" s="19" t="n">
        <v>0</v>
      </c>
      <c r="O264" s="19" t="n">
        <v>0.00138888888888889</v>
      </c>
      <c r="P264" s="17" t="n">
        <f aca="false">IF(AND(ISNUMBER(H264),ISNUMBER(I264)),MAX(0,ROUND((I264-H264)*1440,0)-'Bilan agents'!$C$4),0)</f>
        <v>0</v>
      </c>
      <c r="Q264" s="8" t="str">
        <f aca="false">IF(H264="Congé","CP",IF(H264="Férié","F",IF(H264="OFF","R",IF(N264&gt;0,"A",IF(ISNUMBER(I264),"P","NR")))))</f>
        <v>P</v>
      </c>
      <c r="R264" s="18"/>
    </row>
    <row r="265" customFormat="false" ht="15" hidden="false" customHeight="false" outlineLevel="0" collapsed="false">
      <c r="A265" s="18" t="s">
        <v>26</v>
      </c>
      <c r="B265" s="8" t="s">
        <v>27</v>
      </c>
      <c r="C265" s="9" t="n">
        <v>46177</v>
      </c>
      <c r="D265" s="8" t="n">
        <v>2026</v>
      </c>
      <c r="E265" s="8" t="n">
        <v>23</v>
      </c>
      <c r="F265" s="18" t="s">
        <v>127</v>
      </c>
      <c r="G265" s="8" t="s">
        <v>119</v>
      </c>
      <c r="H265" s="19" t="n">
        <v>0.333333333333333</v>
      </c>
      <c r="I265" s="19" t="n">
        <v>0.331944444444444</v>
      </c>
      <c r="J265" s="19" t="n">
        <v>0.75</v>
      </c>
      <c r="K265" s="19" t="n">
        <v>0.75</v>
      </c>
      <c r="L265" s="19" t="n">
        <v>0.375</v>
      </c>
      <c r="M265" s="19" t="n">
        <v>0.375</v>
      </c>
      <c r="N265" s="19" t="n">
        <v>0</v>
      </c>
      <c r="O265" s="19" t="n">
        <v>0.00138888888888889</v>
      </c>
      <c r="P265" s="17" t="n">
        <f aca="false">IF(AND(ISNUMBER(H265),ISNUMBER(I265)),MAX(0,ROUND((I265-H265)*1440,0)-'Bilan agents'!$C$4),0)</f>
        <v>0</v>
      </c>
      <c r="Q265" s="8" t="str">
        <f aca="false">IF(H265="Congé","CP",IF(H265="Férié","F",IF(H265="OFF","R",IF(N265&gt;0,"A",IF(ISNUMBER(I265),"P","NR")))))</f>
        <v>P</v>
      </c>
      <c r="R265" s="18"/>
    </row>
    <row r="266" customFormat="false" ht="15" hidden="false" customHeight="false" outlineLevel="0" collapsed="false">
      <c r="A266" s="18" t="s">
        <v>26</v>
      </c>
      <c r="B266" s="8" t="s">
        <v>27</v>
      </c>
      <c r="C266" s="9" t="n">
        <v>46178</v>
      </c>
      <c r="D266" s="8" t="n">
        <v>2026</v>
      </c>
      <c r="E266" s="8" t="n">
        <v>23</v>
      </c>
      <c r="F266" s="18" t="s">
        <v>127</v>
      </c>
      <c r="G266" s="8" t="s">
        <v>120</v>
      </c>
      <c r="H266" s="19" t="n">
        <v>0.333333333333333</v>
      </c>
      <c r="I266" s="19" t="n">
        <v>0.331944444444444</v>
      </c>
      <c r="J266" s="19" t="n">
        <v>0.708333333333333</v>
      </c>
      <c r="K266" s="19" t="n">
        <v>0.708333333333333</v>
      </c>
      <c r="L266" s="19" t="n">
        <v>0.333333333333333</v>
      </c>
      <c r="M266" s="19" t="n">
        <v>0.333333333333333</v>
      </c>
      <c r="N266" s="19" t="n">
        <v>0</v>
      </c>
      <c r="O266" s="19" t="n">
        <v>0.00138888888888889</v>
      </c>
      <c r="P266" s="17" t="n">
        <f aca="false">IF(AND(ISNUMBER(H266),ISNUMBER(I266)),MAX(0,ROUND((I266-H266)*1440,0)-'Bilan agents'!$C$4),0)</f>
        <v>0</v>
      </c>
      <c r="Q266" s="8" t="str">
        <f aca="false">IF(H266="Congé","CP",IF(H266="Férié","F",IF(H266="OFF","R",IF(N266&gt;0,"A",IF(ISNUMBER(I266),"P","NR")))))</f>
        <v>P</v>
      </c>
      <c r="R266" s="18"/>
    </row>
    <row r="267" customFormat="false" ht="15" hidden="false" customHeight="false" outlineLevel="0" collapsed="false">
      <c r="A267" s="18" t="s">
        <v>26</v>
      </c>
      <c r="B267" s="8" t="s">
        <v>27</v>
      </c>
      <c r="C267" s="9" t="n">
        <v>46179</v>
      </c>
      <c r="D267" s="8" t="n">
        <v>2026</v>
      </c>
      <c r="E267" s="8" t="n">
        <v>23</v>
      </c>
      <c r="F267" s="18" t="s">
        <v>127</v>
      </c>
      <c r="G267" s="8" t="s">
        <v>121</v>
      </c>
      <c r="H267" s="19" t="s">
        <v>115</v>
      </c>
      <c r="I267" s="19"/>
      <c r="J267" s="19"/>
      <c r="K267" s="19"/>
      <c r="L267" s="19" t="n">
        <v>0</v>
      </c>
      <c r="M267" s="19"/>
      <c r="N267" s="19" t="n">
        <v>0</v>
      </c>
      <c r="O267" s="19" t="n">
        <v>0</v>
      </c>
      <c r="P267" s="17" t="n">
        <f aca="false">IF(AND(ISNUMBER(H267),ISNUMBER(I267)),MAX(0,ROUND((I267-H267)*1440,0)-'Bilan agents'!$C$4),0)</f>
        <v>0</v>
      </c>
      <c r="Q267" s="8" t="str">
        <f aca="false">IF(H267="Congé","CP",IF(H267="Férié","F",IF(H267="OFF","R",IF(N267&gt;0,"A",IF(ISNUMBER(I267),"P","NR")))))</f>
        <v>R</v>
      </c>
      <c r="R267" s="18"/>
    </row>
    <row r="268" customFormat="false" ht="15" hidden="false" customHeight="false" outlineLevel="0" collapsed="false">
      <c r="A268" s="18" t="s">
        <v>26</v>
      </c>
      <c r="B268" s="8" t="s">
        <v>27</v>
      </c>
      <c r="C268" s="9" t="n">
        <v>46180</v>
      </c>
      <c r="D268" s="8" t="n">
        <v>2026</v>
      </c>
      <c r="E268" s="8" t="n">
        <v>23</v>
      </c>
      <c r="F268" s="18" t="s">
        <v>127</v>
      </c>
      <c r="G268" s="8" t="s">
        <v>114</v>
      </c>
      <c r="H268" s="19" t="s">
        <v>115</v>
      </c>
      <c r="I268" s="19"/>
      <c r="J268" s="19"/>
      <c r="K268" s="19"/>
      <c r="L268" s="19" t="n">
        <v>0</v>
      </c>
      <c r="M268" s="19"/>
      <c r="N268" s="19" t="n">
        <v>0</v>
      </c>
      <c r="O268" s="19" t="n">
        <v>0</v>
      </c>
      <c r="P268" s="17" t="n">
        <f aca="false">IF(AND(ISNUMBER(H268),ISNUMBER(I268)),MAX(0,ROUND((I268-H268)*1440,0)-'Bilan agents'!$C$4),0)</f>
        <v>0</v>
      </c>
      <c r="Q268" s="8" t="str">
        <f aca="false">IF(H268="Congé","CP",IF(H268="Férié","F",IF(H268="OFF","R",IF(N268&gt;0,"A",IF(ISNUMBER(I268),"P","NR")))))</f>
        <v>R</v>
      </c>
      <c r="R268" s="18"/>
    </row>
    <row r="269" customFormat="false" ht="15" hidden="false" customHeight="false" outlineLevel="0" collapsed="false">
      <c r="A269" s="18" t="s">
        <v>26</v>
      </c>
      <c r="B269" s="8" t="s">
        <v>27</v>
      </c>
      <c r="C269" s="9" t="n">
        <v>46181</v>
      </c>
      <c r="D269" s="8" t="n">
        <v>2026</v>
      </c>
      <c r="E269" s="8" t="n">
        <v>24</v>
      </c>
      <c r="F269" s="18" t="s">
        <v>127</v>
      </c>
      <c r="G269" s="8" t="s">
        <v>116</v>
      </c>
      <c r="H269" s="19" t="n">
        <v>0.333333333333333</v>
      </c>
      <c r="I269" s="19" t="n">
        <v>0.331944444444444</v>
      </c>
      <c r="J269" s="19" t="n">
        <v>0.75</v>
      </c>
      <c r="K269" s="19" t="n">
        <v>0.75</v>
      </c>
      <c r="L269" s="19" t="n">
        <v>0.375</v>
      </c>
      <c r="M269" s="19" t="n">
        <v>0.375</v>
      </c>
      <c r="N269" s="19" t="n">
        <v>0</v>
      </c>
      <c r="O269" s="19" t="n">
        <v>0.00138888888888889</v>
      </c>
      <c r="P269" s="17" t="n">
        <f aca="false">IF(AND(ISNUMBER(H269),ISNUMBER(I269)),MAX(0,ROUND((I269-H269)*1440,0)-'Bilan agents'!$C$4),0)</f>
        <v>0</v>
      </c>
      <c r="Q269" s="8" t="str">
        <f aca="false">IF(H269="Congé","CP",IF(H269="Férié","F",IF(H269="OFF","R",IF(N269&gt;0,"A",IF(ISNUMBER(I269),"P","NR")))))</f>
        <v>P</v>
      </c>
      <c r="R269" s="18"/>
    </row>
    <row r="270" customFormat="false" ht="15" hidden="false" customHeight="false" outlineLevel="0" collapsed="false">
      <c r="A270" s="18" t="s">
        <v>26</v>
      </c>
      <c r="B270" s="8" t="s">
        <v>27</v>
      </c>
      <c r="C270" s="9" t="n">
        <v>46182</v>
      </c>
      <c r="D270" s="8" t="n">
        <v>2026</v>
      </c>
      <c r="E270" s="8" t="n">
        <v>24</v>
      </c>
      <c r="F270" s="18" t="s">
        <v>127</v>
      </c>
      <c r="G270" s="8" t="s">
        <v>117</v>
      </c>
      <c r="H270" s="19" t="n">
        <v>0.333333333333333</v>
      </c>
      <c r="I270" s="19" t="n">
        <v>0.333333333333333</v>
      </c>
      <c r="J270" s="19" t="n">
        <v>0.75</v>
      </c>
      <c r="K270" s="19" t="n">
        <v>0.75</v>
      </c>
      <c r="L270" s="19" t="n">
        <v>0.375</v>
      </c>
      <c r="M270" s="19" t="n">
        <v>0.375</v>
      </c>
      <c r="N270" s="19" t="n">
        <v>0</v>
      </c>
      <c r="O270" s="19" t="n">
        <v>0</v>
      </c>
      <c r="P270" s="17" t="n">
        <f aca="false">IF(AND(ISNUMBER(H270),ISNUMBER(I270)),MAX(0,ROUND((I270-H270)*1440,0)-'Bilan agents'!$C$4),0)</f>
        <v>0</v>
      </c>
      <c r="Q270" s="8" t="str">
        <f aca="false">IF(H270="Congé","CP",IF(H270="Férié","F",IF(H270="OFF","R",IF(N270&gt;0,"A",IF(ISNUMBER(I270),"P","NR")))))</f>
        <v>P</v>
      </c>
      <c r="R270" s="18"/>
    </row>
    <row r="271" customFormat="false" ht="15" hidden="false" customHeight="false" outlineLevel="0" collapsed="false">
      <c r="A271" s="18" t="s">
        <v>26</v>
      </c>
      <c r="B271" s="8" t="s">
        <v>27</v>
      </c>
      <c r="C271" s="9" t="n">
        <v>46183</v>
      </c>
      <c r="D271" s="8" t="n">
        <v>2026</v>
      </c>
      <c r="E271" s="8" t="n">
        <v>24</v>
      </c>
      <c r="F271" s="18" t="s">
        <v>127</v>
      </c>
      <c r="G271" s="8" t="s">
        <v>118</v>
      </c>
      <c r="H271" s="19" t="n">
        <v>0.333333333333333</v>
      </c>
      <c r="I271" s="19" t="n">
        <v>0.331944444444444</v>
      </c>
      <c r="J271" s="19" t="n">
        <v>0.75</v>
      </c>
      <c r="K271" s="19" t="n">
        <v>0.75</v>
      </c>
      <c r="L271" s="19" t="n">
        <v>0.375</v>
      </c>
      <c r="M271" s="19" t="n">
        <v>0.375</v>
      </c>
      <c r="N271" s="19" t="n">
        <v>0</v>
      </c>
      <c r="O271" s="19" t="n">
        <v>0.00138888888888889</v>
      </c>
      <c r="P271" s="17" t="n">
        <f aca="false">IF(AND(ISNUMBER(H271),ISNUMBER(I271)),MAX(0,ROUND((I271-H271)*1440,0)-'Bilan agents'!$C$4),0)</f>
        <v>0</v>
      </c>
      <c r="Q271" s="8" t="str">
        <f aca="false">IF(H271="Congé","CP",IF(H271="Férié","F",IF(H271="OFF","R",IF(N271&gt;0,"A",IF(ISNUMBER(I271),"P","NR")))))</f>
        <v>P</v>
      </c>
      <c r="R271" s="18"/>
    </row>
    <row r="272" customFormat="false" ht="15" hidden="false" customHeight="false" outlineLevel="0" collapsed="false">
      <c r="A272" s="18" t="s">
        <v>26</v>
      </c>
      <c r="B272" s="8" t="s">
        <v>27</v>
      </c>
      <c r="C272" s="9" t="n">
        <v>46184</v>
      </c>
      <c r="D272" s="8" t="n">
        <v>2026</v>
      </c>
      <c r="E272" s="8" t="n">
        <v>24</v>
      </c>
      <c r="F272" s="18" t="s">
        <v>127</v>
      </c>
      <c r="G272" s="8" t="s">
        <v>119</v>
      </c>
      <c r="H272" s="19" t="n">
        <v>0.333333333333333</v>
      </c>
      <c r="I272" s="19" t="n">
        <v>0.333333333333333</v>
      </c>
      <c r="J272" s="19" t="n">
        <v>0.75</v>
      </c>
      <c r="K272" s="19" t="n">
        <v>0.75</v>
      </c>
      <c r="L272" s="19" t="n">
        <v>0.375</v>
      </c>
      <c r="M272" s="19" t="n">
        <v>0.375</v>
      </c>
      <c r="N272" s="19" t="n">
        <v>0</v>
      </c>
      <c r="O272" s="19" t="n">
        <v>0</v>
      </c>
      <c r="P272" s="17" t="n">
        <f aca="false">IF(AND(ISNUMBER(H272),ISNUMBER(I272)),MAX(0,ROUND((I272-H272)*1440,0)-'Bilan agents'!$C$4),0)</f>
        <v>0</v>
      </c>
      <c r="Q272" s="8" t="str">
        <f aca="false">IF(H272="Congé","CP",IF(H272="Férié","F",IF(H272="OFF","R",IF(N272&gt;0,"A",IF(ISNUMBER(I272),"P","NR")))))</f>
        <v>P</v>
      </c>
      <c r="R272" s="18"/>
    </row>
    <row r="273" customFormat="false" ht="15" hidden="false" customHeight="false" outlineLevel="0" collapsed="false">
      <c r="A273" s="18" t="s">
        <v>26</v>
      </c>
      <c r="B273" s="8" t="s">
        <v>27</v>
      </c>
      <c r="C273" s="9" t="n">
        <v>46185</v>
      </c>
      <c r="D273" s="8" t="n">
        <v>2026</v>
      </c>
      <c r="E273" s="8" t="n">
        <v>24</v>
      </c>
      <c r="F273" s="18" t="s">
        <v>127</v>
      </c>
      <c r="G273" s="8" t="s">
        <v>120</v>
      </c>
      <c r="H273" s="19" t="n">
        <v>0.333333333333333</v>
      </c>
      <c r="I273" s="19" t="n">
        <v>0.333333333333333</v>
      </c>
      <c r="J273" s="19" t="n">
        <v>0.708333333333333</v>
      </c>
      <c r="K273" s="19" t="n">
        <v>0.708333333333333</v>
      </c>
      <c r="L273" s="19" t="n">
        <v>0.333333333333333</v>
      </c>
      <c r="M273" s="19" t="n">
        <v>0.333333333333333</v>
      </c>
      <c r="N273" s="19" t="n">
        <v>0</v>
      </c>
      <c r="O273" s="19" t="n">
        <v>0</v>
      </c>
      <c r="P273" s="17" t="n">
        <f aca="false">IF(AND(ISNUMBER(H273),ISNUMBER(I273)),MAX(0,ROUND((I273-H273)*1440,0)-'Bilan agents'!$C$4),0)</f>
        <v>0</v>
      </c>
      <c r="Q273" s="8" t="str">
        <f aca="false">IF(H273="Congé","CP",IF(H273="Férié","F",IF(H273="OFF","R",IF(N273&gt;0,"A",IF(ISNUMBER(I273),"P","NR")))))</f>
        <v>P</v>
      </c>
      <c r="R273" s="18"/>
    </row>
    <row r="274" customFormat="false" ht="15" hidden="false" customHeight="false" outlineLevel="0" collapsed="false">
      <c r="A274" s="18" t="s">
        <v>26</v>
      </c>
      <c r="B274" s="8" t="s">
        <v>27</v>
      </c>
      <c r="C274" s="9" t="n">
        <v>46186</v>
      </c>
      <c r="D274" s="8" t="n">
        <v>2026</v>
      </c>
      <c r="E274" s="8" t="n">
        <v>24</v>
      </c>
      <c r="F274" s="18" t="s">
        <v>127</v>
      </c>
      <c r="G274" s="8" t="s">
        <v>121</v>
      </c>
      <c r="H274" s="19" t="s">
        <v>115</v>
      </c>
      <c r="I274" s="19"/>
      <c r="J274" s="19"/>
      <c r="K274" s="19"/>
      <c r="L274" s="19" t="n">
        <v>0</v>
      </c>
      <c r="M274" s="19"/>
      <c r="N274" s="19" t="n">
        <v>0</v>
      </c>
      <c r="O274" s="19" t="n">
        <v>0</v>
      </c>
      <c r="P274" s="17" t="n">
        <f aca="false">IF(AND(ISNUMBER(H274),ISNUMBER(I274)),MAX(0,ROUND((I274-H274)*1440,0)-'Bilan agents'!$C$4),0)</f>
        <v>0</v>
      </c>
      <c r="Q274" s="8" t="str">
        <f aca="false">IF(H274="Congé","CP",IF(H274="Férié","F",IF(H274="OFF","R",IF(N274&gt;0,"A",IF(ISNUMBER(I274),"P","NR")))))</f>
        <v>R</v>
      </c>
      <c r="R274" s="18"/>
    </row>
    <row r="275" customFormat="false" ht="15" hidden="false" customHeight="false" outlineLevel="0" collapsed="false">
      <c r="A275" s="18" t="s">
        <v>26</v>
      </c>
      <c r="B275" s="8" t="s">
        <v>27</v>
      </c>
      <c r="C275" s="9" t="n">
        <v>46187</v>
      </c>
      <c r="D275" s="8" t="n">
        <v>2026</v>
      </c>
      <c r="E275" s="8" t="n">
        <v>24</v>
      </c>
      <c r="F275" s="18" t="s">
        <v>127</v>
      </c>
      <c r="G275" s="8" t="s">
        <v>114</v>
      </c>
      <c r="H275" s="19" t="s">
        <v>115</v>
      </c>
      <c r="I275" s="19"/>
      <c r="J275" s="19"/>
      <c r="K275" s="19"/>
      <c r="L275" s="19" t="n">
        <v>0</v>
      </c>
      <c r="M275" s="19"/>
      <c r="N275" s="19" t="n">
        <v>0</v>
      </c>
      <c r="O275" s="19" t="n">
        <v>0</v>
      </c>
      <c r="P275" s="17" t="n">
        <f aca="false">IF(AND(ISNUMBER(H275),ISNUMBER(I275)),MAX(0,ROUND((I275-H275)*1440,0)-'Bilan agents'!$C$4),0)</f>
        <v>0</v>
      </c>
      <c r="Q275" s="8" t="str">
        <f aca="false">IF(H275="Congé","CP",IF(H275="Férié","F",IF(H275="OFF","R",IF(N275&gt;0,"A",IF(ISNUMBER(I275),"P","NR")))))</f>
        <v>R</v>
      </c>
      <c r="R275" s="18"/>
    </row>
    <row r="276" customFormat="false" ht="15" hidden="false" customHeight="false" outlineLevel="0" collapsed="false">
      <c r="A276" s="18" t="s">
        <v>26</v>
      </c>
      <c r="B276" s="8" t="s">
        <v>27</v>
      </c>
      <c r="C276" s="9" t="n">
        <v>46188</v>
      </c>
      <c r="D276" s="8" t="n">
        <v>2026</v>
      </c>
      <c r="E276" s="8" t="n">
        <v>25</v>
      </c>
      <c r="F276" s="18" t="s">
        <v>127</v>
      </c>
      <c r="G276" s="8" t="s">
        <v>116</v>
      </c>
      <c r="H276" s="19" t="n">
        <v>0.333333333333333</v>
      </c>
      <c r="I276" s="19" t="n">
        <v>0.332638888888889</v>
      </c>
      <c r="J276" s="19" t="n">
        <v>0.75</v>
      </c>
      <c r="K276" s="19" t="n">
        <v>0.75</v>
      </c>
      <c r="L276" s="19" t="n">
        <v>0.375</v>
      </c>
      <c r="M276" s="19" t="n">
        <v>0.375</v>
      </c>
      <c r="N276" s="19" t="n">
        <v>0</v>
      </c>
      <c r="O276" s="19" t="n">
        <v>0</v>
      </c>
      <c r="P276" s="17" t="n">
        <f aca="false">IF(AND(ISNUMBER(H276),ISNUMBER(I276)),MAX(0,ROUND((I276-H276)*1440,0)-'Bilan agents'!$C$4),0)</f>
        <v>0</v>
      </c>
      <c r="Q276" s="8" t="str">
        <f aca="false">IF(H276="Congé","CP",IF(H276="Férié","F",IF(H276="OFF","R",IF(N276&gt;0,"A",IF(ISNUMBER(I276),"P","NR")))))</f>
        <v>P</v>
      </c>
      <c r="R276" s="18"/>
    </row>
    <row r="277" customFormat="false" ht="15" hidden="false" customHeight="false" outlineLevel="0" collapsed="false">
      <c r="A277" s="18" t="s">
        <v>26</v>
      </c>
      <c r="B277" s="8" t="s">
        <v>27</v>
      </c>
      <c r="C277" s="9" t="n">
        <v>46189</v>
      </c>
      <c r="D277" s="8" t="n">
        <v>2026</v>
      </c>
      <c r="E277" s="8" t="n">
        <v>25</v>
      </c>
      <c r="F277" s="18" t="s">
        <v>127</v>
      </c>
      <c r="G277" s="8" t="s">
        <v>117</v>
      </c>
      <c r="H277" s="19" t="n">
        <v>0.333333333333333</v>
      </c>
      <c r="I277" s="19" t="n">
        <v>0.333333333333333</v>
      </c>
      <c r="J277" s="19" t="n">
        <v>0.75</v>
      </c>
      <c r="K277" s="19" t="n">
        <v>0.75</v>
      </c>
      <c r="L277" s="19" t="n">
        <v>0.375</v>
      </c>
      <c r="M277" s="19" t="n">
        <v>0.375</v>
      </c>
      <c r="N277" s="19" t="n">
        <v>0</v>
      </c>
      <c r="O277" s="19" t="n">
        <v>0</v>
      </c>
      <c r="P277" s="17" t="n">
        <f aca="false">IF(AND(ISNUMBER(H277),ISNUMBER(I277)),MAX(0,ROUND((I277-H277)*1440,0)-'Bilan agents'!$C$4),0)</f>
        <v>0</v>
      </c>
      <c r="Q277" s="8" t="str">
        <f aca="false">IF(H277="Congé","CP",IF(H277="Férié","F",IF(H277="OFF","R",IF(N277&gt;0,"A",IF(ISNUMBER(I277),"P","NR")))))</f>
        <v>P</v>
      </c>
      <c r="R277" s="18"/>
    </row>
    <row r="278" customFormat="false" ht="15" hidden="false" customHeight="false" outlineLevel="0" collapsed="false">
      <c r="A278" s="18" t="s">
        <v>26</v>
      </c>
      <c r="B278" s="8" t="s">
        <v>27</v>
      </c>
      <c r="C278" s="9" t="n">
        <v>46190</v>
      </c>
      <c r="D278" s="8" t="n">
        <v>2026</v>
      </c>
      <c r="E278" s="8" t="n">
        <v>25</v>
      </c>
      <c r="F278" s="18" t="s">
        <v>127</v>
      </c>
      <c r="G278" s="8" t="s">
        <v>118</v>
      </c>
      <c r="H278" s="19" t="n">
        <v>0.333333333333333</v>
      </c>
      <c r="I278" s="19" t="n">
        <v>0.333333333333333</v>
      </c>
      <c r="J278" s="19" t="n">
        <v>0.75</v>
      </c>
      <c r="K278" s="19" t="n">
        <v>0.75</v>
      </c>
      <c r="L278" s="19" t="n">
        <v>0.375</v>
      </c>
      <c r="M278" s="19" t="n">
        <v>0.375</v>
      </c>
      <c r="N278" s="19" t="n">
        <v>0</v>
      </c>
      <c r="O278" s="19" t="n">
        <v>0</v>
      </c>
      <c r="P278" s="17" t="n">
        <f aca="false">IF(AND(ISNUMBER(H278),ISNUMBER(I278)),MAX(0,ROUND((I278-H278)*1440,0)-'Bilan agents'!$C$4),0)</f>
        <v>0</v>
      </c>
      <c r="Q278" s="8" t="str">
        <f aca="false">IF(H278="Congé","CP",IF(H278="Férié","F",IF(H278="OFF","R",IF(N278&gt;0,"A",IF(ISNUMBER(I278),"P","NR")))))</f>
        <v>P</v>
      </c>
      <c r="R278" s="18"/>
    </row>
    <row r="279" customFormat="false" ht="15" hidden="false" customHeight="false" outlineLevel="0" collapsed="false">
      <c r="A279" s="18" t="s">
        <v>26</v>
      </c>
      <c r="B279" s="8" t="s">
        <v>27</v>
      </c>
      <c r="C279" s="9" t="n">
        <v>46191</v>
      </c>
      <c r="D279" s="8" t="n">
        <v>2026</v>
      </c>
      <c r="E279" s="8" t="n">
        <v>25</v>
      </c>
      <c r="F279" s="18" t="s">
        <v>127</v>
      </c>
      <c r="G279" s="8" t="s">
        <v>119</v>
      </c>
      <c r="H279" s="19" t="n">
        <v>0.333333333333333</v>
      </c>
      <c r="I279" s="19" t="n">
        <v>0.331944444444444</v>
      </c>
      <c r="J279" s="19" t="n">
        <v>0.75</v>
      </c>
      <c r="K279" s="19" t="n">
        <v>0.75</v>
      </c>
      <c r="L279" s="19" t="n">
        <v>0.375</v>
      </c>
      <c r="M279" s="19" t="n">
        <v>0.375</v>
      </c>
      <c r="N279" s="19" t="n">
        <v>0</v>
      </c>
      <c r="O279" s="19" t="n">
        <v>0.00138888888888889</v>
      </c>
      <c r="P279" s="17" t="n">
        <f aca="false">IF(AND(ISNUMBER(H279),ISNUMBER(I279)),MAX(0,ROUND((I279-H279)*1440,0)-'Bilan agents'!$C$4),0)</f>
        <v>0</v>
      </c>
      <c r="Q279" s="8" t="str">
        <f aca="false">IF(H279="Congé","CP",IF(H279="Férié","F",IF(H279="OFF","R",IF(N279&gt;0,"A",IF(ISNUMBER(I279),"P","NR")))))</f>
        <v>P</v>
      </c>
      <c r="R279" s="18"/>
    </row>
    <row r="280" customFormat="false" ht="15" hidden="false" customHeight="false" outlineLevel="0" collapsed="false">
      <c r="A280" s="18" t="s">
        <v>26</v>
      </c>
      <c r="B280" s="8" t="s">
        <v>27</v>
      </c>
      <c r="C280" s="9" t="n">
        <v>46192</v>
      </c>
      <c r="D280" s="8" t="n">
        <v>2026</v>
      </c>
      <c r="E280" s="8" t="n">
        <v>25</v>
      </c>
      <c r="F280" s="18" t="s">
        <v>127</v>
      </c>
      <c r="G280" s="8" t="s">
        <v>120</v>
      </c>
      <c r="H280" s="19" t="n">
        <v>0.333333333333333</v>
      </c>
      <c r="I280" s="19" t="n">
        <v>0.332638888888889</v>
      </c>
      <c r="J280" s="19" t="n">
        <v>0.708333333333333</v>
      </c>
      <c r="K280" s="19" t="n">
        <v>0.708333333333333</v>
      </c>
      <c r="L280" s="19" t="n">
        <v>0.333333333333333</v>
      </c>
      <c r="M280" s="19" t="n">
        <v>0.333333333333333</v>
      </c>
      <c r="N280" s="19" t="n">
        <v>0</v>
      </c>
      <c r="O280" s="19" t="n">
        <v>0</v>
      </c>
      <c r="P280" s="17" t="n">
        <f aca="false">IF(AND(ISNUMBER(H280),ISNUMBER(I280)),MAX(0,ROUND((I280-H280)*1440,0)-'Bilan agents'!$C$4),0)</f>
        <v>0</v>
      </c>
      <c r="Q280" s="8" t="str">
        <f aca="false">IF(H280="Congé","CP",IF(H280="Férié","F",IF(H280="OFF","R",IF(N280&gt;0,"A",IF(ISNUMBER(I280),"P","NR")))))</f>
        <v>P</v>
      </c>
      <c r="R280" s="18"/>
    </row>
    <row r="281" customFormat="false" ht="15" hidden="false" customHeight="false" outlineLevel="0" collapsed="false">
      <c r="A281" s="18" t="s">
        <v>26</v>
      </c>
      <c r="B281" s="8" t="s">
        <v>27</v>
      </c>
      <c r="C281" s="9" t="n">
        <v>46193</v>
      </c>
      <c r="D281" s="8" t="n">
        <v>2026</v>
      </c>
      <c r="E281" s="8" t="n">
        <v>25</v>
      </c>
      <c r="F281" s="18" t="s">
        <v>127</v>
      </c>
      <c r="G281" s="8" t="s">
        <v>121</v>
      </c>
      <c r="H281" s="19" t="s">
        <v>115</v>
      </c>
      <c r="I281" s="19"/>
      <c r="J281" s="19"/>
      <c r="K281" s="19"/>
      <c r="L281" s="19" t="n">
        <v>0</v>
      </c>
      <c r="M281" s="19"/>
      <c r="N281" s="19" t="n">
        <v>0</v>
      </c>
      <c r="O281" s="19" t="n">
        <v>0</v>
      </c>
      <c r="P281" s="17" t="n">
        <f aca="false">IF(AND(ISNUMBER(H281),ISNUMBER(I281)),MAX(0,ROUND((I281-H281)*1440,0)-'Bilan agents'!$C$4),0)</f>
        <v>0</v>
      </c>
      <c r="Q281" s="8" t="str">
        <f aca="false">IF(H281="Congé","CP",IF(H281="Férié","F",IF(H281="OFF","R",IF(N281&gt;0,"A",IF(ISNUMBER(I281),"P","NR")))))</f>
        <v>R</v>
      </c>
      <c r="R281" s="18"/>
    </row>
    <row r="282" customFormat="false" ht="15" hidden="false" customHeight="false" outlineLevel="0" collapsed="false">
      <c r="A282" s="18" t="s">
        <v>26</v>
      </c>
      <c r="B282" s="8" t="s">
        <v>27</v>
      </c>
      <c r="C282" s="9" t="n">
        <v>46194</v>
      </c>
      <c r="D282" s="8" t="n">
        <v>2026</v>
      </c>
      <c r="E282" s="8" t="n">
        <v>25</v>
      </c>
      <c r="F282" s="18" t="s">
        <v>127</v>
      </c>
      <c r="G282" s="8" t="s">
        <v>114</v>
      </c>
      <c r="H282" s="19" t="s">
        <v>115</v>
      </c>
      <c r="I282" s="19"/>
      <c r="J282" s="19"/>
      <c r="K282" s="19"/>
      <c r="L282" s="19" t="n">
        <v>0</v>
      </c>
      <c r="M282" s="19"/>
      <c r="N282" s="19" t="n">
        <v>0</v>
      </c>
      <c r="O282" s="19" t="n">
        <v>0</v>
      </c>
      <c r="P282" s="17" t="n">
        <f aca="false">IF(AND(ISNUMBER(H282),ISNUMBER(I282)),MAX(0,ROUND((I282-H282)*1440,0)-'Bilan agents'!$C$4),0)</f>
        <v>0</v>
      </c>
      <c r="Q282" s="8" t="str">
        <f aca="false">IF(H282="Congé","CP",IF(H282="Férié","F",IF(H282="OFF","R",IF(N282&gt;0,"A",IF(ISNUMBER(I282),"P","NR")))))</f>
        <v>R</v>
      </c>
      <c r="R282" s="18"/>
    </row>
    <row r="283" customFormat="false" ht="15" hidden="false" customHeight="false" outlineLevel="0" collapsed="false">
      <c r="A283" s="18" t="s">
        <v>26</v>
      </c>
      <c r="B283" s="8" t="s">
        <v>27</v>
      </c>
      <c r="C283" s="9" t="n">
        <v>46195</v>
      </c>
      <c r="D283" s="8" t="n">
        <v>2026</v>
      </c>
      <c r="E283" s="8" t="n">
        <v>26</v>
      </c>
      <c r="F283" s="18" t="s">
        <v>127</v>
      </c>
      <c r="G283" s="8" t="s">
        <v>116</v>
      </c>
      <c r="H283" s="19" t="n">
        <v>0.333333333333333</v>
      </c>
      <c r="I283" s="19" t="n">
        <v>0.331944444444444</v>
      </c>
      <c r="J283" s="19" t="n">
        <v>0.75</v>
      </c>
      <c r="K283" s="19" t="n">
        <v>0.75</v>
      </c>
      <c r="L283" s="19" t="n">
        <v>0.375</v>
      </c>
      <c r="M283" s="19" t="n">
        <v>0.375</v>
      </c>
      <c r="N283" s="19" t="n">
        <v>0</v>
      </c>
      <c r="O283" s="19" t="n">
        <v>0.00138888888888889</v>
      </c>
      <c r="P283" s="17" t="n">
        <f aca="false">IF(AND(ISNUMBER(H283),ISNUMBER(I283)),MAX(0,ROUND((I283-H283)*1440,0)-'Bilan agents'!$C$4),0)</f>
        <v>0</v>
      </c>
      <c r="Q283" s="8" t="str">
        <f aca="false">IF(H283="Congé","CP",IF(H283="Férié","F",IF(H283="OFF","R",IF(N283&gt;0,"A",IF(ISNUMBER(I283),"P","NR")))))</f>
        <v>P</v>
      </c>
      <c r="R283" s="18"/>
    </row>
    <row r="284" customFormat="false" ht="15" hidden="false" customHeight="false" outlineLevel="0" collapsed="false">
      <c r="A284" s="18" t="s">
        <v>26</v>
      </c>
      <c r="B284" s="8" t="s">
        <v>27</v>
      </c>
      <c r="C284" s="9" t="n">
        <v>46196</v>
      </c>
      <c r="D284" s="8" t="n">
        <v>2026</v>
      </c>
      <c r="E284" s="8" t="n">
        <v>26</v>
      </c>
      <c r="F284" s="18" t="s">
        <v>127</v>
      </c>
      <c r="G284" s="8" t="s">
        <v>117</v>
      </c>
      <c r="H284" s="19" t="n">
        <v>0.333333333333333</v>
      </c>
      <c r="I284" s="19" t="n">
        <v>0.331944444444444</v>
      </c>
      <c r="J284" s="19" t="n">
        <v>0.75</v>
      </c>
      <c r="K284" s="19" t="n">
        <v>0.75</v>
      </c>
      <c r="L284" s="19" t="n">
        <v>0.375</v>
      </c>
      <c r="M284" s="19" t="n">
        <v>0.375</v>
      </c>
      <c r="N284" s="19" t="n">
        <v>0</v>
      </c>
      <c r="O284" s="19" t="n">
        <v>0.00138888888888889</v>
      </c>
      <c r="P284" s="17" t="n">
        <f aca="false">IF(AND(ISNUMBER(H284),ISNUMBER(I284)),MAX(0,ROUND((I284-H284)*1440,0)-'Bilan agents'!$C$4),0)</f>
        <v>0</v>
      </c>
      <c r="Q284" s="8" t="str">
        <f aca="false">IF(H284="Congé","CP",IF(H284="Férié","F",IF(H284="OFF","R",IF(N284&gt;0,"A",IF(ISNUMBER(I284),"P","NR")))))</f>
        <v>P</v>
      </c>
      <c r="R284" s="18"/>
    </row>
    <row r="285" customFormat="false" ht="15" hidden="false" customHeight="false" outlineLevel="0" collapsed="false">
      <c r="A285" s="18" t="s">
        <v>26</v>
      </c>
      <c r="B285" s="8" t="s">
        <v>27</v>
      </c>
      <c r="C285" s="9" t="n">
        <v>46197</v>
      </c>
      <c r="D285" s="8" t="n">
        <v>2026</v>
      </c>
      <c r="E285" s="8" t="n">
        <v>26</v>
      </c>
      <c r="F285" s="18" t="s">
        <v>127</v>
      </c>
      <c r="G285" s="8" t="s">
        <v>118</v>
      </c>
      <c r="H285" s="19" t="n">
        <v>0.333333333333333</v>
      </c>
      <c r="I285" s="19" t="n">
        <v>0.331944444444444</v>
      </c>
      <c r="J285" s="19" t="n">
        <v>0.75</v>
      </c>
      <c r="K285" s="19" t="n">
        <v>0.75</v>
      </c>
      <c r="L285" s="19" t="n">
        <v>0.375</v>
      </c>
      <c r="M285" s="19" t="n">
        <v>0.375</v>
      </c>
      <c r="N285" s="19" t="n">
        <v>0</v>
      </c>
      <c r="O285" s="19" t="n">
        <v>0.00138888888888889</v>
      </c>
      <c r="P285" s="17" t="n">
        <f aca="false">IF(AND(ISNUMBER(H285),ISNUMBER(I285)),MAX(0,ROUND((I285-H285)*1440,0)-'Bilan agents'!$C$4),0)</f>
        <v>0</v>
      </c>
      <c r="Q285" s="8" t="str">
        <f aca="false">IF(H285="Congé","CP",IF(H285="Férié","F",IF(H285="OFF","R",IF(N285&gt;0,"A",IF(ISNUMBER(I285),"P","NR")))))</f>
        <v>P</v>
      </c>
      <c r="R285" s="18"/>
    </row>
    <row r="286" customFormat="false" ht="15" hidden="false" customHeight="false" outlineLevel="0" collapsed="false">
      <c r="A286" s="18" t="s">
        <v>26</v>
      </c>
      <c r="B286" s="8" t="s">
        <v>27</v>
      </c>
      <c r="C286" s="9" t="n">
        <v>46198</v>
      </c>
      <c r="D286" s="8" t="n">
        <v>2026</v>
      </c>
      <c r="E286" s="8" t="n">
        <v>26</v>
      </c>
      <c r="F286" s="18" t="s">
        <v>127</v>
      </c>
      <c r="G286" s="8" t="s">
        <v>119</v>
      </c>
      <c r="H286" s="19" t="n">
        <v>0.333333333333333</v>
      </c>
      <c r="I286" s="19" t="n">
        <v>0.333333333333333</v>
      </c>
      <c r="J286" s="19" t="n">
        <v>0.75</v>
      </c>
      <c r="K286" s="19" t="n">
        <v>0.75</v>
      </c>
      <c r="L286" s="19" t="n">
        <v>0.375</v>
      </c>
      <c r="M286" s="19" t="n">
        <v>0.375</v>
      </c>
      <c r="N286" s="19" t="n">
        <v>0</v>
      </c>
      <c r="O286" s="19" t="n">
        <v>0</v>
      </c>
      <c r="P286" s="17" t="n">
        <f aca="false">IF(AND(ISNUMBER(H286),ISNUMBER(I286)),MAX(0,ROUND((I286-H286)*1440,0)-'Bilan agents'!$C$4),0)</f>
        <v>0</v>
      </c>
      <c r="Q286" s="8" t="str">
        <f aca="false">IF(H286="Congé","CP",IF(H286="Férié","F",IF(H286="OFF","R",IF(N286&gt;0,"A",IF(ISNUMBER(I286),"P","NR")))))</f>
        <v>P</v>
      </c>
      <c r="R286" s="18"/>
    </row>
    <row r="287" customFormat="false" ht="15" hidden="false" customHeight="false" outlineLevel="0" collapsed="false">
      <c r="A287" s="18" t="s">
        <v>26</v>
      </c>
      <c r="B287" s="8" t="s">
        <v>27</v>
      </c>
      <c r="C287" s="9" t="n">
        <v>46199</v>
      </c>
      <c r="D287" s="8" t="n">
        <v>2026</v>
      </c>
      <c r="E287" s="8" t="n">
        <v>26</v>
      </c>
      <c r="F287" s="18" t="s">
        <v>127</v>
      </c>
      <c r="G287" s="8" t="s">
        <v>120</v>
      </c>
      <c r="H287" s="19" t="n">
        <v>0.333333333333333</v>
      </c>
      <c r="I287" s="19" t="n">
        <v>0.333333333333333</v>
      </c>
      <c r="J287" s="19" t="n">
        <v>0.708333333333333</v>
      </c>
      <c r="K287" s="19" t="n">
        <v>0.708333333333333</v>
      </c>
      <c r="L287" s="19" t="n">
        <v>0.333333333333333</v>
      </c>
      <c r="M287" s="19" t="n">
        <v>0.333333333333333</v>
      </c>
      <c r="N287" s="19" t="n">
        <v>0</v>
      </c>
      <c r="O287" s="19" t="n">
        <v>0</v>
      </c>
      <c r="P287" s="17" t="n">
        <f aca="false">IF(AND(ISNUMBER(H287),ISNUMBER(I287)),MAX(0,ROUND((I287-H287)*1440,0)-'Bilan agents'!$C$4),0)</f>
        <v>0</v>
      </c>
      <c r="Q287" s="8" t="str">
        <f aca="false">IF(H287="Congé","CP",IF(H287="Férié","F",IF(H287="OFF","R",IF(N287&gt;0,"A",IF(ISNUMBER(I287),"P","NR")))))</f>
        <v>P</v>
      </c>
      <c r="R287" s="18"/>
    </row>
    <row r="288" customFormat="false" ht="15" hidden="false" customHeight="false" outlineLevel="0" collapsed="false">
      <c r="A288" s="18" t="s">
        <v>26</v>
      </c>
      <c r="B288" s="8" t="s">
        <v>27</v>
      </c>
      <c r="C288" s="9" t="n">
        <v>46200</v>
      </c>
      <c r="D288" s="8" t="n">
        <v>2026</v>
      </c>
      <c r="E288" s="8" t="n">
        <v>26</v>
      </c>
      <c r="F288" s="18" t="s">
        <v>127</v>
      </c>
      <c r="G288" s="8" t="s">
        <v>121</v>
      </c>
      <c r="H288" s="19" t="s">
        <v>115</v>
      </c>
      <c r="I288" s="19"/>
      <c r="J288" s="19"/>
      <c r="K288" s="19"/>
      <c r="L288" s="19" t="n">
        <v>0</v>
      </c>
      <c r="M288" s="19"/>
      <c r="N288" s="19" t="n">
        <v>0</v>
      </c>
      <c r="O288" s="19" t="n">
        <v>0</v>
      </c>
      <c r="P288" s="17" t="n">
        <f aca="false">IF(AND(ISNUMBER(H288),ISNUMBER(I288)),MAX(0,ROUND((I288-H288)*1440,0)-'Bilan agents'!$C$4),0)</f>
        <v>0</v>
      </c>
      <c r="Q288" s="8" t="str">
        <f aca="false">IF(H288="Congé","CP",IF(H288="Férié","F",IF(H288="OFF","R",IF(N288&gt;0,"A",IF(ISNUMBER(I288),"P","NR")))))</f>
        <v>R</v>
      </c>
      <c r="R288" s="18"/>
    </row>
    <row r="289" customFormat="false" ht="15" hidden="false" customHeight="false" outlineLevel="0" collapsed="false">
      <c r="A289" s="18" t="s">
        <v>26</v>
      </c>
      <c r="B289" s="8" t="s">
        <v>27</v>
      </c>
      <c r="C289" s="9" t="n">
        <v>46201</v>
      </c>
      <c r="D289" s="8" t="n">
        <v>2026</v>
      </c>
      <c r="E289" s="8" t="n">
        <v>26</v>
      </c>
      <c r="F289" s="18" t="s">
        <v>127</v>
      </c>
      <c r="G289" s="8" t="s">
        <v>114</v>
      </c>
      <c r="H289" s="19" t="s">
        <v>115</v>
      </c>
      <c r="I289" s="19"/>
      <c r="J289" s="19"/>
      <c r="K289" s="19"/>
      <c r="L289" s="19" t="n">
        <v>0</v>
      </c>
      <c r="M289" s="19"/>
      <c r="N289" s="19" t="n">
        <v>0</v>
      </c>
      <c r="O289" s="19" t="n">
        <v>0</v>
      </c>
      <c r="P289" s="17" t="n">
        <f aca="false">IF(AND(ISNUMBER(H289),ISNUMBER(I289)),MAX(0,ROUND((I289-H289)*1440,0)-'Bilan agents'!$C$4),0)</f>
        <v>0</v>
      </c>
      <c r="Q289" s="8" t="str">
        <f aca="false">IF(H289="Congé","CP",IF(H289="Férié","F",IF(H289="OFF","R",IF(N289&gt;0,"A",IF(ISNUMBER(I289),"P","NR")))))</f>
        <v>R</v>
      </c>
      <c r="R289" s="18"/>
    </row>
    <row r="290" customFormat="false" ht="15" hidden="false" customHeight="false" outlineLevel="0" collapsed="false">
      <c r="A290" s="18" t="s">
        <v>26</v>
      </c>
      <c r="B290" s="8" t="s">
        <v>27</v>
      </c>
      <c r="C290" s="9" t="n">
        <v>46202</v>
      </c>
      <c r="D290" s="8" t="n">
        <v>2026</v>
      </c>
      <c r="E290" s="8" t="n">
        <v>27</v>
      </c>
      <c r="F290" s="18" t="s">
        <v>127</v>
      </c>
      <c r="G290" s="8" t="s">
        <v>116</v>
      </c>
      <c r="H290" s="19" t="n">
        <v>0.333333333333333</v>
      </c>
      <c r="I290" s="19" t="n">
        <v>0.331944444444444</v>
      </c>
      <c r="J290" s="19" t="n">
        <v>0.75</v>
      </c>
      <c r="K290" s="19" t="n">
        <v>0.75</v>
      </c>
      <c r="L290" s="19" t="n">
        <v>0.375</v>
      </c>
      <c r="M290" s="19" t="n">
        <v>0.375</v>
      </c>
      <c r="N290" s="19" t="n">
        <v>0</v>
      </c>
      <c r="O290" s="19" t="n">
        <v>0.00138888888888889</v>
      </c>
      <c r="P290" s="17" t="n">
        <f aca="false">IF(AND(ISNUMBER(H290),ISNUMBER(I290)),MAX(0,ROUND((I290-H290)*1440,0)-'Bilan agents'!$C$4),0)</f>
        <v>0</v>
      </c>
      <c r="Q290" s="8" t="str">
        <f aca="false">IF(H290="Congé","CP",IF(H290="Férié","F",IF(H290="OFF","R",IF(N290&gt;0,"A",IF(ISNUMBER(I290),"P","NR")))))</f>
        <v>P</v>
      </c>
      <c r="R290" s="18"/>
    </row>
    <row r="291" customFormat="false" ht="15" hidden="false" customHeight="false" outlineLevel="0" collapsed="false">
      <c r="A291" s="18" t="s">
        <v>26</v>
      </c>
      <c r="B291" s="8" t="s">
        <v>27</v>
      </c>
      <c r="C291" s="9" t="n">
        <v>46203</v>
      </c>
      <c r="D291" s="8" t="n">
        <v>2026</v>
      </c>
      <c r="E291" s="8" t="n">
        <v>27</v>
      </c>
      <c r="F291" s="18" t="s">
        <v>127</v>
      </c>
      <c r="G291" s="8" t="s">
        <v>117</v>
      </c>
      <c r="H291" s="19" t="n">
        <v>0.333333333333333</v>
      </c>
      <c r="I291" s="19" t="n">
        <v>0.331944444444444</v>
      </c>
      <c r="J291" s="19" t="n">
        <v>0.75</v>
      </c>
      <c r="K291" s="19" t="n">
        <v>0.75</v>
      </c>
      <c r="L291" s="19" t="n">
        <v>0.375</v>
      </c>
      <c r="M291" s="19" t="n">
        <v>0.375</v>
      </c>
      <c r="N291" s="19" t="n">
        <v>0</v>
      </c>
      <c r="O291" s="19" t="n">
        <v>0.00138888888888889</v>
      </c>
      <c r="P291" s="17" t="n">
        <f aca="false">IF(AND(ISNUMBER(H291),ISNUMBER(I291)),MAX(0,ROUND((I291-H291)*1440,0)-'Bilan agents'!$C$4),0)</f>
        <v>0</v>
      </c>
      <c r="Q291" s="8" t="str">
        <f aca="false">IF(H291="Congé","CP",IF(H291="Férié","F",IF(H291="OFF","R",IF(N291&gt;0,"A",IF(ISNUMBER(I291),"P","NR")))))</f>
        <v>P</v>
      </c>
      <c r="R291" s="18"/>
    </row>
    <row r="292" customFormat="false" ht="15" hidden="false" customHeight="false" outlineLevel="0" collapsed="false">
      <c r="A292" s="18" t="s">
        <v>26</v>
      </c>
      <c r="B292" s="8" t="s">
        <v>27</v>
      </c>
      <c r="C292" s="9" t="n">
        <v>46204</v>
      </c>
      <c r="D292" s="8" t="n">
        <v>2026</v>
      </c>
      <c r="E292" s="8" t="n">
        <v>27</v>
      </c>
      <c r="F292" s="18" t="s">
        <v>128</v>
      </c>
      <c r="G292" s="8" t="s">
        <v>118</v>
      </c>
      <c r="H292" s="19" t="n">
        <v>0.333333333333333</v>
      </c>
      <c r="I292" s="19" t="n">
        <v>0.333333333333333</v>
      </c>
      <c r="J292" s="19" t="n">
        <v>0.75</v>
      </c>
      <c r="K292" s="19" t="n">
        <v>0.75</v>
      </c>
      <c r="L292" s="19" t="n">
        <v>0.375</v>
      </c>
      <c r="M292" s="19" t="n">
        <v>0.375</v>
      </c>
      <c r="N292" s="19" t="n">
        <v>0</v>
      </c>
      <c r="O292" s="19" t="n">
        <v>0</v>
      </c>
      <c r="P292" s="17" t="n">
        <f aca="false">IF(AND(ISNUMBER(H292),ISNUMBER(I292)),MAX(0,ROUND((I292-H292)*1440,0)-'Bilan agents'!$C$4),0)</f>
        <v>0</v>
      </c>
      <c r="Q292" s="8" t="str">
        <f aca="false">IF(H292="Congé","CP",IF(H292="Férié","F",IF(H292="OFF","R",IF(N292&gt;0,"A",IF(ISNUMBER(I292),"P","NR")))))</f>
        <v>P</v>
      </c>
      <c r="R292" s="18"/>
    </row>
    <row r="293" customFormat="false" ht="15" hidden="false" customHeight="false" outlineLevel="0" collapsed="false">
      <c r="A293" s="18" t="s">
        <v>26</v>
      </c>
      <c r="B293" s="8" t="s">
        <v>27</v>
      </c>
      <c r="C293" s="9" t="n">
        <v>46205</v>
      </c>
      <c r="D293" s="8" t="n">
        <v>2026</v>
      </c>
      <c r="E293" s="8" t="n">
        <v>27</v>
      </c>
      <c r="F293" s="18" t="s">
        <v>128</v>
      </c>
      <c r="G293" s="8" t="s">
        <v>119</v>
      </c>
      <c r="H293" s="19" t="n">
        <v>0.333333333333333</v>
      </c>
      <c r="I293" s="19" t="n">
        <v>0.331944444444444</v>
      </c>
      <c r="J293" s="19" t="n">
        <v>0.75</v>
      </c>
      <c r="K293" s="19" t="n">
        <v>0.75</v>
      </c>
      <c r="L293" s="19" t="n">
        <v>0.375</v>
      </c>
      <c r="M293" s="19" t="n">
        <v>0.375</v>
      </c>
      <c r="N293" s="19" t="n">
        <v>0</v>
      </c>
      <c r="O293" s="19" t="n">
        <v>0.00138888888888889</v>
      </c>
      <c r="P293" s="17" t="n">
        <f aca="false">IF(AND(ISNUMBER(H293),ISNUMBER(I293)),MAX(0,ROUND((I293-H293)*1440,0)-'Bilan agents'!$C$4),0)</f>
        <v>0</v>
      </c>
      <c r="Q293" s="8" t="str">
        <f aca="false">IF(H293="Congé","CP",IF(H293="Férié","F",IF(H293="OFF","R",IF(N293&gt;0,"A",IF(ISNUMBER(I293),"P","NR")))))</f>
        <v>P</v>
      </c>
      <c r="R293" s="18"/>
    </row>
    <row r="294" customFormat="false" ht="15" hidden="false" customHeight="false" outlineLevel="0" collapsed="false">
      <c r="A294" s="18" t="s">
        <v>26</v>
      </c>
      <c r="B294" s="8" t="s">
        <v>27</v>
      </c>
      <c r="C294" s="9" t="n">
        <v>46206</v>
      </c>
      <c r="D294" s="8" t="n">
        <v>2026</v>
      </c>
      <c r="E294" s="8" t="n">
        <v>27</v>
      </c>
      <c r="F294" s="18" t="s">
        <v>128</v>
      </c>
      <c r="G294" s="8" t="s">
        <v>120</v>
      </c>
      <c r="H294" s="19" t="n">
        <v>0.333333333333333</v>
      </c>
      <c r="I294" s="19" t="n">
        <v>0.333333333333333</v>
      </c>
      <c r="J294" s="19" t="n">
        <v>0.708333333333333</v>
      </c>
      <c r="K294" s="19" t="n">
        <v>0.708333333333333</v>
      </c>
      <c r="L294" s="19" t="n">
        <v>0.333333333333333</v>
      </c>
      <c r="M294" s="19" t="n">
        <v>0.333333333333333</v>
      </c>
      <c r="N294" s="19" t="n">
        <v>0</v>
      </c>
      <c r="O294" s="19" t="n">
        <v>0</v>
      </c>
      <c r="P294" s="17" t="n">
        <f aca="false">IF(AND(ISNUMBER(H294),ISNUMBER(I294)),MAX(0,ROUND((I294-H294)*1440,0)-'Bilan agents'!$C$4),0)</f>
        <v>0</v>
      </c>
      <c r="Q294" s="8" t="str">
        <f aca="false">IF(H294="Congé","CP",IF(H294="Férié","F",IF(H294="OFF","R",IF(N294&gt;0,"A",IF(ISNUMBER(I294),"P","NR")))))</f>
        <v>P</v>
      </c>
      <c r="R294" s="18"/>
    </row>
    <row r="295" customFormat="false" ht="15" hidden="false" customHeight="false" outlineLevel="0" collapsed="false">
      <c r="A295" s="18" t="s">
        <v>26</v>
      </c>
      <c r="B295" s="8" t="s">
        <v>27</v>
      </c>
      <c r="C295" s="9" t="n">
        <v>46207</v>
      </c>
      <c r="D295" s="8" t="n">
        <v>2026</v>
      </c>
      <c r="E295" s="8" t="n">
        <v>27</v>
      </c>
      <c r="F295" s="18" t="s">
        <v>128</v>
      </c>
      <c r="G295" s="8" t="s">
        <v>121</v>
      </c>
      <c r="H295" s="19" t="s">
        <v>115</v>
      </c>
      <c r="I295" s="19"/>
      <c r="J295" s="19"/>
      <c r="K295" s="19"/>
      <c r="L295" s="19" t="n">
        <v>0</v>
      </c>
      <c r="M295" s="19"/>
      <c r="N295" s="19" t="n">
        <v>0</v>
      </c>
      <c r="O295" s="19" t="n">
        <v>0</v>
      </c>
      <c r="P295" s="17" t="n">
        <f aca="false">IF(AND(ISNUMBER(H295),ISNUMBER(I295)),MAX(0,ROUND((I295-H295)*1440,0)-'Bilan agents'!$C$4),0)</f>
        <v>0</v>
      </c>
      <c r="Q295" s="8" t="str">
        <f aca="false">IF(H295="Congé","CP",IF(H295="Férié","F",IF(H295="OFF","R",IF(N295&gt;0,"A",IF(ISNUMBER(I295),"P","NR")))))</f>
        <v>R</v>
      </c>
      <c r="R295" s="18"/>
    </row>
    <row r="296" customFormat="false" ht="15" hidden="false" customHeight="false" outlineLevel="0" collapsed="false">
      <c r="A296" s="18" t="s">
        <v>26</v>
      </c>
      <c r="B296" s="8" t="s">
        <v>27</v>
      </c>
      <c r="C296" s="9" t="n">
        <v>46208</v>
      </c>
      <c r="D296" s="8" t="n">
        <v>2026</v>
      </c>
      <c r="E296" s="8" t="n">
        <v>27</v>
      </c>
      <c r="F296" s="18" t="s">
        <v>128</v>
      </c>
      <c r="G296" s="8" t="s">
        <v>114</v>
      </c>
      <c r="H296" s="19" t="s">
        <v>115</v>
      </c>
      <c r="I296" s="19"/>
      <c r="J296" s="19"/>
      <c r="K296" s="19"/>
      <c r="L296" s="19" t="n">
        <v>0</v>
      </c>
      <c r="M296" s="19"/>
      <c r="N296" s="19" t="n">
        <v>0</v>
      </c>
      <c r="O296" s="19" t="n">
        <v>0</v>
      </c>
      <c r="P296" s="17" t="n">
        <f aca="false">IF(AND(ISNUMBER(H296),ISNUMBER(I296)),MAX(0,ROUND((I296-H296)*1440,0)-'Bilan agents'!$C$4),0)</f>
        <v>0</v>
      </c>
      <c r="Q296" s="8" t="str">
        <f aca="false">IF(H296="Congé","CP",IF(H296="Férié","F",IF(H296="OFF","R",IF(N296&gt;0,"A",IF(ISNUMBER(I296),"P","NR")))))</f>
        <v>R</v>
      </c>
      <c r="R296" s="18"/>
    </row>
    <row r="297" customFormat="false" ht="15" hidden="false" customHeight="false" outlineLevel="0" collapsed="false">
      <c r="A297" s="18" t="s">
        <v>26</v>
      </c>
      <c r="B297" s="8" t="s">
        <v>27</v>
      </c>
      <c r="C297" s="9" t="n">
        <v>46209</v>
      </c>
      <c r="D297" s="8" t="n">
        <v>2026</v>
      </c>
      <c r="E297" s="8" t="n">
        <v>28</v>
      </c>
      <c r="F297" s="18" t="s">
        <v>128</v>
      </c>
      <c r="G297" s="8" t="s">
        <v>116</v>
      </c>
      <c r="H297" s="19" t="n">
        <v>0.333333333333333</v>
      </c>
      <c r="I297" s="19" t="n">
        <v>0.33125</v>
      </c>
      <c r="J297" s="19" t="n">
        <v>0.75</v>
      </c>
      <c r="K297" s="19" t="n">
        <v>0.75</v>
      </c>
      <c r="L297" s="19" t="n">
        <v>0.375</v>
      </c>
      <c r="M297" s="19" t="n">
        <v>0.375</v>
      </c>
      <c r="N297" s="19" t="n">
        <v>0</v>
      </c>
      <c r="O297" s="19" t="n">
        <v>0.00208333333333333</v>
      </c>
      <c r="P297" s="17" t="n">
        <f aca="false">IF(AND(ISNUMBER(H297),ISNUMBER(I297)),MAX(0,ROUND((I297-H297)*1440,0)-'Bilan agents'!$C$4),0)</f>
        <v>0</v>
      </c>
      <c r="Q297" s="8" t="str">
        <f aca="false">IF(H297="Congé","CP",IF(H297="Férié","F",IF(H297="OFF","R",IF(N297&gt;0,"A",IF(ISNUMBER(I297),"P","NR")))))</f>
        <v>P</v>
      </c>
      <c r="R297" s="18"/>
    </row>
    <row r="298" customFormat="false" ht="15" hidden="false" customHeight="false" outlineLevel="0" collapsed="false">
      <c r="A298" s="18" t="s">
        <v>26</v>
      </c>
      <c r="B298" s="8" t="s">
        <v>27</v>
      </c>
      <c r="C298" s="9" t="n">
        <v>46210</v>
      </c>
      <c r="D298" s="8" t="n">
        <v>2026</v>
      </c>
      <c r="E298" s="8" t="n">
        <v>28</v>
      </c>
      <c r="F298" s="18" t="s">
        <v>128</v>
      </c>
      <c r="G298" s="8" t="s">
        <v>117</v>
      </c>
      <c r="H298" s="19" t="n">
        <v>0.333333333333333</v>
      </c>
      <c r="I298" s="19" t="n">
        <v>0.333333333333333</v>
      </c>
      <c r="J298" s="19" t="n">
        <v>0.75</v>
      </c>
      <c r="K298" s="19" t="n">
        <v>0.75</v>
      </c>
      <c r="L298" s="19" t="n">
        <v>0.375</v>
      </c>
      <c r="M298" s="19" t="n">
        <v>0.375</v>
      </c>
      <c r="N298" s="19" t="n">
        <v>0</v>
      </c>
      <c r="O298" s="19" t="n">
        <v>0</v>
      </c>
      <c r="P298" s="17" t="n">
        <f aca="false">IF(AND(ISNUMBER(H298),ISNUMBER(I298)),MAX(0,ROUND((I298-H298)*1440,0)-'Bilan agents'!$C$4),0)</f>
        <v>0</v>
      </c>
      <c r="Q298" s="8" t="str">
        <f aca="false">IF(H298="Congé","CP",IF(H298="Férié","F",IF(H298="OFF","R",IF(N298&gt;0,"A",IF(ISNUMBER(I298),"P","NR")))))</f>
        <v>P</v>
      </c>
      <c r="R298" s="18"/>
    </row>
    <row r="299" customFormat="false" ht="15" hidden="false" customHeight="false" outlineLevel="0" collapsed="false">
      <c r="A299" s="18" t="s">
        <v>26</v>
      </c>
      <c r="B299" s="8" t="s">
        <v>27</v>
      </c>
      <c r="C299" s="9" t="n">
        <v>46211</v>
      </c>
      <c r="D299" s="8" t="n">
        <v>2026</v>
      </c>
      <c r="E299" s="8" t="n">
        <v>28</v>
      </c>
      <c r="F299" s="18" t="s">
        <v>128</v>
      </c>
      <c r="G299" s="8" t="s">
        <v>118</v>
      </c>
      <c r="H299" s="19" t="n">
        <v>0.333333333333333</v>
      </c>
      <c r="I299" s="19" t="n">
        <v>0.333333333333333</v>
      </c>
      <c r="J299" s="19" t="n">
        <v>0.75</v>
      </c>
      <c r="K299" s="19" t="n">
        <v>0.75</v>
      </c>
      <c r="L299" s="19" t="n">
        <v>0.375</v>
      </c>
      <c r="M299" s="19" t="n">
        <v>0.375</v>
      </c>
      <c r="N299" s="19" t="n">
        <v>0</v>
      </c>
      <c r="O299" s="19" t="n">
        <v>0</v>
      </c>
      <c r="P299" s="17" t="n">
        <f aca="false">IF(AND(ISNUMBER(H299),ISNUMBER(I299)),MAX(0,ROUND((I299-H299)*1440,0)-'Bilan agents'!$C$4),0)</f>
        <v>0</v>
      </c>
      <c r="Q299" s="8" t="str">
        <f aca="false">IF(H299="Congé","CP",IF(H299="Férié","F",IF(H299="OFF","R",IF(N299&gt;0,"A",IF(ISNUMBER(I299),"P","NR")))))</f>
        <v>P</v>
      </c>
      <c r="R299" s="18"/>
    </row>
    <row r="300" customFormat="false" ht="15" hidden="false" customHeight="false" outlineLevel="0" collapsed="false">
      <c r="A300" s="18" t="s">
        <v>26</v>
      </c>
      <c r="B300" s="8" t="s">
        <v>27</v>
      </c>
      <c r="C300" s="9" t="n">
        <v>46212</v>
      </c>
      <c r="D300" s="8" t="n">
        <v>2026</v>
      </c>
      <c r="E300" s="8" t="n">
        <v>28</v>
      </c>
      <c r="F300" s="18" t="s">
        <v>128</v>
      </c>
      <c r="G300" s="8" t="s">
        <v>119</v>
      </c>
      <c r="H300" s="19" t="n">
        <v>0.333333333333333</v>
      </c>
      <c r="I300" s="19" t="n">
        <v>0.333333333333333</v>
      </c>
      <c r="J300" s="19" t="n">
        <v>0.75</v>
      </c>
      <c r="K300" s="19" t="n">
        <v>0.75</v>
      </c>
      <c r="L300" s="19" t="n">
        <v>0.375</v>
      </c>
      <c r="M300" s="19" t="n">
        <v>0.375</v>
      </c>
      <c r="N300" s="19" t="n">
        <v>0</v>
      </c>
      <c r="O300" s="19" t="n">
        <v>0</v>
      </c>
      <c r="P300" s="17" t="n">
        <f aca="false">IF(AND(ISNUMBER(H300),ISNUMBER(I300)),MAX(0,ROUND((I300-H300)*1440,0)-'Bilan agents'!$C$4),0)</f>
        <v>0</v>
      </c>
      <c r="Q300" s="8" t="str">
        <f aca="false">IF(H300="Congé","CP",IF(H300="Férié","F",IF(H300="OFF","R",IF(N300&gt;0,"A",IF(ISNUMBER(I300),"P","NR")))))</f>
        <v>P</v>
      </c>
      <c r="R300" s="18"/>
    </row>
    <row r="301" customFormat="false" ht="15" hidden="false" customHeight="false" outlineLevel="0" collapsed="false">
      <c r="A301" s="18" t="s">
        <v>26</v>
      </c>
      <c r="B301" s="8" t="s">
        <v>27</v>
      </c>
      <c r="C301" s="9" t="n">
        <v>46213</v>
      </c>
      <c r="D301" s="8" t="n">
        <v>2026</v>
      </c>
      <c r="E301" s="8" t="n">
        <v>28</v>
      </c>
      <c r="F301" s="18" t="s">
        <v>128</v>
      </c>
      <c r="G301" s="8" t="s">
        <v>120</v>
      </c>
      <c r="H301" s="19" t="n">
        <v>0.333333333333333</v>
      </c>
      <c r="I301" s="19" t="n">
        <v>0.333333333333333</v>
      </c>
      <c r="J301" s="19" t="n">
        <v>0.708333333333333</v>
      </c>
      <c r="K301" s="19" t="n">
        <v>0.708333333333333</v>
      </c>
      <c r="L301" s="19" t="n">
        <v>0.333333333333333</v>
      </c>
      <c r="M301" s="19" t="n">
        <v>0.333333333333333</v>
      </c>
      <c r="N301" s="19" t="n">
        <v>0</v>
      </c>
      <c r="O301" s="19" t="n">
        <v>0</v>
      </c>
      <c r="P301" s="17" t="n">
        <f aca="false">IF(AND(ISNUMBER(H301),ISNUMBER(I301)),MAX(0,ROUND((I301-H301)*1440,0)-'Bilan agents'!$C$4),0)</f>
        <v>0</v>
      </c>
      <c r="Q301" s="8" t="str">
        <f aca="false">IF(H301="Congé","CP",IF(H301="Férié","F",IF(H301="OFF","R",IF(N301&gt;0,"A",IF(ISNUMBER(I301),"P","NR")))))</f>
        <v>P</v>
      </c>
      <c r="R301" s="18"/>
    </row>
    <row r="302" customFormat="false" ht="15" hidden="false" customHeight="false" outlineLevel="0" collapsed="false">
      <c r="A302" s="18" t="s">
        <v>26</v>
      </c>
      <c r="B302" s="8" t="s">
        <v>27</v>
      </c>
      <c r="C302" s="9" t="n">
        <v>46214</v>
      </c>
      <c r="D302" s="8" t="n">
        <v>2026</v>
      </c>
      <c r="E302" s="8" t="n">
        <v>28</v>
      </c>
      <c r="F302" s="18" t="s">
        <v>128</v>
      </c>
      <c r="G302" s="8" t="s">
        <v>121</v>
      </c>
      <c r="H302" s="19" t="s">
        <v>115</v>
      </c>
      <c r="I302" s="19"/>
      <c r="J302" s="19"/>
      <c r="K302" s="19"/>
      <c r="L302" s="19" t="n">
        <v>0</v>
      </c>
      <c r="M302" s="19"/>
      <c r="N302" s="19" t="n">
        <v>0</v>
      </c>
      <c r="O302" s="19" t="n">
        <v>0</v>
      </c>
      <c r="P302" s="17" t="n">
        <f aca="false">IF(AND(ISNUMBER(H302),ISNUMBER(I302)),MAX(0,ROUND((I302-H302)*1440,0)-'Bilan agents'!$C$4),0)</f>
        <v>0</v>
      </c>
      <c r="Q302" s="8" t="str">
        <f aca="false">IF(H302="Congé","CP",IF(H302="Férié","F",IF(H302="OFF","R",IF(N302&gt;0,"A",IF(ISNUMBER(I302),"P","NR")))))</f>
        <v>R</v>
      </c>
      <c r="R302" s="18"/>
    </row>
    <row r="303" customFormat="false" ht="15" hidden="false" customHeight="false" outlineLevel="0" collapsed="false">
      <c r="A303" s="18" t="s">
        <v>26</v>
      </c>
      <c r="B303" s="8" t="s">
        <v>27</v>
      </c>
      <c r="C303" s="9" t="n">
        <v>46215</v>
      </c>
      <c r="D303" s="8" t="n">
        <v>2026</v>
      </c>
      <c r="E303" s="8" t="n">
        <v>28</v>
      </c>
      <c r="F303" s="18" t="s">
        <v>128</v>
      </c>
      <c r="G303" s="8" t="s">
        <v>114</v>
      </c>
      <c r="H303" s="19" t="s">
        <v>115</v>
      </c>
      <c r="I303" s="19"/>
      <c r="J303" s="19"/>
      <c r="K303" s="19"/>
      <c r="L303" s="19" t="n">
        <v>0</v>
      </c>
      <c r="M303" s="19"/>
      <c r="N303" s="19" t="n">
        <v>0</v>
      </c>
      <c r="O303" s="19" t="n">
        <v>0</v>
      </c>
      <c r="P303" s="17" t="n">
        <f aca="false">IF(AND(ISNUMBER(H303),ISNUMBER(I303)),MAX(0,ROUND((I303-H303)*1440,0)-'Bilan agents'!$C$4),0)</f>
        <v>0</v>
      </c>
      <c r="Q303" s="8" t="str">
        <f aca="false">IF(H303="Congé","CP",IF(H303="Férié","F",IF(H303="OFF","R",IF(N303&gt;0,"A",IF(ISNUMBER(I303),"P","NR")))))</f>
        <v>R</v>
      </c>
      <c r="R303" s="18"/>
    </row>
    <row r="304" customFormat="false" ht="15" hidden="false" customHeight="false" outlineLevel="0" collapsed="false">
      <c r="A304" s="18" t="s">
        <v>26</v>
      </c>
      <c r="B304" s="8" t="s">
        <v>27</v>
      </c>
      <c r="C304" s="9" t="n">
        <v>46216</v>
      </c>
      <c r="D304" s="8" t="n">
        <v>2026</v>
      </c>
      <c r="E304" s="8" t="n">
        <v>29</v>
      </c>
      <c r="F304" s="18" t="s">
        <v>128</v>
      </c>
      <c r="G304" s="8" t="s">
        <v>116</v>
      </c>
      <c r="H304" s="19" t="n">
        <v>0.333333333333333</v>
      </c>
      <c r="I304" s="19" t="n">
        <v>0.331944444444444</v>
      </c>
      <c r="J304" s="19" t="n">
        <v>0.75</v>
      </c>
      <c r="K304" s="19" t="n">
        <v>0.75</v>
      </c>
      <c r="L304" s="19" t="n">
        <v>0.375</v>
      </c>
      <c r="M304" s="19" t="n">
        <v>0.375</v>
      </c>
      <c r="N304" s="19" t="n">
        <v>0</v>
      </c>
      <c r="O304" s="19" t="n">
        <v>0.00138888888888889</v>
      </c>
      <c r="P304" s="17" t="n">
        <f aca="false">IF(AND(ISNUMBER(H304),ISNUMBER(I304)),MAX(0,ROUND((I304-H304)*1440,0)-'Bilan agents'!$C$4),0)</f>
        <v>0</v>
      </c>
      <c r="Q304" s="8" t="str">
        <f aca="false">IF(H304="Congé","CP",IF(H304="Férié","F",IF(H304="OFF","R",IF(N304&gt;0,"A",IF(ISNUMBER(I304),"P","NR")))))</f>
        <v>P</v>
      </c>
      <c r="R304" s="18"/>
    </row>
    <row r="305" customFormat="false" ht="15" hidden="false" customHeight="false" outlineLevel="0" collapsed="false">
      <c r="A305" s="18" t="s">
        <v>26</v>
      </c>
      <c r="B305" s="8" t="s">
        <v>27</v>
      </c>
      <c r="C305" s="9" t="n">
        <v>46217</v>
      </c>
      <c r="D305" s="8" t="n">
        <v>2026</v>
      </c>
      <c r="E305" s="8" t="n">
        <v>29</v>
      </c>
      <c r="F305" s="18" t="s">
        <v>128</v>
      </c>
      <c r="G305" s="8" t="s">
        <v>117</v>
      </c>
      <c r="H305" s="19" t="s">
        <v>115</v>
      </c>
      <c r="I305" s="19"/>
      <c r="J305" s="19"/>
      <c r="K305" s="19"/>
      <c r="L305" s="19" t="n">
        <v>0</v>
      </c>
      <c r="M305" s="19"/>
      <c r="N305" s="19" t="n">
        <v>0</v>
      </c>
      <c r="O305" s="19" t="n">
        <v>0</v>
      </c>
      <c r="P305" s="17" t="n">
        <f aca="false">IF(AND(ISNUMBER(H305),ISNUMBER(I305)),MAX(0,ROUND((I305-H305)*1440,0)-'Bilan agents'!$C$4),0)</f>
        <v>0</v>
      </c>
      <c r="Q305" s="8" t="str">
        <f aca="false">IF(H305="Congé","CP",IF(H305="Férié","F",IF(H305="OFF","R",IF(N305&gt;0,"A",IF(ISNUMBER(I305),"P","NR")))))</f>
        <v>R</v>
      </c>
      <c r="R305" s="18"/>
    </row>
    <row r="306" customFormat="false" ht="15" hidden="false" customHeight="false" outlineLevel="0" collapsed="false">
      <c r="A306" s="18" t="s">
        <v>26</v>
      </c>
      <c r="B306" s="8" t="s">
        <v>27</v>
      </c>
      <c r="C306" s="9" t="n">
        <v>46218</v>
      </c>
      <c r="D306" s="8" t="n">
        <v>2026</v>
      </c>
      <c r="E306" s="8" t="n">
        <v>29</v>
      </c>
      <c r="F306" s="18" t="s">
        <v>128</v>
      </c>
      <c r="G306" s="8" t="s">
        <v>118</v>
      </c>
      <c r="H306" s="19" t="n">
        <v>0.333333333333333</v>
      </c>
      <c r="I306" s="19" t="n">
        <v>0.331944444444444</v>
      </c>
      <c r="J306" s="19" t="n">
        <v>0.75</v>
      </c>
      <c r="K306" s="19" t="n">
        <v>0.75</v>
      </c>
      <c r="L306" s="19" t="n">
        <v>0.375</v>
      </c>
      <c r="M306" s="19" t="n">
        <v>0.375</v>
      </c>
      <c r="N306" s="19" t="n">
        <v>0</v>
      </c>
      <c r="O306" s="19" t="n">
        <v>0.00138888888888889</v>
      </c>
      <c r="P306" s="17" t="n">
        <f aca="false">IF(AND(ISNUMBER(H306),ISNUMBER(I306)),MAX(0,ROUND((I306-H306)*1440,0)-'Bilan agents'!$C$4),0)</f>
        <v>0</v>
      </c>
      <c r="Q306" s="8" t="str">
        <f aca="false">IF(H306="Congé","CP",IF(H306="Férié","F",IF(H306="OFF","R",IF(N306&gt;0,"A",IF(ISNUMBER(I306),"P","NR")))))</f>
        <v>P</v>
      </c>
      <c r="R306" s="18"/>
    </row>
    <row r="307" customFormat="false" ht="15" hidden="false" customHeight="false" outlineLevel="0" collapsed="false">
      <c r="A307" s="18" t="s">
        <v>26</v>
      </c>
      <c r="B307" s="8" t="s">
        <v>27</v>
      </c>
      <c r="C307" s="9" t="n">
        <v>46219</v>
      </c>
      <c r="D307" s="8" t="n">
        <v>2026</v>
      </c>
      <c r="E307" s="8" t="n">
        <v>29</v>
      </c>
      <c r="F307" s="18" t="s">
        <v>128</v>
      </c>
      <c r="G307" s="8" t="s">
        <v>119</v>
      </c>
      <c r="H307" s="19" t="n">
        <v>0.333333333333333</v>
      </c>
      <c r="I307" s="19" t="n">
        <v>0.333333333333333</v>
      </c>
      <c r="J307" s="19" t="n">
        <v>0.75</v>
      </c>
      <c r="K307" s="19" t="n">
        <v>0.75</v>
      </c>
      <c r="L307" s="19" t="n">
        <v>0.375</v>
      </c>
      <c r="M307" s="19" t="n">
        <v>0.375</v>
      </c>
      <c r="N307" s="19" t="n">
        <v>0</v>
      </c>
      <c r="O307" s="19" t="n">
        <v>0</v>
      </c>
      <c r="P307" s="17" t="n">
        <f aca="false">IF(AND(ISNUMBER(H307),ISNUMBER(I307)),MAX(0,ROUND((I307-H307)*1440,0)-'Bilan agents'!$C$4),0)</f>
        <v>0</v>
      </c>
      <c r="Q307" s="8" t="str">
        <f aca="false">IF(H307="Congé","CP",IF(H307="Férié","F",IF(H307="OFF","R",IF(N307&gt;0,"A",IF(ISNUMBER(I307),"P","NR")))))</f>
        <v>P</v>
      </c>
      <c r="R307" s="18"/>
    </row>
    <row r="308" customFormat="false" ht="15" hidden="false" customHeight="false" outlineLevel="0" collapsed="false">
      <c r="A308" s="18" t="s">
        <v>26</v>
      </c>
      <c r="B308" s="8" t="s">
        <v>27</v>
      </c>
      <c r="C308" s="9" t="n">
        <v>46220</v>
      </c>
      <c r="D308" s="8" t="n">
        <v>2026</v>
      </c>
      <c r="E308" s="8" t="n">
        <v>29</v>
      </c>
      <c r="F308" s="18" t="s">
        <v>128</v>
      </c>
      <c r="G308" s="8" t="s">
        <v>120</v>
      </c>
      <c r="H308" s="19" t="n">
        <v>0.333333333333333</v>
      </c>
      <c r="I308" s="19" t="n">
        <v>0.291666666666667</v>
      </c>
      <c r="J308" s="19" t="n">
        <v>0.708333333333333</v>
      </c>
      <c r="K308" s="19" t="n">
        <v>0.708333333333333</v>
      </c>
      <c r="L308" s="19" t="n">
        <v>0.333333333333333</v>
      </c>
      <c r="M308" s="19" t="n">
        <v>0.333333333333333</v>
      </c>
      <c r="N308" s="19" t="n">
        <v>0</v>
      </c>
      <c r="O308" s="19" t="n">
        <v>0.0416666666666667</v>
      </c>
      <c r="P308" s="17" t="n">
        <f aca="false">IF(AND(ISNUMBER(H308),ISNUMBER(I308)),MAX(0,ROUND((I308-H308)*1440,0)-'Bilan agents'!$C$4),0)</f>
        <v>0</v>
      </c>
      <c r="Q308" s="8" t="str">
        <f aca="false">IF(H308="Congé","CP",IF(H308="Férié","F",IF(H308="OFF","R",IF(N308&gt;0,"A",IF(ISNUMBER(I308),"P","NR")))))</f>
        <v>P</v>
      </c>
      <c r="R308" s="18" t="s">
        <v>129</v>
      </c>
    </row>
    <row r="309" customFormat="false" ht="15" hidden="false" customHeight="false" outlineLevel="0" collapsed="false">
      <c r="A309" s="18" t="s">
        <v>26</v>
      </c>
      <c r="B309" s="8" t="s">
        <v>27</v>
      </c>
      <c r="C309" s="9" t="n">
        <v>46221</v>
      </c>
      <c r="D309" s="8" t="n">
        <v>2026</v>
      </c>
      <c r="E309" s="8" t="n">
        <v>29</v>
      </c>
      <c r="F309" s="18" t="s">
        <v>128</v>
      </c>
      <c r="G309" s="8" t="s">
        <v>121</v>
      </c>
      <c r="H309" s="19" t="s">
        <v>115</v>
      </c>
      <c r="I309" s="19"/>
      <c r="J309" s="19"/>
      <c r="K309" s="19"/>
      <c r="L309" s="19" t="n">
        <v>0</v>
      </c>
      <c r="M309" s="19"/>
      <c r="N309" s="19" t="n">
        <v>0</v>
      </c>
      <c r="O309" s="19" t="n">
        <v>0</v>
      </c>
      <c r="P309" s="17" t="n">
        <f aca="false">IF(AND(ISNUMBER(H309),ISNUMBER(I309)),MAX(0,ROUND((I309-H309)*1440,0)-'Bilan agents'!$C$4),0)</f>
        <v>0</v>
      </c>
      <c r="Q309" s="8" t="str">
        <f aca="false">IF(H309="Congé","CP",IF(H309="Férié","F",IF(H309="OFF","R",IF(N309&gt;0,"A",IF(ISNUMBER(I309),"P","NR")))))</f>
        <v>R</v>
      </c>
      <c r="R309" s="18"/>
    </row>
    <row r="310" customFormat="false" ht="15" hidden="false" customHeight="false" outlineLevel="0" collapsed="false">
      <c r="A310" s="18" t="s">
        <v>26</v>
      </c>
      <c r="B310" s="8" t="s">
        <v>27</v>
      </c>
      <c r="C310" s="9" t="n">
        <v>46222</v>
      </c>
      <c r="D310" s="8" t="n">
        <v>2026</v>
      </c>
      <c r="E310" s="8" t="n">
        <v>29</v>
      </c>
      <c r="F310" s="18" t="s">
        <v>128</v>
      </c>
      <c r="G310" s="8" t="s">
        <v>114</v>
      </c>
      <c r="H310" s="19" t="s">
        <v>115</v>
      </c>
      <c r="I310" s="19"/>
      <c r="J310" s="19"/>
      <c r="K310" s="19"/>
      <c r="L310" s="19" t="n">
        <v>0</v>
      </c>
      <c r="M310" s="19"/>
      <c r="N310" s="19" t="n">
        <v>0</v>
      </c>
      <c r="O310" s="19" t="n">
        <v>0</v>
      </c>
      <c r="P310" s="17" t="n">
        <f aca="false">IF(AND(ISNUMBER(H310),ISNUMBER(I310)),MAX(0,ROUND((I310-H310)*1440,0)-'Bilan agents'!$C$4),0)</f>
        <v>0</v>
      </c>
      <c r="Q310" s="8" t="str">
        <f aca="false">IF(H310="Congé","CP",IF(H310="Férié","F",IF(H310="OFF","R",IF(N310&gt;0,"A",IF(ISNUMBER(I310),"P","NR")))))</f>
        <v>R</v>
      </c>
      <c r="R310" s="18"/>
    </row>
    <row r="311" customFormat="false" ht="15" hidden="false" customHeight="false" outlineLevel="0" collapsed="false">
      <c r="A311" s="18" t="s">
        <v>26</v>
      </c>
      <c r="B311" s="8" t="s">
        <v>27</v>
      </c>
      <c r="C311" s="9" t="n">
        <v>46223</v>
      </c>
      <c r="D311" s="8" t="n">
        <v>2026</v>
      </c>
      <c r="E311" s="8" t="n">
        <v>30</v>
      </c>
      <c r="F311" s="18" t="s">
        <v>128</v>
      </c>
      <c r="G311" s="8" t="s">
        <v>116</v>
      </c>
      <c r="H311" s="19" t="n">
        <v>0.333333333333333</v>
      </c>
      <c r="I311" s="19" t="n">
        <v>0.330555555555556</v>
      </c>
      <c r="J311" s="19" t="n">
        <v>0.75</v>
      </c>
      <c r="K311" s="19" t="n">
        <v>0.75</v>
      </c>
      <c r="L311" s="19" t="n">
        <v>0.375</v>
      </c>
      <c r="M311" s="19" t="n">
        <v>0.375</v>
      </c>
      <c r="N311" s="19" t="n">
        <v>0</v>
      </c>
      <c r="O311" s="19" t="n">
        <v>0.00277777777777778</v>
      </c>
      <c r="P311" s="17" t="n">
        <f aca="false">IF(AND(ISNUMBER(H311),ISNUMBER(I311)),MAX(0,ROUND((I311-H311)*1440,0)-'Bilan agents'!$C$4),0)</f>
        <v>0</v>
      </c>
      <c r="Q311" s="8" t="str">
        <f aca="false">IF(H311="Congé","CP",IF(H311="Férié","F",IF(H311="OFF","R",IF(N311&gt;0,"A",IF(ISNUMBER(I311),"P","NR")))))</f>
        <v>P</v>
      </c>
      <c r="R311" s="18"/>
    </row>
    <row r="312" customFormat="false" ht="15" hidden="false" customHeight="false" outlineLevel="0" collapsed="false">
      <c r="A312" s="18" t="s">
        <v>26</v>
      </c>
      <c r="B312" s="8" t="s">
        <v>27</v>
      </c>
      <c r="C312" s="9" t="n">
        <v>46224</v>
      </c>
      <c r="D312" s="8" t="n">
        <v>2026</v>
      </c>
      <c r="E312" s="8" t="n">
        <v>30</v>
      </c>
      <c r="F312" s="18" t="s">
        <v>128</v>
      </c>
      <c r="G312" s="8" t="s">
        <v>117</v>
      </c>
      <c r="H312" s="19" t="n">
        <v>0.333333333333333</v>
      </c>
      <c r="I312" s="19" t="n">
        <v>0.33125</v>
      </c>
      <c r="J312" s="19" t="n">
        <v>0.75</v>
      </c>
      <c r="K312" s="19" t="n">
        <v>0.75</v>
      </c>
      <c r="L312" s="19" t="n">
        <v>0.375</v>
      </c>
      <c r="M312" s="19" t="n">
        <v>0.375</v>
      </c>
      <c r="N312" s="19" t="n">
        <v>0</v>
      </c>
      <c r="O312" s="19" t="n">
        <v>0.00208333333333333</v>
      </c>
      <c r="P312" s="17" t="n">
        <f aca="false">IF(AND(ISNUMBER(H312),ISNUMBER(I312)),MAX(0,ROUND((I312-H312)*1440,0)-'Bilan agents'!$C$4),0)</f>
        <v>0</v>
      </c>
      <c r="Q312" s="8" t="str">
        <f aca="false">IF(H312="Congé","CP",IF(H312="Férié","F",IF(H312="OFF","R",IF(N312&gt;0,"A",IF(ISNUMBER(I312),"P","NR")))))</f>
        <v>P</v>
      </c>
      <c r="R312" s="18"/>
    </row>
    <row r="313" customFormat="false" ht="15" hidden="false" customHeight="false" outlineLevel="0" collapsed="false">
      <c r="A313" s="18" t="s">
        <v>26</v>
      </c>
      <c r="B313" s="8" t="s">
        <v>27</v>
      </c>
      <c r="C313" s="9" t="n">
        <v>46225</v>
      </c>
      <c r="D313" s="8" t="n">
        <v>2026</v>
      </c>
      <c r="E313" s="8" t="n">
        <v>30</v>
      </c>
      <c r="F313" s="18" t="s">
        <v>128</v>
      </c>
      <c r="G313" s="8" t="s">
        <v>118</v>
      </c>
      <c r="H313" s="19" t="n">
        <v>0.333333333333333</v>
      </c>
      <c r="I313" s="19" t="n">
        <v>0.33125</v>
      </c>
      <c r="J313" s="19" t="n">
        <v>0.75</v>
      </c>
      <c r="K313" s="19" t="n">
        <v>0.75</v>
      </c>
      <c r="L313" s="19" t="n">
        <v>0.375</v>
      </c>
      <c r="M313" s="19" t="n">
        <v>0.375</v>
      </c>
      <c r="N313" s="19" t="n">
        <v>0</v>
      </c>
      <c r="O313" s="19" t="n">
        <v>0.00208333333333333</v>
      </c>
      <c r="P313" s="17" t="n">
        <f aca="false">IF(AND(ISNUMBER(H313),ISNUMBER(I313)),MAX(0,ROUND((I313-H313)*1440,0)-'Bilan agents'!$C$4),0)</f>
        <v>0</v>
      </c>
      <c r="Q313" s="8" t="str">
        <f aca="false">IF(H313="Congé","CP",IF(H313="Férié","F",IF(H313="OFF","R",IF(N313&gt;0,"A",IF(ISNUMBER(I313),"P","NR")))))</f>
        <v>P</v>
      </c>
      <c r="R313" s="18"/>
    </row>
    <row r="314" customFormat="false" ht="15" hidden="false" customHeight="false" outlineLevel="0" collapsed="false">
      <c r="A314" s="18" t="s">
        <v>26</v>
      </c>
      <c r="B314" s="8" t="s">
        <v>27</v>
      </c>
      <c r="C314" s="9" t="n">
        <v>46226</v>
      </c>
      <c r="D314" s="8" t="n">
        <v>2026</v>
      </c>
      <c r="E314" s="8" t="n">
        <v>30</v>
      </c>
      <c r="F314" s="18" t="s">
        <v>128</v>
      </c>
      <c r="G314" s="8" t="s">
        <v>119</v>
      </c>
      <c r="H314" s="19" t="n">
        <v>0.333333333333333</v>
      </c>
      <c r="I314" s="19" t="n">
        <v>0.331944444444444</v>
      </c>
      <c r="J314" s="19" t="n">
        <v>0.75</v>
      </c>
      <c r="K314" s="19" t="n">
        <v>0.75</v>
      </c>
      <c r="L314" s="19" t="n">
        <v>0.375</v>
      </c>
      <c r="M314" s="19" t="n">
        <v>0.375</v>
      </c>
      <c r="N314" s="19" t="n">
        <v>0</v>
      </c>
      <c r="O314" s="19" t="n">
        <v>0.00138888888888889</v>
      </c>
      <c r="P314" s="17" t="n">
        <f aca="false">IF(AND(ISNUMBER(H314),ISNUMBER(I314)),MAX(0,ROUND((I314-H314)*1440,0)-'Bilan agents'!$C$4),0)</f>
        <v>0</v>
      </c>
      <c r="Q314" s="8" t="str">
        <f aca="false">IF(H314="Congé","CP",IF(H314="Férié","F",IF(H314="OFF","R",IF(N314&gt;0,"A",IF(ISNUMBER(I314),"P","NR")))))</f>
        <v>P</v>
      </c>
      <c r="R314" s="18"/>
    </row>
    <row r="315" customFormat="false" ht="15" hidden="false" customHeight="false" outlineLevel="0" collapsed="false">
      <c r="A315" s="18" t="s">
        <v>26</v>
      </c>
      <c r="B315" s="8" t="s">
        <v>27</v>
      </c>
      <c r="C315" s="9" t="n">
        <v>46227</v>
      </c>
      <c r="D315" s="8" t="n">
        <v>2026</v>
      </c>
      <c r="E315" s="8" t="n">
        <v>30</v>
      </c>
      <c r="F315" s="18" t="s">
        <v>128</v>
      </c>
      <c r="G315" s="8" t="s">
        <v>120</v>
      </c>
      <c r="H315" s="19" t="n">
        <v>0.333333333333333</v>
      </c>
      <c r="I315" s="19" t="n">
        <v>0.333333333333333</v>
      </c>
      <c r="J315" s="19" t="n">
        <v>0.708333333333333</v>
      </c>
      <c r="K315" s="19" t="n">
        <v>0.708333333333333</v>
      </c>
      <c r="L315" s="19" t="n">
        <v>0.333333333333333</v>
      </c>
      <c r="M315" s="19" t="n">
        <v>0.333333333333333</v>
      </c>
      <c r="N315" s="19" t="n">
        <v>0</v>
      </c>
      <c r="O315" s="19" t="n">
        <v>0</v>
      </c>
      <c r="P315" s="17" t="n">
        <f aca="false">IF(AND(ISNUMBER(H315),ISNUMBER(I315)),MAX(0,ROUND((I315-H315)*1440,0)-'Bilan agents'!$C$4),0)</f>
        <v>0</v>
      </c>
      <c r="Q315" s="8" t="str">
        <f aca="false">IF(H315="Congé","CP",IF(H315="Férié","F",IF(H315="OFF","R",IF(N315&gt;0,"A",IF(ISNUMBER(I315),"P","NR")))))</f>
        <v>P</v>
      </c>
      <c r="R315" s="18"/>
    </row>
    <row r="316" customFormat="false" ht="15" hidden="false" customHeight="false" outlineLevel="0" collapsed="false">
      <c r="A316" s="18" t="s">
        <v>26</v>
      </c>
      <c r="B316" s="8" t="s">
        <v>27</v>
      </c>
      <c r="C316" s="9" t="n">
        <v>46228</v>
      </c>
      <c r="D316" s="8" t="n">
        <v>2026</v>
      </c>
      <c r="E316" s="8" t="n">
        <v>30</v>
      </c>
      <c r="F316" s="18" t="s">
        <v>128</v>
      </c>
      <c r="G316" s="8" t="s">
        <v>121</v>
      </c>
      <c r="H316" s="19" t="s">
        <v>115</v>
      </c>
      <c r="I316" s="19"/>
      <c r="J316" s="19"/>
      <c r="K316" s="19"/>
      <c r="L316" s="19" t="n">
        <v>0</v>
      </c>
      <c r="M316" s="19"/>
      <c r="N316" s="19" t="n">
        <v>0</v>
      </c>
      <c r="O316" s="19" t="n">
        <v>0</v>
      </c>
      <c r="P316" s="17" t="n">
        <f aca="false">IF(AND(ISNUMBER(H316),ISNUMBER(I316)),MAX(0,ROUND((I316-H316)*1440,0)-'Bilan agents'!$C$4),0)</f>
        <v>0</v>
      </c>
      <c r="Q316" s="8" t="str">
        <f aca="false">IF(H316="Congé","CP",IF(H316="Férié","F",IF(H316="OFF","R",IF(N316&gt;0,"A",IF(ISNUMBER(I316),"P","NR")))))</f>
        <v>R</v>
      </c>
      <c r="R316" s="18"/>
    </row>
    <row r="317" customFormat="false" ht="15" hidden="false" customHeight="false" outlineLevel="0" collapsed="false">
      <c r="A317" s="18" t="s">
        <v>26</v>
      </c>
      <c r="B317" s="8" t="s">
        <v>27</v>
      </c>
      <c r="C317" s="9" t="n">
        <v>46229</v>
      </c>
      <c r="D317" s="8" t="n">
        <v>2026</v>
      </c>
      <c r="E317" s="8" t="n">
        <v>30</v>
      </c>
      <c r="F317" s="18" t="s">
        <v>128</v>
      </c>
      <c r="G317" s="8" t="s">
        <v>114</v>
      </c>
      <c r="H317" s="19" t="s">
        <v>115</v>
      </c>
      <c r="I317" s="19"/>
      <c r="J317" s="19"/>
      <c r="K317" s="19"/>
      <c r="L317" s="19" t="n">
        <v>0</v>
      </c>
      <c r="M317" s="19"/>
      <c r="N317" s="19" t="n">
        <v>0</v>
      </c>
      <c r="O317" s="19" t="n">
        <v>0</v>
      </c>
      <c r="P317" s="17" t="n">
        <f aca="false">IF(AND(ISNUMBER(H317),ISNUMBER(I317)),MAX(0,ROUND((I317-H317)*1440,0)-'Bilan agents'!$C$4),0)</f>
        <v>0</v>
      </c>
      <c r="Q317" s="8" t="str">
        <f aca="false">IF(H317="Congé","CP",IF(H317="Férié","F",IF(H317="OFF","R",IF(N317&gt;0,"A",IF(ISNUMBER(I317),"P","NR")))))</f>
        <v>R</v>
      </c>
      <c r="R317" s="18"/>
    </row>
    <row r="318" customFormat="false" ht="15" hidden="false" customHeight="false" outlineLevel="0" collapsed="false">
      <c r="A318" s="18" t="s">
        <v>26</v>
      </c>
      <c r="B318" s="8" t="s">
        <v>27</v>
      </c>
      <c r="C318" s="9" t="n">
        <v>46230</v>
      </c>
      <c r="D318" s="8" t="n">
        <v>2026</v>
      </c>
      <c r="E318" s="8" t="n">
        <v>31</v>
      </c>
      <c r="F318" s="18" t="s">
        <v>128</v>
      </c>
      <c r="G318" s="8" t="s">
        <v>116</v>
      </c>
      <c r="H318" s="19" t="n">
        <v>0.333333333333333</v>
      </c>
      <c r="I318" s="19" t="n">
        <v>0.333333333333333</v>
      </c>
      <c r="J318" s="19" t="n">
        <v>0.75</v>
      </c>
      <c r="K318" s="19" t="n">
        <v>0.75</v>
      </c>
      <c r="L318" s="19" t="n">
        <v>0.375</v>
      </c>
      <c r="M318" s="19" t="n">
        <v>0.375</v>
      </c>
      <c r="N318" s="19" t="n">
        <v>0</v>
      </c>
      <c r="O318" s="19" t="n">
        <v>0</v>
      </c>
      <c r="P318" s="17" t="n">
        <f aca="false">IF(AND(ISNUMBER(H318),ISNUMBER(I318)),MAX(0,ROUND((I318-H318)*1440,0)-'Bilan agents'!$C$4),0)</f>
        <v>0</v>
      </c>
      <c r="Q318" s="8" t="str">
        <f aca="false">IF(H318="Congé","CP",IF(H318="Férié","F",IF(H318="OFF","R",IF(N318&gt;0,"A",IF(ISNUMBER(I318),"P","NR")))))</f>
        <v>P</v>
      </c>
      <c r="R318" s="18"/>
    </row>
    <row r="319" customFormat="false" ht="15" hidden="false" customHeight="false" outlineLevel="0" collapsed="false">
      <c r="A319" s="18" t="s">
        <v>26</v>
      </c>
      <c r="B319" s="8" t="s">
        <v>27</v>
      </c>
      <c r="C319" s="9" t="n">
        <v>46231</v>
      </c>
      <c r="D319" s="8" t="n">
        <v>2026</v>
      </c>
      <c r="E319" s="8" t="n">
        <v>31</v>
      </c>
      <c r="F319" s="18" t="s">
        <v>128</v>
      </c>
      <c r="G319" s="8" t="s">
        <v>117</v>
      </c>
      <c r="H319" s="19" t="n">
        <v>0.333333333333333</v>
      </c>
      <c r="I319" s="19" t="n">
        <v>0.331944444444444</v>
      </c>
      <c r="J319" s="19" t="n">
        <v>0.75</v>
      </c>
      <c r="K319" s="19" t="n">
        <v>0.75</v>
      </c>
      <c r="L319" s="19" t="n">
        <v>0.375</v>
      </c>
      <c r="M319" s="19" t="n">
        <v>0.375</v>
      </c>
      <c r="N319" s="19" t="n">
        <v>0</v>
      </c>
      <c r="O319" s="19" t="n">
        <v>0.00138888888888889</v>
      </c>
      <c r="P319" s="17" t="n">
        <f aca="false">IF(AND(ISNUMBER(H319),ISNUMBER(I319)),MAX(0,ROUND((I319-H319)*1440,0)-'Bilan agents'!$C$4),0)</f>
        <v>0</v>
      </c>
      <c r="Q319" s="8" t="str">
        <f aca="false">IF(H319="Congé","CP",IF(H319="Férié","F",IF(H319="OFF","R",IF(N319&gt;0,"A",IF(ISNUMBER(I319),"P","NR")))))</f>
        <v>P</v>
      </c>
      <c r="R319" s="18"/>
    </row>
    <row r="320" customFormat="false" ht="15" hidden="false" customHeight="false" outlineLevel="0" collapsed="false">
      <c r="A320" s="18" t="s">
        <v>26</v>
      </c>
      <c r="B320" s="8" t="s">
        <v>27</v>
      </c>
      <c r="C320" s="9" t="n">
        <v>46232</v>
      </c>
      <c r="D320" s="8" t="n">
        <v>2026</v>
      </c>
      <c r="E320" s="8" t="n">
        <v>31</v>
      </c>
      <c r="F320" s="18" t="s">
        <v>128</v>
      </c>
      <c r="G320" s="8" t="s">
        <v>118</v>
      </c>
      <c r="H320" s="19" t="s">
        <v>43</v>
      </c>
      <c r="I320" s="19"/>
      <c r="J320" s="19"/>
      <c r="K320" s="19"/>
      <c r="L320" s="19" t="n">
        <v>0</v>
      </c>
      <c r="M320" s="19"/>
      <c r="N320" s="19" t="n">
        <v>0</v>
      </c>
      <c r="O320" s="19" t="n">
        <v>0</v>
      </c>
      <c r="P320" s="17" t="n">
        <f aca="false">IF(AND(ISNUMBER(H320),ISNUMBER(I320)),MAX(0,ROUND((I320-H320)*1440,0)-'Bilan agents'!$C$4),0)</f>
        <v>0</v>
      </c>
      <c r="Q320" s="8" t="str">
        <f aca="false">IF(H320="Congé","CP",IF(H320="Férié","F",IF(H320="OFF","R",IF(N320&gt;0,"A",IF(ISNUMBER(I320),"P","NR")))))</f>
        <v>CP</v>
      </c>
      <c r="R320" s="18"/>
    </row>
    <row r="321" customFormat="false" ht="15" hidden="false" customHeight="false" outlineLevel="0" collapsed="false">
      <c r="A321" s="18" t="s">
        <v>26</v>
      </c>
      <c r="B321" s="8" t="s">
        <v>27</v>
      </c>
      <c r="C321" s="9" t="n">
        <v>46233</v>
      </c>
      <c r="D321" s="8" t="n">
        <v>2026</v>
      </c>
      <c r="E321" s="8" t="n">
        <v>31</v>
      </c>
      <c r="F321" s="18" t="s">
        <v>128</v>
      </c>
      <c r="G321" s="8" t="s">
        <v>119</v>
      </c>
      <c r="H321" s="19" t="n">
        <v>0.333333333333333</v>
      </c>
      <c r="I321" s="19" t="n">
        <v>0.33125</v>
      </c>
      <c r="J321" s="19" t="n">
        <v>0.75</v>
      </c>
      <c r="K321" s="19" t="n">
        <v>0.75</v>
      </c>
      <c r="L321" s="19" t="n">
        <v>0.375</v>
      </c>
      <c r="M321" s="19" t="n">
        <v>0.375</v>
      </c>
      <c r="N321" s="19" t="n">
        <v>0</v>
      </c>
      <c r="O321" s="19" t="n">
        <v>0.00208333333333333</v>
      </c>
      <c r="P321" s="17" t="n">
        <f aca="false">IF(AND(ISNUMBER(H321),ISNUMBER(I321)),MAX(0,ROUND((I321-H321)*1440,0)-'Bilan agents'!$C$4),0)</f>
        <v>0</v>
      </c>
      <c r="Q321" s="8" t="str">
        <f aca="false">IF(H321="Congé","CP",IF(H321="Férié","F",IF(H321="OFF","R",IF(N321&gt;0,"A",IF(ISNUMBER(I321),"P","NR")))))</f>
        <v>P</v>
      </c>
      <c r="R321" s="18"/>
    </row>
    <row r="322" customFormat="false" ht="15" hidden="false" customHeight="false" outlineLevel="0" collapsed="false">
      <c r="A322" s="18" t="s">
        <v>26</v>
      </c>
      <c r="B322" s="8" t="s">
        <v>27</v>
      </c>
      <c r="C322" s="9" t="n">
        <v>46234</v>
      </c>
      <c r="D322" s="8" t="n">
        <v>2026</v>
      </c>
      <c r="E322" s="8" t="n">
        <v>31</v>
      </c>
      <c r="F322" s="18" t="s">
        <v>128</v>
      </c>
      <c r="G322" s="8" t="s">
        <v>120</v>
      </c>
      <c r="H322" s="19" t="n">
        <v>0.333333333333333</v>
      </c>
      <c r="I322" s="19" t="n">
        <v>0.33125</v>
      </c>
      <c r="J322" s="19" t="n">
        <v>0.708333333333333</v>
      </c>
      <c r="K322" s="19" t="n">
        <v>0.708333333333333</v>
      </c>
      <c r="L322" s="19" t="n">
        <v>0.333333333333333</v>
      </c>
      <c r="M322" s="19" t="n">
        <v>0.333333333333333</v>
      </c>
      <c r="N322" s="19" t="n">
        <v>0</v>
      </c>
      <c r="O322" s="19" t="n">
        <v>0.00208333333333333</v>
      </c>
      <c r="P322" s="17" t="n">
        <f aca="false">IF(AND(ISNUMBER(H322),ISNUMBER(I322)),MAX(0,ROUND((I322-H322)*1440,0)-'Bilan agents'!$C$4),0)</f>
        <v>0</v>
      </c>
      <c r="Q322" s="8" t="str">
        <f aca="false">IF(H322="Congé","CP",IF(H322="Férié","F",IF(H322="OFF","R",IF(N322&gt;0,"A",IF(ISNUMBER(I322),"P","NR")))))</f>
        <v>P</v>
      </c>
      <c r="R322" s="18"/>
    </row>
    <row r="323" customFormat="false" ht="15" hidden="false" customHeight="false" outlineLevel="0" collapsed="false">
      <c r="A323" s="18" t="s">
        <v>26</v>
      </c>
      <c r="B323" s="8" t="s">
        <v>27</v>
      </c>
      <c r="C323" s="9" t="n">
        <v>46235</v>
      </c>
      <c r="D323" s="8" t="n">
        <v>2026</v>
      </c>
      <c r="E323" s="8" t="n">
        <v>31</v>
      </c>
      <c r="F323" s="18" t="s">
        <v>130</v>
      </c>
      <c r="G323" s="8" t="s">
        <v>121</v>
      </c>
      <c r="H323" s="19" t="s">
        <v>115</v>
      </c>
      <c r="I323" s="19"/>
      <c r="J323" s="19"/>
      <c r="K323" s="19"/>
      <c r="L323" s="19" t="n">
        <v>0</v>
      </c>
      <c r="M323" s="19"/>
      <c r="N323" s="19" t="n">
        <v>0</v>
      </c>
      <c r="O323" s="19" t="n">
        <v>0</v>
      </c>
      <c r="P323" s="17" t="n">
        <f aca="false">IF(AND(ISNUMBER(H323),ISNUMBER(I323)),MAX(0,ROUND((I323-H323)*1440,0)-'Bilan agents'!$C$4),0)</f>
        <v>0</v>
      </c>
      <c r="Q323" s="8" t="str">
        <f aca="false">IF(H323="Congé","CP",IF(H323="Férié","F",IF(H323="OFF","R",IF(N323&gt;0,"A",IF(ISNUMBER(I323),"P","NR")))))</f>
        <v>R</v>
      </c>
      <c r="R323" s="18"/>
    </row>
    <row r="324" customFormat="false" ht="15" hidden="false" customHeight="false" outlineLevel="0" collapsed="false">
      <c r="A324" s="18" t="s">
        <v>26</v>
      </c>
      <c r="B324" s="8" t="s">
        <v>27</v>
      </c>
      <c r="C324" s="9" t="n">
        <v>46236</v>
      </c>
      <c r="D324" s="8" t="n">
        <v>2026</v>
      </c>
      <c r="E324" s="8" t="n">
        <v>31</v>
      </c>
      <c r="F324" s="18" t="s">
        <v>130</v>
      </c>
      <c r="G324" s="8" t="s">
        <v>114</v>
      </c>
      <c r="H324" s="19" t="s">
        <v>115</v>
      </c>
      <c r="I324" s="19"/>
      <c r="J324" s="19"/>
      <c r="K324" s="19"/>
      <c r="L324" s="19" t="n">
        <v>0</v>
      </c>
      <c r="M324" s="19"/>
      <c r="N324" s="19" t="n">
        <v>0</v>
      </c>
      <c r="O324" s="19" t="n">
        <v>0</v>
      </c>
      <c r="P324" s="17" t="n">
        <f aca="false">IF(AND(ISNUMBER(H324),ISNUMBER(I324)),MAX(0,ROUND((I324-H324)*1440,0)-'Bilan agents'!$C$4),0)</f>
        <v>0</v>
      </c>
      <c r="Q324" s="8" t="str">
        <f aca="false">IF(H324="Congé","CP",IF(H324="Férié","F",IF(H324="OFF","R",IF(N324&gt;0,"A",IF(ISNUMBER(I324),"P","NR")))))</f>
        <v>R</v>
      </c>
      <c r="R324" s="18"/>
    </row>
    <row r="325" customFormat="false" ht="15" hidden="false" customHeight="false" outlineLevel="0" collapsed="false">
      <c r="A325" s="18" t="s">
        <v>26</v>
      </c>
      <c r="B325" s="8" t="s">
        <v>27</v>
      </c>
      <c r="C325" s="9" t="n">
        <v>46237</v>
      </c>
      <c r="D325" s="8" t="n">
        <v>2026</v>
      </c>
      <c r="E325" s="8" t="n">
        <v>32</v>
      </c>
      <c r="F325" s="18" t="s">
        <v>130</v>
      </c>
      <c r="G325" s="8" t="s">
        <v>116</v>
      </c>
      <c r="H325" s="19" t="n">
        <v>0.333333333333333</v>
      </c>
      <c r="I325" s="19" t="n">
        <v>0.33125</v>
      </c>
      <c r="J325" s="19" t="n">
        <v>0.75</v>
      </c>
      <c r="K325" s="19" t="n">
        <v>0.75</v>
      </c>
      <c r="L325" s="19" t="n">
        <v>0.375</v>
      </c>
      <c r="M325" s="19" t="n">
        <v>0.375</v>
      </c>
      <c r="N325" s="19" t="n">
        <v>0</v>
      </c>
      <c r="O325" s="19" t="n">
        <v>0.00208333333333333</v>
      </c>
      <c r="P325" s="17" t="n">
        <f aca="false">IF(AND(ISNUMBER(H325),ISNUMBER(I325)),MAX(0,ROUND((I325-H325)*1440,0)-'Bilan agents'!$C$4),0)</f>
        <v>0</v>
      </c>
      <c r="Q325" s="8" t="str">
        <f aca="false">IF(H325="Congé","CP",IF(H325="Férié","F",IF(H325="OFF","R",IF(N325&gt;0,"A",IF(ISNUMBER(I325),"P","NR")))))</f>
        <v>P</v>
      </c>
      <c r="R325" s="18"/>
    </row>
    <row r="326" customFormat="false" ht="15" hidden="false" customHeight="false" outlineLevel="0" collapsed="false">
      <c r="A326" s="18" t="s">
        <v>26</v>
      </c>
      <c r="B326" s="8" t="s">
        <v>27</v>
      </c>
      <c r="C326" s="9" t="n">
        <v>46238</v>
      </c>
      <c r="D326" s="8" t="n">
        <v>2026</v>
      </c>
      <c r="E326" s="8" t="n">
        <v>32</v>
      </c>
      <c r="F326" s="18" t="s">
        <v>130</v>
      </c>
      <c r="G326" s="8" t="s">
        <v>117</v>
      </c>
      <c r="H326" s="19" t="n">
        <v>0.333333333333333</v>
      </c>
      <c r="I326" s="19" t="n">
        <v>0.330555555555556</v>
      </c>
      <c r="J326" s="19" t="n">
        <v>0.75</v>
      </c>
      <c r="K326" s="19" t="n">
        <v>0.75</v>
      </c>
      <c r="L326" s="19" t="n">
        <v>0.375</v>
      </c>
      <c r="M326" s="19" t="n">
        <v>0.375</v>
      </c>
      <c r="N326" s="19" t="n">
        <v>0</v>
      </c>
      <c r="O326" s="19" t="n">
        <v>0.00277777777777778</v>
      </c>
      <c r="P326" s="17" t="n">
        <f aca="false">IF(AND(ISNUMBER(H326),ISNUMBER(I326)),MAX(0,ROUND((I326-H326)*1440,0)-'Bilan agents'!$C$4),0)</f>
        <v>0</v>
      </c>
      <c r="Q326" s="8" t="str">
        <f aca="false">IF(H326="Congé","CP",IF(H326="Férié","F",IF(H326="OFF","R",IF(N326&gt;0,"A",IF(ISNUMBER(I326),"P","NR")))))</f>
        <v>P</v>
      </c>
      <c r="R326" s="18"/>
    </row>
    <row r="327" customFormat="false" ht="15" hidden="false" customHeight="false" outlineLevel="0" collapsed="false">
      <c r="A327" s="18" t="s">
        <v>26</v>
      </c>
      <c r="B327" s="8" t="s">
        <v>27</v>
      </c>
      <c r="C327" s="9" t="n">
        <v>46239</v>
      </c>
      <c r="D327" s="8" t="n">
        <v>2026</v>
      </c>
      <c r="E327" s="8" t="n">
        <v>32</v>
      </c>
      <c r="F327" s="18" t="s">
        <v>130</v>
      </c>
      <c r="G327" s="8" t="s">
        <v>118</v>
      </c>
      <c r="H327" s="19" t="n">
        <v>0.333333333333333</v>
      </c>
      <c r="I327" s="19" t="n">
        <v>0.33125</v>
      </c>
      <c r="J327" s="19" t="n">
        <v>0.75</v>
      </c>
      <c r="K327" s="19" t="n">
        <v>0.75</v>
      </c>
      <c r="L327" s="19" t="n">
        <v>0.375</v>
      </c>
      <c r="M327" s="19" t="n">
        <v>0.375</v>
      </c>
      <c r="N327" s="19" t="n">
        <v>0</v>
      </c>
      <c r="O327" s="19" t="n">
        <v>0.00208333333333333</v>
      </c>
      <c r="P327" s="17" t="n">
        <f aca="false">IF(AND(ISNUMBER(H327),ISNUMBER(I327)),MAX(0,ROUND((I327-H327)*1440,0)-'Bilan agents'!$C$4),0)</f>
        <v>0</v>
      </c>
      <c r="Q327" s="8" t="str">
        <f aca="false">IF(H327="Congé","CP",IF(H327="Férié","F",IF(H327="OFF","R",IF(N327&gt;0,"A",IF(ISNUMBER(I327),"P","NR")))))</f>
        <v>P</v>
      </c>
      <c r="R327" s="18"/>
    </row>
    <row r="328" customFormat="false" ht="15" hidden="false" customHeight="false" outlineLevel="0" collapsed="false">
      <c r="A328" s="18" t="s">
        <v>26</v>
      </c>
      <c r="B328" s="8" t="s">
        <v>27</v>
      </c>
      <c r="C328" s="9" t="n">
        <v>46240</v>
      </c>
      <c r="D328" s="8" t="n">
        <v>2026</v>
      </c>
      <c r="E328" s="8" t="n">
        <v>32</v>
      </c>
      <c r="F328" s="18" t="s">
        <v>130</v>
      </c>
      <c r="G328" s="8" t="s">
        <v>119</v>
      </c>
      <c r="H328" s="19" t="n">
        <v>0.333333333333333</v>
      </c>
      <c r="I328" s="19" t="n">
        <v>0.33125</v>
      </c>
      <c r="J328" s="19" t="n">
        <v>0.75</v>
      </c>
      <c r="K328" s="19" t="n">
        <v>0.75</v>
      </c>
      <c r="L328" s="19" t="n">
        <v>0.375</v>
      </c>
      <c r="M328" s="19" t="n">
        <v>0.375</v>
      </c>
      <c r="N328" s="19" t="n">
        <v>0</v>
      </c>
      <c r="O328" s="19" t="n">
        <v>0.00208333333333333</v>
      </c>
      <c r="P328" s="17" t="n">
        <f aca="false">IF(AND(ISNUMBER(H328),ISNUMBER(I328)),MAX(0,ROUND((I328-H328)*1440,0)-'Bilan agents'!$C$4),0)</f>
        <v>0</v>
      </c>
      <c r="Q328" s="8" t="str">
        <f aca="false">IF(H328="Congé","CP",IF(H328="Férié","F",IF(H328="OFF","R",IF(N328&gt;0,"A",IF(ISNUMBER(I328),"P","NR")))))</f>
        <v>P</v>
      </c>
      <c r="R328" s="18"/>
    </row>
    <row r="329" customFormat="false" ht="15" hidden="false" customHeight="false" outlineLevel="0" collapsed="false">
      <c r="A329" s="18" t="s">
        <v>26</v>
      </c>
      <c r="B329" s="8" t="s">
        <v>27</v>
      </c>
      <c r="C329" s="9" t="n">
        <v>46241</v>
      </c>
      <c r="D329" s="8" t="n">
        <v>2026</v>
      </c>
      <c r="E329" s="8" t="n">
        <v>32</v>
      </c>
      <c r="F329" s="18" t="s">
        <v>130</v>
      </c>
      <c r="G329" s="8" t="s">
        <v>120</v>
      </c>
      <c r="H329" s="19" t="n">
        <v>0.333333333333333</v>
      </c>
      <c r="I329" s="19" t="n">
        <v>0.333333333333333</v>
      </c>
      <c r="J329" s="19" t="n">
        <v>0.708333333333333</v>
      </c>
      <c r="K329" s="19" t="n">
        <v>0.708333333333333</v>
      </c>
      <c r="L329" s="19" t="n">
        <v>0.333333333333333</v>
      </c>
      <c r="M329" s="19" t="n">
        <v>0.333333333333333</v>
      </c>
      <c r="N329" s="19" t="n">
        <v>0</v>
      </c>
      <c r="O329" s="19" t="n">
        <v>0</v>
      </c>
      <c r="P329" s="17" t="n">
        <f aca="false">IF(AND(ISNUMBER(H329),ISNUMBER(I329)),MAX(0,ROUND((I329-H329)*1440,0)-'Bilan agents'!$C$4),0)</f>
        <v>0</v>
      </c>
      <c r="Q329" s="8" t="str">
        <f aca="false">IF(H329="Congé","CP",IF(H329="Férié","F",IF(H329="OFF","R",IF(N329&gt;0,"A",IF(ISNUMBER(I329),"P","NR")))))</f>
        <v>P</v>
      </c>
      <c r="R329" s="18"/>
    </row>
    <row r="330" customFormat="false" ht="15" hidden="false" customHeight="false" outlineLevel="0" collapsed="false">
      <c r="A330" s="18" t="s">
        <v>26</v>
      </c>
      <c r="B330" s="8" t="s">
        <v>27</v>
      </c>
      <c r="C330" s="9" t="n">
        <v>46242</v>
      </c>
      <c r="D330" s="8" t="n">
        <v>2026</v>
      </c>
      <c r="E330" s="8" t="n">
        <v>32</v>
      </c>
      <c r="F330" s="18" t="s">
        <v>130</v>
      </c>
      <c r="G330" s="8" t="s">
        <v>121</v>
      </c>
      <c r="H330" s="19" t="s">
        <v>115</v>
      </c>
      <c r="I330" s="19"/>
      <c r="J330" s="19"/>
      <c r="K330" s="19"/>
      <c r="L330" s="19" t="n">
        <v>0</v>
      </c>
      <c r="M330" s="19"/>
      <c r="N330" s="19" t="n">
        <v>0</v>
      </c>
      <c r="O330" s="19" t="n">
        <v>0</v>
      </c>
      <c r="P330" s="17" t="n">
        <f aca="false">IF(AND(ISNUMBER(H330),ISNUMBER(I330)),MAX(0,ROUND((I330-H330)*1440,0)-'Bilan agents'!$C$4),0)</f>
        <v>0</v>
      </c>
      <c r="Q330" s="8" t="str">
        <f aca="false">IF(H330="Congé","CP",IF(H330="Férié","F",IF(H330="OFF","R",IF(N330&gt;0,"A",IF(ISNUMBER(I330),"P","NR")))))</f>
        <v>R</v>
      </c>
      <c r="R330" s="18"/>
    </row>
    <row r="331" customFormat="false" ht="15" hidden="false" customHeight="false" outlineLevel="0" collapsed="false">
      <c r="A331" s="18" t="s">
        <v>26</v>
      </c>
      <c r="B331" s="8" t="s">
        <v>27</v>
      </c>
      <c r="C331" s="9" t="n">
        <v>46243</v>
      </c>
      <c r="D331" s="8" t="n">
        <v>2026</v>
      </c>
      <c r="E331" s="8" t="n">
        <v>32</v>
      </c>
      <c r="F331" s="18" t="s">
        <v>130</v>
      </c>
      <c r="G331" s="8" t="s">
        <v>114</v>
      </c>
      <c r="H331" s="19" t="s">
        <v>115</v>
      </c>
      <c r="I331" s="19"/>
      <c r="J331" s="19"/>
      <c r="K331" s="19"/>
      <c r="L331" s="19" t="n">
        <v>0</v>
      </c>
      <c r="M331" s="19"/>
      <c r="N331" s="19" t="n">
        <v>0</v>
      </c>
      <c r="O331" s="19" t="n">
        <v>0</v>
      </c>
      <c r="P331" s="17" t="n">
        <f aca="false">IF(AND(ISNUMBER(H331),ISNUMBER(I331)),MAX(0,ROUND((I331-H331)*1440,0)-'Bilan agents'!$C$4),0)</f>
        <v>0</v>
      </c>
      <c r="Q331" s="8" t="str">
        <f aca="false">IF(H331="Congé","CP",IF(H331="Férié","F",IF(H331="OFF","R",IF(N331&gt;0,"A",IF(ISNUMBER(I331),"P","NR")))))</f>
        <v>R</v>
      </c>
      <c r="R331" s="18"/>
    </row>
    <row r="332" customFormat="false" ht="15" hidden="false" customHeight="false" outlineLevel="0" collapsed="false">
      <c r="A332" s="18" t="s">
        <v>26</v>
      </c>
      <c r="B332" s="8" t="s">
        <v>27</v>
      </c>
      <c r="C332" s="9" t="n">
        <v>46244</v>
      </c>
      <c r="D332" s="8" t="n">
        <v>2026</v>
      </c>
      <c r="E332" s="8" t="n">
        <v>33</v>
      </c>
      <c r="F332" s="18" t="s">
        <v>130</v>
      </c>
      <c r="G332" s="8" t="s">
        <v>116</v>
      </c>
      <c r="H332" s="19" t="n">
        <v>0.333333333333333</v>
      </c>
      <c r="I332" s="19" t="n">
        <v>0.33125</v>
      </c>
      <c r="J332" s="19" t="n">
        <v>0.75</v>
      </c>
      <c r="K332" s="19" t="n">
        <v>0.75</v>
      </c>
      <c r="L332" s="19" t="n">
        <v>0.375</v>
      </c>
      <c r="M332" s="19" t="n">
        <v>0.375</v>
      </c>
      <c r="N332" s="19" t="n">
        <v>0</v>
      </c>
      <c r="O332" s="19" t="n">
        <v>0.00208333333333333</v>
      </c>
      <c r="P332" s="17" t="n">
        <f aca="false">IF(AND(ISNUMBER(H332),ISNUMBER(I332)),MAX(0,ROUND((I332-H332)*1440,0)-'Bilan agents'!$C$4),0)</f>
        <v>0</v>
      </c>
      <c r="Q332" s="8" t="str">
        <f aca="false">IF(H332="Congé","CP",IF(H332="Férié","F",IF(H332="OFF","R",IF(N332&gt;0,"A",IF(ISNUMBER(I332),"P","NR")))))</f>
        <v>P</v>
      </c>
      <c r="R332" s="18"/>
    </row>
    <row r="333" customFormat="false" ht="15" hidden="false" customHeight="false" outlineLevel="0" collapsed="false">
      <c r="A333" s="18" t="s">
        <v>26</v>
      </c>
      <c r="B333" s="8" t="s">
        <v>27</v>
      </c>
      <c r="C333" s="9" t="n">
        <v>46245</v>
      </c>
      <c r="D333" s="8" t="n">
        <v>2026</v>
      </c>
      <c r="E333" s="8" t="n">
        <v>33</v>
      </c>
      <c r="F333" s="18" t="s">
        <v>130</v>
      </c>
      <c r="G333" s="8" t="s">
        <v>117</v>
      </c>
      <c r="H333" s="19" t="n">
        <v>0.333333333333333</v>
      </c>
      <c r="I333" s="19" t="n">
        <v>0.331944444444444</v>
      </c>
      <c r="J333" s="19" t="n">
        <v>0.75</v>
      </c>
      <c r="K333" s="19" t="n">
        <v>0.75</v>
      </c>
      <c r="L333" s="19" t="n">
        <v>0.375</v>
      </c>
      <c r="M333" s="19" t="n">
        <v>0.375</v>
      </c>
      <c r="N333" s="19" t="n">
        <v>0</v>
      </c>
      <c r="O333" s="19" t="n">
        <v>0.00138888888888889</v>
      </c>
      <c r="P333" s="17" t="n">
        <f aca="false">IF(AND(ISNUMBER(H333),ISNUMBER(I333)),MAX(0,ROUND((I333-H333)*1440,0)-'Bilan agents'!$C$4),0)</f>
        <v>0</v>
      </c>
      <c r="Q333" s="8" t="str">
        <f aca="false">IF(H333="Congé","CP",IF(H333="Férié","F",IF(H333="OFF","R",IF(N333&gt;0,"A",IF(ISNUMBER(I333),"P","NR")))))</f>
        <v>P</v>
      </c>
      <c r="R333" s="18"/>
    </row>
    <row r="334" customFormat="false" ht="15" hidden="false" customHeight="false" outlineLevel="0" collapsed="false">
      <c r="A334" s="18" t="s">
        <v>26</v>
      </c>
      <c r="B334" s="8" t="s">
        <v>27</v>
      </c>
      <c r="C334" s="9" t="n">
        <v>46246</v>
      </c>
      <c r="D334" s="8" t="n">
        <v>2026</v>
      </c>
      <c r="E334" s="8" t="n">
        <v>33</v>
      </c>
      <c r="F334" s="18" t="s">
        <v>130</v>
      </c>
      <c r="G334" s="8" t="s">
        <v>118</v>
      </c>
      <c r="H334" s="19" t="n">
        <v>0.333333333333333</v>
      </c>
      <c r="I334" s="19" t="n">
        <v>0.330555555555556</v>
      </c>
      <c r="J334" s="19" t="n">
        <v>0.75</v>
      </c>
      <c r="K334" s="19" t="n">
        <v>0.75</v>
      </c>
      <c r="L334" s="19" t="n">
        <v>0.375</v>
      </c>
      <c r="M334" s="19" t="n">
        <v>0.375</v>
      </c>
      <c r="N334" s="19" t="n">
        <v>0</v>
      </c>
      <c r="O334" s="19" t="n">
        <v>0.00277777777777778</v>
      </c>
      <c r="P334" s="17" t="n">
        <f aca="false">IF(AND(ISNUMBER(H334),ISNUMBER(I334)),MAX(0,ROUND((I334-H334)*1440,0)-'Bilan agents'!$C$4),0)</f>
        <v>0</v>
      </c>
      <c r="Q334" s="8" t="str">
        <f aca="false">IF(H334="Congé","CP",IF(H334="Férié","F",IF(H334="OFF","R",IF(N334&gt;0,"A",IF(ISNUMBER(I334),"P","NR")))))</f>
        <v>P</v>
      </c>
      <c r="R334" s="18"/>
    </row>
    <row r="335" customFormat="false" ht="15" hidden="false" customHeight="false" outlineLevel="0" collapsed="false">
      <c r="A335" s="18" t="s">
        <v>26</v>
      </c>
      <c r="B335" s="8" t="s">
        <v>27</v>
      </c>
      <c r="C335" s="9" t="n">
        <v>46247</v>
      </c>
      <c r="D335" s="8" t="n">
        <v>2026</v>
      </c>
      <c r="E335" s="8" t="n">
        <v>33</v>
      </c>
      <c r="F335" s="18" t="s">
        <v>130</v>
      </c>
      <c r="G335" s="8" t="s">
        <v>119</v>
      </c>
      <c r="H335" s="19" t="n">
        <v>0.333333333333333</v>
      </c>
      <c r="I335" s="19" t="n">
        <v>0.33125</v>
      </c>
      <c r="J335" s="19" t="n">
        <v>0.75</v>
      </c>
      <c r="K335" s="19" t="n">
        <v>0.75</v>
      </c>
      <c r="L335" s="19" t="n">
        <v>0.375</v>
      </c>
      <c r="M335" s="19" t="n">
        <v>0.375</v>
      </c>
      <c r="N335" s="19" t="n">
        <v>0</v>
      </c>
      <c r="O335" s="19" t="n">
        <v>0.00208333333333333</v>
      </c>
      <c r="P335" s="17" t="n">
        <f aca="false">IF(AND(ISNUMBER(H335),ISNUMBER(I335)),MAX(0,ROUND((I335-H335)*1440,0)-'Bilan agents'!$C$4),0)</f>
        <v>0</v>
      </c>
      <c r="Q335" s="8" t="str">
        <f aca="false">IF(H335="Congé","CP",IF(H335="Férié","F",IF(H335="OFF","R",IF(N335&gt;0,"A",IF(ISNUMBER(I335),"P","NR")))))</f>
        <v>P</v>
      </c>
      <c r="R335" s="18"/>
    </row>
    <row r="336" customFormat="false" ht="15" hidden="false" customHeight="false" outlineLevel="0" collapsed="false">
      <c r="A336" s="18" t="s">
        <v>26</v>
      </c>
      <c r="B336" s="8" t="s">
        <v>27</v>
      </c>
      <c r="C336" s="9" t="n">
        <v>46248</v>
      </c>
      <c r="D336" s="8" t="n">
        <v>2026</v>
      </c>
      <c r="E336" s="8" t="n">
        <v>33</v>
      </c>
      <c r="F336" s="18" t="s">
        <v>130</v>
      </c>
      <c r="G336" s="8" t="s">
        <v>120</v>
      </c>
      <c r="H336" s="19" t="n">
        <v>0.333333333333333</v>
      </c>
      <c r="I336" s="19" t="n">
        <v>0.331944444444444</v>
      </c>
      <c r="J336" s="19" t="n">
        <v>0.708333333333333</v>
      </c>
      <c r="K336" s="19" t="n">
        <v>0.708333333333333</v>
      </c>
      <c r="L336" s="19" t="n">
        <v>0.333333333333333</v>
      </c>
      <c r="M336" s="19" t="n">
        <v>0.333333333333333</v>
      </c>
      <c r="N336" s="19" t="n">
        <v>0</v>
      </c>
      <c r="O336" s="19" t="n">
        <v>0.00138888888888889</v>
      </c>
      <c r="P336" s="17" t="n">
        <f aca="false">IF(AND(ISNUMBER(H336),ISNUMBER(I336)),MAX(0,ROUND((I336-H336)*1440,0)-'Bilan agents'!$C$4),0)</f>
        <v>0</v>
      </c>
      <c r="Q336" s="8" t="str">
        <f aca="false">IF(H336="Congé","CP",IF(H336="Férié","F",IF(H336="OFF","R",IF(N336&gt;0,"A",IF(ISNUMBER(I336),"P","NR")))))</f>
        <v>P</v>
      </c>
      <c r="R336" s="18"/>
    </row>
    <row r="337" customFormat="false" ht="15" hidden="false" customHeight="false" outlineLevel="0" collapsed="false">
      <c r="A337" s="18" t="s">
        <v>26</v>
      </c>
      <c r="B337" s="8" t="s">
        <v>27</v>
      </c>
      <c r="C337" s="9" t="n">
        <v>46249</v>
      </c>
      <c r="D337" s="8" t="n">
        <v>2026</v>
      </c>
      <c r="E337" s="8" t="n">
        <v>33</v>
      </c>
      <c r="F337" s="18" t="s">
        <v>130</v>
      </c>
      <c r="G337" s="8" t="s">
        <v>121</v>
      </c>
      <c r="H337" s="19" t="s">
        <v>115</v>
      </c>
      <c r="I337" s="19"/>
      <c r="J337" s="19"/>
      <c r="K337" s="19"/>
      <c r="L337" s="19" t="n">
        <v>0</v>
      </c>
      <c r="M337" s="19"/>
      <c r="N337" s="19" t="n">
        <v>0</v>
      </c>
      <c r="O337" s="19" t="n">
        <v>0</v>
      </c>
      <c r="P337" s="17" t="n">
        <f aca="false">IF(AND(ISNUMBER(H337),ISNUMBER(I337)),MAX(0,ROUND((I337-H337)*1440,0)-'Bilan agents'!$C$4),0)</f>
        <v>0</v>
      </c>
      <c r="Q337" s="8" t="str">
        <f aca="false">IF(H337="Congé","CP",IF(H337="Férié","F",IF(H337="OFF","R",IF(N337&gt;0,"A",IF(ISNUMBER(I337),"P","NR")))))</f>
        <v>R</v>
      </c>
      <c r="R337" s="18"/>
    </row>
    <row r="338" customFormat="false" ht="15" hidden="false" customHeight="false" outlineLevel="0" collapsed="false">
      <c r="A338" s="18" t="s">
        <v>26</v>
      </c>
      <c r="B338" s="8" t="s">
        <v>27</v>
      </c>
      <c r="C338" s="9" t="n">
        <v>46250</v>
      </c>
      <c r="D338" s="8" t="n">
        <v>2026</v>
      </c>
      <c r="E338" s="8" t="n">
        <v>33</v>
      </c>
      <c r="F338" s="18" t="s">
        <v>130</v>
      </c>
      <c r="G338" s="8" t="s">
        <v>114</v>
      </c>
      <c r="H338" s="19" t="s">
        <v>115</v>
      </c>
      <c r="I338" s="19"/>
      <c r="J338" s="19"/>
      <c r="K338" s="19"/>
      <c r="L338" s="19" t="n">
        <v>0</v>
      </c>
      <c r="M338" s="19"/>
      <c r="N338" s="19" t="n">
        <v>0</v>
      </c>
      <c r="O338" s="19" t="n">
        <v>0</v>
      </c>
      <c r="P338" s="17" t="n">
        <f aca="false">IF(AND(ISNUMBER(H338),ISNUMBER(I338)),MAX(0,ROUND((I338-H338)*1440,0)-'Bilan agents'!$C$4),0)</f>
        <v>0</v>
      </c>
      <c r="Q338" s="8" t="str">
        <f aca="false">IF(H338="Congé","CP",IF(H338="Férié","F",IF(H338="OFF","R",IF(N338&gt;0,"A",IF(ISNUMBER(I338),"P","NR")))))</f>
        <v>R</v>
      </c>
      <c r="R338" s="18"/>
    </row>
    <row r="339" customFormat="false" ht="15" hidden="false" customHeight="false" outlineLevel="0" collapsed="false">
      <c r="A339" s="18" t="s">
        <v>26</v>
      </c>
      <c r="B339" s="8" t="s">
        <v>27</v>
      </c>
      <c r="C339" s="9" t="n">
        <v>46251</v>
      </c>
      <c r="D339" s="8" t="n">
        <v>2026</v>
      </c>
      <c r="E339" s="8" t="n">
        <v>34</v>
      </c>
      <c r="F339" s="18" t="s">
        <v>130</v>
      </c>
      <c r="G339" s="8" t="s">
        <v>116</v>
      </c>
      <c r="H339" s="19" t="n">
        <v>0.333333333333333</v>
      </c>
      <c r="I339" s="19" t="n">
        <v>0.331944444444444</v>
      </c>
      <c r="J339" s="19" t="n">
        <v>0.75</v>
      </c>
      <c r="K339" s="19" t="n">
        <v>0.75</v>
      </c>
      <c r="L339" s="19" t="n">
        <v>0.375</v>
      </c>
      <c r="M339" s="19" t="n">
        <v>0.375</v>
      </c>
      <c r="N339" s="19" t="n">
        <v>0</v>
      </c>
      <c r="O339" s="19" t="n">
        <v>0.00138888888888889</v>
      </c>
      <c r="P339" s="17" t="n">
        <f aca="false">IF(AND(ISNUMBER(H339),ISNUMBER(I339)),MAX(0,ROUND((I339-H339)*1440,0)-'Bilan agents'!$C$4),0)</f>
        <v>0</v>
      </c>
      <c r="Q339" s="8" t="str">
        <f aca="false">IF(H339="Congé","CP",IF(H339="Férié","F",IF(H339="OFF","R",IF(N339&gt;0,"A",IF(ISNUMBER(I339),"P","NR")))))</f>
        <v>P</v>
      </c>
      <c r="R339" s="18"/>
    </row>
    <row r="340" customFormat="false" ht="15" hidden="false" customHeight="false" outlineLevel="0" collapsed="false">
      <c r="A340" s="18" t="s">
        <v>26</v>
      </c>
      <c r="B340" s="8" t="s">
        <v>27</v>
      </c>
      <c r="C340" s="9" t="n">
        <v>46252</v>
      </c>
      <c r="D340" s="8" t="n">
        <v>2026</v>
      </c>
      <c r="E340" s="8" t="n">
        <v>34</v>
      </c>
      <c r="F340" s="18" t="s">
        <v>130</v>
      </c>
      <c r="G340" s="8" t="s">
        <v>117</v>
      </c>
      <c r="H340" s="19" t="n">
        <v>0.333333333333333</v>
      </c>
      <c r="I340" s="19" t="n">
        <v>0.33125</v>
      </c>
      <c r="J340" s="19" t="n">
        <v>0.75</v>
      </c>
      <c r="K340" s="19" t="n">
        <v>0.75</v>
      </c>
      <c r="L340" s="19" t="n">
        <v>0.375</v>
      </c>
      <c r="M340" s="19" t="n">
        <v>0.375</v>
      </c>
      <c r="N340" s="19" t="n">
        <v>0</v>
      </c>
      <c r="O340" s="19" t="n">
        <v>0.00208333333333333</v>
      </c>
      <c r="P340" s="17" t="n">
        <f aca="false">IF(AND(ISNUMBER(H340),ISNUMBER(I340)),MAX(0,ROUND((I340-H340)*1440,0)-'Bilan agents'!$C$4),0)</f>
        <v>0</v>
      </c>
      <c r="Q340" s="8" t="str">
        <f aca="false">IF(H340="Congé","CP",IF(H340="Férié","F",IF(H340="OFF","R",IF(N340&gt;0,"A",IF(ISNUMBER(I340),"P","NR")))))</f>
        <v>P</v>
      </c>
      <c r="R340" s="18"/>
    </row>
    <row r="341" customFormat="false" ht="15" hidden="false" customHeight="false" outlineLevel="0" collapsed="false">
      <c r="A341" s="18" t="s">
        <v>26</v>
      </c>
      <c r="B341" s="8" t="s">
        <v>27</v>
      </c>
      <c r="C341" s="9" t="n">
        <v>46253</v>
      </c>
      <c r="D341" s="8" t="n">
        <v>2026</v>
      </c>
      <c r="E341" s="8" t="n">
        <v>34</v>
      </c>
      <c r="F341" s="18" t="s">
        <v>130</v>
      </c>
      <c r="G341" s="8" t="s">
        <v>118</v>
      </c>
      <c r="H341" s="19" t="n">
        <v>0.333333333333333</v>
      </c>
      <c r="I341" s="19" t="n">
        <v>0.333333333333333</v>
      </c>
      <c r="J341" s="19" t="n">
        <v>0.75</v>
      </c>
      <c r="K341" s="19" t="n">
        <v>0.75</v>
      </c>
      <c r="L341" s="19" t="n">
        <v>0.375</v>
      </c>
      <c r="M341" s="19" t="n">
        <v>0.375</v>
      </c>
      <c r="N341" s="19" t="n">
        <v>0</v>
      </c>
      <c r="O341" s="19" t="n">
        <v>0</v>
      </c>
      <c r="P341" s="17" t="n">
        <f aca="false">IF(AND(ISNUMBER(H341),ISNUMBER(I341)),MAX(0,ROUND((I341-H341)*1440,0)-'Bilan agents'!$C$4),0)</f>
        <v>0</v>
      </c>
      <c r="Q341" s="8" t="str">
        <f aca="false">IF(H341="Congé","CP",IF(H341="Férié","F",IF(H341="OFF","R",IF(N341&gt;0,"A",IF(ISNUMBER(I341),"P","NR")))))</f>
        <v>P</v>
      </c>
      <c r="R341" s="18"/>
    </row>
    <row r="342" customFormat="false" ht="15" hidden="false" customHeight="false" outlineLevel="0" collapsed="false">
      <c r="A342" s="18" t="s">
        <v>26</v>
      </c>
      <c r="B342" s="8" t="s">
        <v>27</v>
      </c>
      <c r="C342" s="9" t="n">
        <v>46254</v>
      </c>
      <c r="D342" s="8" t="n">
        <v>2026</v>
      </c>
      <c r="E342" s="8" t="n">
        <v>34</v>
      </c>
      <c r="F342" s="18" t="s">
        <v>130</v>
      </c>
      <c r="G342" s="8" t="s">
        <v>119</v>
      </c>
      <c r="H342" s="19" t="n">
        <v>0.333333333333333</v>
      </c>
      <c r="I342" s="19" t="n">
        <v>0.333333333333333</v>
      </c>
      <c r="J342" s="19" t="n">
        <v>0.75</v>
      </c>
      <c r="K342" s="19" t="n">
        <v>0.75</v>
      </c>
      <c r="L342" s="19" t="n">
        <v>0.375</v>
      </c>
      <c r="M342" s="19" t="n">
        <v>0.375</v>
      </c>
      <c r="N342" s="19" t="n">
        <v>0</v>
      </c>
      <c r="O342" s="19" t="n">
        <v>0</v>
      </c>
      <c r="P342" s="17" t="n">
        <f aca="false">IF(AND(ISNUMBER(H342),ISNUMBER(I342)),MAX(0,ROUND((I342-H342)*1440,0)-'Bilan agents'!$C$4),0)</f>
        <v>0</v>
      </c>
      <c r="Q342" s="8" t="str">
        <f aca="false">IF(H342="Congé","CP",IF(H342="Férié","F",IF(H342="OFF","R",IF(N342&gt;0,"A",IF(ISNUMBER(I342),"P","NR")))))</f>
        <v>P</v>
      </c>
      <c r="R342" s="18"/>
    </row>
    <row r="343" customFormat="false" ht="15" hidden="false" customHeight="false" outlineLevel="0" collapsed="false">
      <c r="A343" s="18" t="s">
        <v>26</v>
      </c>
      <c r="B343" s="8" t="s">
        <v>27</v>
      </c>
      <c r="C343" s="9" t="n">
        <v>46255</v>
      </c>
      <c r="D343" s="8" t="n">
        <v>2026</v>
      </c>
      <c r="E343" s="8" t="n">
        <v>34</v>
      </c>
      <c r="F343" s="18" t="s">
        <v>130</v>
      </c>
      <c r="G343" s="8" t="s">
        <v>120</v>
      </c>
      <c r="H343" s="19" t="n">
        <v>0.333333333333333</v>
      </c>
      <c r="I343" s="19" t="n">
        <v>0.330555555555556</v>
      </c>
      <c r="J343" s="19" t="n">
        <v>0.708333333333333</v>
      </c>
      <c r="K343" s="19" t="n">
        <v>0.708333333333333</v>
      </c>
      <c r="L343" s="19" t="n">
        <v>0.333333333333333</v>
      </c>
      <c r="M343" s="19" t="n">
        <v>0.333333333333333</v>
      </c>
      <c r="N343" s="19" t="n">
        <v>0</v>
      </c>
      <c r="O343" s="19" t="n">
        <v>0.00277777777777778</v>
      </c>
      <c r="P343" s="17" t="n">
        <f aca="false">IF(AND(ISNUMBER(H343),ISNUMBER(I343)),MAX(0,ROUND((I343-H343)*1440,0)-'Bilan agents'!$C$4),0)</f>
        <v>0</v>
      </c>
      <c r="Q343" s="8" t="str">
        <f aca="false">IF(H343="Congé","CP",IF(H343="Férié","F",IF(H343="OFF","R",IF(N343&gt;0,"A",IF(ISNUMBER(I343),"P","NR")))))</f>
        <v>P</v>
      </c>
      <c r="R343" s="18"/>
    </row>
    <row r="344" customFormat="false" ht="15" hidden="false" customHeight="false" outlineLevel="0" collapsed="false">
      <c r="A344" s="18" t="s">
        <v>26</v>
      </c>
      <c r="B344" s="8" t="s">
        <v>27</v>
      </c>
      <c r="C344" s="9" t="n">
        <v>46256</v>
      </c>
      <c r="D344" s="8" t="n">
        <v>2026</v>
      </c>
      <c r="E344" s="8" t="n">
        <v>34</v>
      </c>
      <c r="F344" s="18" t="s">
        <v>130</v>
      </c>
      <c r="G344" s="8" t="s">
        <v>121</v>
      </c>
      <c r="H344" s="19" t="s">
        <v>115</v>
      </c>
      <c r="I344" s="19"/>
      <c r="J344" s="19"/>
      <c r="K344" s="19"/>
      <c r="L344" s="19" t="n">
        <v>0</v>
      </c>
      <c r="M344" s="19"/>
      <c r="N344" s="19" t="n">
        <v>0</v>
      </c>
      <c r="O344" s="19" t="n">
        <v>0</v>
      </c>
      <c r="P344" s="17" t="n">
        <f aca="false">IF(AND(ISNUMBER(H344),ISNUMBER(I344)),MAX(0,ROUND((I344-H344)*1440,0)-'Bilan agents'!$C$4),0)</f>
        <v>0</v>
      </c>
      <c r="Q344" s="8" t="str">
        <f aca="false">IF(H344="Congé","CP",IF(H344="Férié","F",IF(H344="OFF","R",IF(N344&gt;0,"A",IF(ISNUMBER(I344),"P","NR")))))</f>
        <v>R</v>
      </c>
      <c r="R344" s="18"/>
    </row>
    <row r="345" customFormat="false" ht="15" hidden="false" customHeight="false" outlineLevel="0" collapsed="false">
      <c r="A345" s="18" t="s">
        <v>26</v>
      </c>
      <c r="B345" s="8" t="s">
        <v>27</v>
      </c>
      <c r="C345" s="9" t="n">
        <v>46257</v>
      </c>
      <c r="D345" s="8" t="n">
        <v>2026</v>
      </c>
      <c r="E345" s="8" t="n">
        <v>34</v>
      </c>
      <c r="F345" s="18" t="s">
        <v>130</v>
      </c>
      <c r="G345" s="8" t="s">
        <v>114</v>
      </c>
      <c r="H345" s="19" t="s">
        <v>115</v>
      </c>
      <c r="I345" s="19"/>
      <c r="J345" s="19"/>
      <c r="K345" s="19"/>
      <c r="L345" s="19" t="n">
        <v>0</v>
      </c>
      <c r="M345" s="19"/>
      <c r="N345" s="19" t="n">
        <v>0</v>
      </c>
      <c r="O345" s="19" t="n">
        <v>0</v>
      </c>
      <c r="P345" s="17" t="n">
        <f aca="false">IF(AND(ISNUMBER(H345),ISNUMBER(I345)),MAX(0,ROUND((I345-H345)*1440,0)-'Bilan agents'!$C$4),0)</f>
        <v>0</v>
      </c>
      <c r="Q345" s="8" t="str">
        <f aca="false">IF(H345="Congé","CP",IF(H345="Férié","F",IF(H345="OFF","R",IF(N345&gt;0,"A",IF(ISNUMBER(I345),"P","NR")))))</f>
        <v>R</v>
      </c>
      <c r="R345" s="18"/>
    </row>
    <row r="346" customFormat="false" ht="15" hidden="false" customHeight="false" outlineLevel="0" collapsed="false">
      <c r="A346" s="18" t="s">
        <v>26</v>
      </c>
      <c r="B346" s="8" t="s">
        <v>27</v>
      </c>
      <c r="C346" s="9" t="n">
        <v>46258</v>
      </c>
      <c r="D346" s="8" t="n">
        <v>2026</v>
      </c>
      <c r="E346" s="8" t="n">
        <v>35</v>
      </c>
      <c r="F346" s="18" t="s">
        <v>130</v>
      </c>
      <c r="G346" s="8" t="s">
        <v>116</v>
      </c>
      <c r="H346" s="19" t="s">
        <v>43</v>
      </c>
      <c r="I346" s="19"/>
      <c r="J346" s="19"/>
      <c r="K346" s="19"/>
      <c r="L346" s="19" t="n">
        <v>0</v>
      </c>
      <c r="M346" s="19"/>
      <c r="N346" s="19" t="n">
        <v>0</v>
      </c>
      <c r="O346" s="19" t="n">
        <v>0</v>
      </c>
      <c r="P346" s="17" t="n">
        <f aca="false">IF(AND(ISNUMBER(H346),ISNUMBER(I346)),MAX(0,ROUND((I346-H346)*1440,0)-'Bilan agents'!$C$4),0)</f>
        <v>0</v>
      </c>
      <c r="Q346" s="8" t="str">
        <f aca="false">IF(H346="Congé","CP",IF(H346="Férié","F",IF(H346="OFF","R",IF(N346&gt;0,"A",IF(ISNUMBER(I346),"P","NR")))))</f>
        <v>CP</v>
      </c>
      <c r="R346" s="18"/>
    </row>
    <row r="347" customFormat="false" ht="15" hidden="false" customHeight="false" outlineLevel="0" collapsed="false">
      <c r="A347" s="18" t="s">
        <v>26</v>
      </c>
      <c r="B347" s="8" t="s">
        <v>27</v>
      </c>
      <c r="C347" s="9" t="n">
        <v>46259</v>
      </c>
      <c r="D347" s="8" t="n">
        <v>2026</v>
      </c>
      <c r="E347" s="8" t="n">
        <v>35</v>
      </c>
      <c r="F347" s="18" t="s">
        <v>130</v>
      </c>
      <c r="G347" s="8" t="s">
        <v>117</v>
      </c>
      <c r="H347" s="19" t="s">
        <v>45</v>
      </c>
      <c r="I347" s="19"/>
      <c r="J347" s="19"/>
      <c r="K347" s="19"/>
      <c r="L347" s="19" t="n">
        <v>0</v>
      </c>
      <c r="M347" s="19"/>
      <c r="N347" s="19" t="n">
        <v>0</v>
      </c>
      <c r="O347" s="19" t="n">
        <v>0</v>
      </c>
      <c r="P347" s="17" t="n">
        <f aca="false">IF(AND(ISNUMBER(H347),ISNUMBER(I347)),MAX(0,ROUND((I347-H347)*1440,0)-'Bilan agents'!$C$4),0)</f>
        <v>0</v>
      </c>
      <c r="Q347" s="8" t="str">
        <f aca="false">IF(H347="Congé","CP",IF(H347="Férié","F",IF(H347="OFF","R",IF(N347&gt;0,"A",IF(ISNUMBER(I347),"P","NR")))))</f>
        <v>F</v>
      </c>
      <c r="R347" s="18"/>
    </row>
    <row r="348" customFormat="false" ht="15" hidden="false" customHeight="false" outlineLevel="0" collapsed="false">
      <c r="A348" s="18" t="s">
        <v>26</v>
      </c>
      <c r="B348" s="8" t="s">
        <v>27</v>
      </c>
      <c r="C348" s="9" t="n">
        <v>46260</v>
      </c>
      <c r="D348" s="8" t="n">
        <v>2026</v>
      </c>
      <c r="E348" s="8" t="n">
        <v>35</v>
      </c>
      <c r="F348" s="18" t="s">
        <v>130</v>
      </c>
      <c r="G348" s="8" t="s">
        <v>118</v>
      </c>
      <c r="H348" s="19" t="s">
        <v>43</v>
      </c>
      <c r="I348" s="19"/>
      <c r="J348" s="19"/>
      <c r="K348" s="19"/>
      <c r="L348" s="19" t="n">
        <v>0</v>
      </c>
      <c r="M348" s="19"/>
      <c r="N348" s="19" t="n">
        <v>0</v>
      </c>
      <c r="O348" s="19" t="n">
        <v>0</v>
      </c>
      <c r="P348" s="17" t="n">
        <f aca="false">IF(AND(ISNUMBER(H348),ISNUMBER(I348)),MAX(0,ROUND((I348-H348)*1440,0)-'Bilan agents'!$C$4),0)</f>
        <v>0</v>
      </c>
      <c r="Q348" s="8" t="str">
        <f aca="false">IF(H348="Congé","CP",IF(H348="Férié","F",IF(H348="OFF","R",IF(N348&gt;0,"A",IF(ISNUMBER(I348),"P","NR")))))</f>
        <v>CP</v>
      </c>
      <c r="R348" s="18"/>
    </row>
    <row r="349" customFormat="false" ht="15" hidden="false" customHeight="false" outlineLevel="0" collapsed="false">
      <c r="A349" s="18" t="s">
        <v>26</v>
      </c>
      <c r="B349" s="8" t="s">
        <v>27</v>
      </c>
      <c r="C349" s="9" t="n">
        <v>46261</v>
      </c>
      <c r="D349" s="8" t="n">
        <v>2026</v>
      </c>
      <c r="E349" s="8" t="n">
        <v>35</v>
      </c>
      <c r="F349" s="18" t="s">
        <v>130</v>
      </c>
      <c r="G349" s="8" t="s">
        <v>119</v>
      </c>
      <c r="H349" s="19" t="s">
        <v>43</v>
      </c>
      <c r="I349" s="19"/>
      <c r="J349" s="19"/>
      <c r="K349" s="19"/>
      <c r="L349" s="19" t="n">
        <v>0</v>
      </c>
      <c r="M349" s="19"/>
      <c r="N349" s="19" t="n">
        <v>0</v>
      </c>
      <c r="O349" s="19" t="n">
        <v>0</v>
      </c>
      <c r="P349" s="17" t="n">
        <f aca="false">IF(AND(ISNUMBER(H349),ISNUMBER(I349)),MAX(0,ROUND((I349-H349)*1440,0)-'Bilan agents'!$C$4),0)</f>
        <v>0</v>
      </c>
      <c r="Q349" s="8" t="str">
        <f aca="false">IF(H349="Congé","CP",IF(H349="Férié","F",IF(H349="OFF","R",IF(N349&gt;0,"A",IF(ISNUMBER(I349),"P","NR")))))</f>
        <v>CP</v>
      </c>
      <c r="R349" s="18"/>
    </row>
    <row r="350" customFormat="false" ht="15" hidden="false" customHeight="false" outlineLevel="0" collapsed="false">
      <c r="A350" s="18" t="s">
        <v>26</v>
      </c>
      <c r="B350" s="8" t="s">
        <v>27</v>
      </c>
      <c r="C350" s="9" t="n">
        <v>46262</v>
      </c>
      <c r="D350" s="8" t="n">
        <v>2026</v>
      </c>
      <c r="E350" s="8" t="n">
        <v>35</v>
      </c>
      <c r="F350" s="18" t="s">
        <v>130</v>
      </c>
      <c r="G350" s="8" t="s">
        <v>120</v>
      </c>
      <c r="H350" s="19" t="s">
        <v>43</v>
      </c>
      <c r="I350" s="19"/>
      <c r="J350" s="19"/>
      <c r="K350" s="19"/>
      <c r="L350" s="19" t="n">
        <v>0</v>
      </c>
      <c r="M350" s="19"/>
      <c r="N350" s="19" t="n">
        <v>0</v>
      </c>
      <c r="O350" s="19" t="n">
        <v>0</v>
      </c>
      <c r="P350" s="17" t="n">
        <f aca="false">IF(AND(ISNUMBER(H350),ISNUMBER(I350)),MAX(0,ROUND((I350-H350)*1440,0)-'Bilan agents'!$C$4),0)</f>
        <v>0</v>
      </c>
      <c r="Q350" s="8" t="str">
        <f aca="false">IF(H350="Congé","CP",IF(H350="Férié","F",IF(H350="OFF","R",IF(N350&gt;0,"A",IF(ISNUMBER(I350),"P","NR")))))</f>
        <v>CP</v>
      </c>
      <c r="R350" s="18"/>
    </row>
    <row r="351" customFormat="false" ht="15" hidden="false" customHeight="false" outlineLevel="0" collapsed="false">
      <c r="A351" s="18" t="s">
        <v>26</v>
      </c>
      <c r="B351" s="8" t="s">
        <v>27</v>
      </c>
      <c r="C351" s="9" t="n">
        <v>46263</v>
      </c>
      <c r="D351" s="8" t="n">
        <v>2026</v>
      </c>
      <c r="E351" s="8" t="n">
        <v>35</v>
      </c>
      <c r="F351" s="18" t="s">
        <v>130</v>
      </c>
      <c r="G351" s="8" t="s">
        <v>121</v>
      </c>
      <c r="H351" s="19" t="s">
        <v>115</v>
      </c>
      <c r="I351" s="19"/>
      <c r="J351" s="19"/>
      <c r="K351" s="19"/>
      <c r="L351" s="19" t="n">
        <v>0</v>
      </c>
      <c r="M351" s="19"/>
      <c r="N351" s="19" t="n">
        <v>0</v>
      </c>
      <c r="O351" s="19" t="n">
        <v>0</v>
      </c>
      <c r="P351" s="17" t="n">
        <f aca="false">IF(AND(ISNUMBER(H351),ISNUMBER(I351)),MAX(0,ROUND((I351-H351)*1440,0)-'Bilan agents'!$C$4),0)</f>
        <v>0</v>
      </c>
      <c r="Q351" s="8" t="str">
        <f aca="false">IF(H351="Congé","CP",IF(H351="Férié","F",IF(H351="OFF","R",IF(N351&gt;0,"A",IF(ISNUMBER(I351),"P","NR")))))</f>
        <v>R</v>
      </c>
      <c r="R351" s="18"/>
    </row>
    <row r="352" customFormat="false" ht="15" hidden="false" customHeight="false" outlineLevel="0" collapsed="false">
      <c r="A352" s="18" t="s">
        <v>26</v>
      </c>
      <c r="B352" s="8" t="s">
        <v>27</v>
      </c>
      <c r="C352" s="9" t="n">
        <v>46264</v>
      </c>
      <c r="D352" s="8" t="n">
        <v>2026</v>
      </c>
      <c r="E352" s="8" t="n">
        <v>35</v>
      </c>
      <c r="F352" s="18" t="s">
        <v>130</v>
      </c>
      <c r="G352" s="8" t="s">
        <v>114</v>
      </c>
      <c r="H352" s="19" t="s">
        <v>115</v>
      </c>
      <c r="I352" s="19"/>
      <c r="J352" s="19"/>
      <c r="K352" s="19"/>
      <c r="L352" s="19" t="n">
        <v>0</v>
      </c>
      <c r="M352" s="19"/>
      <c r="N352" s="19" t="n">
        <v>0</v>
      </c>
      <c r="O352" s="19" t="n">
        <v>0</v>
      </c>
      <c r="P352" s="17" t="n">
        <f aca="false">IF(AND(ISNUMBER(H352),ISNUMBER(I352)),MAX(0,ROUND((I352-H352)*1440,0)-'Bilan agents'!$C$4),0)</f>
        <v>0</v>
      </c>
      <c r="Q352" s="8" t="str">
        <f aca="false">IF(H352="Congé","CP",IF(H352="Férié","F",IF(H352="OFF","R",IF(N352&gt;0,"A",IF(ISNUMBER(I352),"P","NR")))))</f>
        <v>R</v>
      </c>
      <c r="R352" s="18"/>
    </row>
    <row r="353" customFormat="false" ht="15" hidden="false" customHeight="false" outlineLevel="0" collapsed="false">
      <c r="A353" s="18" t="s">
        <v>26</v>
      </c>
      <c r="B353" s="8" t="s">
        <v>27</v>
      </c>
      <c r="C353" s="9" t="n">
        <v>46265</v>
      </c>
      <c r="D353" s="8" t="n">
        <v>2026</v>
      </c>
      <c r="E353" s="8" t="n">
        <v>36</v>
      </c>
      <c r="F353" s="18" t="s">
        <v>130</v>
      </c>
      <c r="G353" s="8" t="s">
        <v>116</v>
      </c>
      <c r="H353" s="19" t="n">
        <v>0.333333333333333</v>
      </c>
      <c r="I353" s="19" t="n">
        <v>0.333333333333333</v>
      </c>
      <c r="J353" s="19" t="n">
        <v>0.75</v>
      </c>
      <c r="K353" s="19" t="n">
        <v>0.75</v>
      </c>
      <c r="L353" s="19" t="n">
        <v>0.375</v>
      </c>
      <c r="M353" s="19" t="n">
        <v>0.375</v>
      </c>
      <c r="N353" s="19" t="n">
        <v>0</v>
      </c>
      <c r="O353" s="19" t="n">
        <v>0</v>
      </c>
      <c r="P353" s="17" t="n">
        <f aca="false">IF(AND(ISNUMBER(H353),ISNUMBER(I353)),MAX(0,ROUND((I353-H353)*1440,0)-'Bilan agents'!$C$4),0)</f>
        <v>0</v>
      </c>
      <c r="Q353" s="8" t="str">
        <f aca="false">IF(H353="Congé","CP",IF(H353="Férié","F",IF(H353="OFF","R",IF(N353&gt;0,"A",IF(ISNUMBER(I353),"P","NR")))))</f>
        <v>P</v>
      </c>
      <c r="R353" s="18"/>
    </row>
    <row r="354" customFormat="false" ht="15" hidden="false" customHeight="false" outlineLevel="0" collapsed="false">
      <c r="A354" s="18" t="s">
        <v>26</v>
      </c>
      <c r="B354" s="8" t="s">
        <v>27</v>
      </c>
      <c r="C354" s="9" t="n">
        <v>46266</v>
      </c>
      <c r="D354" s="8" t="n">
        <v>2026</v>
      </c>
      <c r="E354" s="8" t="n">
        <v>36</v>
      </c>
      <c r="F354" s="18" t="s">
        <v>131</v>
      </c>
      <c r="G354" s="8" t="s">
        <v>117</v>
      </c>
      <c r="H354" s="19" t="n">
        <v>0.333333333333333</v>
      </c>
      <c r="I354" s="19" t="n">
        <v>0.333333333333333</v>
      </c>
      <c r="J354" s="19" t="n">
        <v>0.75</v>
      </c>
      <c r="K354" s="19" t="n">
        <v>0.75</v>
      </c>
      <c r="L354" s="19" t="n">
        <v>0.375</v>
      </c>
      <c r="M354" s="19" t="n">
        <v>0.375</v>
      </c>
      <c r="N354" s="19" t="n">
        <v>0</v>
      </c>
      <c r="O354" s="19" t="n">
        <v>0</v>
      </c>
      <c r="P354" s="17" t="n">
        <f aca="false">IF(AND(ISNUMBER(H354),ISNUMBER(I354)),MAX(0,ROUND((I354-H354)*1440,0)-'Bilan agents'!$C$4),0)</f>
        <v>0</v>
      </c>
      <c r="Q354" s="8" t="str">
        <f aca="false">IF(H354="Congé","CP",IF(H354="Férié","F",IF(H354="OFF","R",IF(N354&gt;0,"A",IF(ISNUMBER(I354),"P","NR")))))</f>
        <v>P</v>
      </c>
      <c r="R354" s="18"/>
    </row>
    <row r="355" customFormat="false" ht="15" hidden="false" customHeight="false" outlineLevel="0" collapsed="false">
      <c r="A355" s="18" t="s">
        <v>26</v>
      </c>
      <c r="B355" s="8" t="s">
        <v>27</v>
      </c>
      <c r="C355" s="9" t="n">
        <v>46267</v>
      </c>
      <c r="D355" s="8" t="n">
        <v>2026</v>
      </c>
      <c r="E355" s="8" t="n">
        <v>36</v>
      </c>
      <c r="F355" s="18" t="s">
        <v>131</v>
      </c>
      <c r="G355" s="8" t="s">
        <v>118</v>
      </c>
      <c r="H355" s="19" t="n">
        <v>0.333333333333333</v>
      </c>
      <c r="I355" s="19" t="n">
        <v>0.333333333333333</v>
      </c>
      <c r="J355" s="19" t="n">
        <v>0.75</v>
      </c>
      <c r="K355" s="19" t="n">
        <v>0.75</v>
      </c>
      <c r="L355" s="19" t="n">
        <v>0.375</v>
      </c>
      <c r="M355" s="19" t="n">
        <v>0.375</v>
      </c>
      <c r="N355" s="19" t="n">
        <v>0</v>
      </c>
      <c r="O355" s="19" t="n">
        <v>0</v>
      </c>
      <c r="P355" s="17" t="n">
        <f aca="false">IF(AND(ISNUMBER(H355),ISNUMBER(I355)),MAX(0,ROUND((I355-H355)*1440,0)-'Bilan agents'!$C$4),0)</f>
        <v>0</v>
      </c>
      <c r="Q355" s="8" t="str">
        <f aca="false">IF(H355="Congé","CP",IF(H355="Férié","F",IF(H355="OFF","R",IF(N355&gt;0,"A",IF(ISNUMBER(I355),"P","NR")))))</f>
        <v>P</v>
      </c>
      <c r="R355" s="18"/>
    </row>
    <row r="356" customFormat="false" ht="15" hidden="false" customHeight="false" outlineLevel="0" collapsed="false">
      <c r="A356" s="18" t="s">
        <v>26</v>
      </c>
      <c r="B356" s="8" t="s">
        <v>27</v>
      </c>
      <c r="C356" s="9" t="n">
        <v>46268</v>
      </c>
      <c r="D356" s="8" t="n">
        <v>2026</v>
      </c>
      <c r="E356" s="8" t="n">
        <v>36</v>
      </c>
      <c r="F356" s="18" t="s">
        <v>131</v>
      </c>
      <c r="G356" s="8" t="s">
        <v>119</v>
      </c>
      <c r="H356" s="19" t="n">
        <v>0.333333333333333</v>
      </c>
      <c r="I356" s="19" t="n">
        <v>0.333333333333333</v>
      </c>
      <c r="J356" s="19" t="n">
        <v>0.75</v>
      </c>
      <c r="K356" s="19" t="n">
        <v>0.75</v>
      </c>
      <c r="L356" s="19" t="n">
        <v>0.375</v>
      </c>
      <c r="M356" s="19" t="n">
        <v>0.375</v>
      </c>
      <c r="N356" s="19" t="n">
        <v>0</v>
      </c>
      <c r="O356" s="19" t="n">
        <v>0</v>
      </c>
      <c r="P356" s="17" t="n">
        <f aca="false">IF(AND(ISNUMBER(H356),ISNUMBER(I356)),MAX(0,ROUND((I356-H356)*1440,0)-'Bilan agents'!$C$4),0)</f>
        <v>0</v>
      </c>
      <c r="Q356" s="8" t="str">
        <f aca="false">IF(H356="Congé","CP",IF(H356="Férié","F",IF(H356="OFF","R",IF(N356&gt;0,"A",IF(ISNUMBER(I356),"P","NR")))))</f>
        <v>P</v>
      </c>
      <c r="R356" s="18"/>
    </row>
    <row r="357" customFormat="false" ht="15" hidden="false" customHeight="false" outlineLevel="0" collapsed="false">
      <c r="A357" s="18" t="s">
        <v>26</v>
      </c>
      <c r="B357" s="8" t="s">
        <v>27</v>
      </c>
      <c r="C357" s="9" t="n">
        <v>46269</v>
      </c>
      <c r="D357" s="8" t="n">
        <v>2026</v>
      </c>
      <c r="E357" s="8" t="n">
        <v>36</v>
      </c>
      <c r="F357" s="18" t="s">
        <v>131</v>
      </c>
      <c r="G357" s="8" t="s">
        <v>120</v>
      </c>
      <c r="H357" s="19" t="n">
        <v>0.333333333333333</v>
      </c>
      <c r="I357" s="19" t="n">
        <v>0.333333333333333</v>
      </c>
      <c r="J357" s="19" t="n">
        <v>0.708333333333333</v>
      </c>
      <c r="K357" s="19" t="n">
        <v>0.708333333333333</v>
      </c>
      <c r="L357" s="19" t="n">
        <v>0.333333333333333</v>
      </c>
      <c r="M357" s="19" t="n">
        <v>0.333333333333333</v>
      </c>
      <c r="N357" s="19" t="n">
        <v>0</v>
      </c>
      <c r="O357" s="19" t="n">
        <v>0</v>
      </c>
      <c r="P357" s="17" t="n">
        <f aca="false">IF(AND(ISNUMBER(H357),ISNUMBER(I357)),MAX(0,ROUND((I357-H357)*1440,0)-'Bilan agents'!$C$4),0)</f>
        <v>0</v>
      </c>
      <c r="Q357" s="8" t="str">
        <f aca="false">IF(H357="Congé","CP",IF(H357="Férié","F",IF(H357="OFF","R",IF(N357&gt;0,"A",IF(ISNUMBER(I357),"P","NR")))))</f>
        <v>P</v>
      </c>
      <c r="R357" s="18"/>
    </row>
    <row r="358" customFormat="false" ht="15" hidden="false" customHeight="false" outlineLevel="0" collapsed="false">
      <c r="A358" s="18" t="s">
        <v>26</v>
      </c>
      <c r="B358" s="8" t="s">
        <v>27</v>
      </c>
      <c r="C358" s="9" t="n">
        <v>46270</v>
      </c>
      <c r="D358" s="8" t="n">
        <v>2026</v>
      </c>
      <c r="E358" s="8" t="n">
        <v>36</v>
      </c>
      <c r="F358" s="18" t="s">
        <v>131</v>
      </c>
      <c r="G358" s="8" t="s">
        <v>121</v>
      </c>
      <c r="H358" s="19" t="s">
        <v>115</v>
      </c>
      <c r="I358" s="19"/>
      <c r="J358" s="19"/>
      <c r="K358" s="19"/>
      <c r="L358" s="19" t="n">
        <v>0</v>
      </c>
      <c r="M358" s="19"/>
      <c r="N358" s="19" t="n">
        <v>0</v>
      </c>
      <c r="O358" s="19" t="n">
        <v>0</v>
      </c>
      <c r="P358" s="17" t="n">
        <f aca="false">IF(AND(ISNUMBER(H358),ISNUMBER(I358)),MAX(0,ROUND((I358-H358)*1440,0)-'Bilan agents'!$C$4),0)</f>
        <v>0</v>
      </c>
      <c r="Q358" s="8" t="str">
        <f aca="false">IF(H358="Congé","CP",IF(H358="Férié","F",IF(H358="OFF","R",IF(N358&gt;0,"A",IF(ISNUMBER(I358),"P","NR")))))</f>
        <v>R</v>
      </c>
      <c r="R358" s="18"/>
    </row>
    <row r="359" customFormat="false" ht="15" hidden="false" customHeight="false" outlineLevel="0" collapsed="false">
      <c r="A359" s="18" t="s">
        <v>26</v>
      </c>
      <c r="B359" s="8" t="s">
        <v>27</v>
      </c>
      <c r="C359" s="9" t="n">
        <v>46271</v>
      </c>
      <c r="D359" s="8" t="n">
        <v>2026</v>
      </c>
      <c r="E359" s="8" t="n">
        <v>36</v>
      </c>
      <c r="F359" s="18" t="s">
        <v>131</v>
      </c>
      <c r="G359" s="8" t="s">
        <v>114</v>
      </c>
      <c r="H359" s="19" t="s">
        <v>115</v>
      </c>
      <c r="I359" s="19"/>
      <c r="J359" s="19"/>
      <c r="K359" s="19"/>
      <c r="L359" s="19" t="n">
        <v>0</v>
      </c>
      <c r="M359" s="19"/>
      <c r="N359" s="19" t="n">
        <v>0</v>
      </c>
      <c r="O359" s="19" t="n">
        <v>0</v>
      </c>
      <c r="P359" s="17" t="n">
        <f aca="false">IF(AND(ISNUMBER(H359),ISNUMBER(I359)),MAX(0,ROUND((I359-H359)*1440,0)-'Bilan agents'!$C$4),0)</f>
        <v>0</v>
      </c>
      <c r="Q359" s="8" t="str">
        <f aca="false">IF(H359="Congé","CP",IF(H359="Férié","F",IF(H359="OFF","R",IF(N359&gt;0,"A",IF(ISNUMBER(I359),"P","NR")))))</f>
        <v>R</v>
      </c>
      <c r="R359" s="18"/>
    </row>
    <row r="360" customFormat="false" ht="15" hidden="false" customHeight="false" outlineLevel="0" collapsed="false">
      <c r="A360" s="18" t="s">
        <v>26</v>
      </c>
      <c r="B360" s="8" t="s">
        <v>27</v>
      </c>
      <c r="C360" s="9" t="n">
        <v>46272</v>
      </c>
      <c r="D360" s="8" t="n">
        <v>2026</v>
      </c>
      <c r="E360" s="8" t="n">
        <v>37</v>
      </c>
      <c r="F360" s="18" t="s">
        <v>131</v>
      </c>
      <c r="G360" s="8" t="s">
        <v>116</v>
      </c>
      <c r="H360" s="19" t="n">
        <v>0.333333333333333</v>
      </c>
      <c r="I360" s="19" t="n">
        <v>0.333333333333333</v>
      </c>
      <c r="J360" s="19" t="n">
        <v>0.75</v>
      </c>
      <c r="K360" s="19" t="n">
        <v>0.75</v>
      </c>
      <c r="L360" s="19" t="n">
        <v>0.375</v>
      </c>
      <c r="M360" s="19" t="n">
        <v>0.375</v>
      </c>
      <c r="N360" s="19" t="n">
        <v>0</v>
      </c>
      <c r="O360" s="19" t="n">
        <v>0</v>
      </c>
      <c r="P360" s="17" t="n">
        <f aca="false">IF(AND(ISNUMBER(H360),ISNUMBER(I360)),MAX(0,ROUND((I360-H360)*1440,0)-'Bilan agents'!$C$4),0)</f>
        <v>0</v>
      </c>
      <c r="Q360" s="8" t="str">
        <f aca="false">IF(H360="Congé","CP",IF(H360="Férié","F",IF(H360="OFF","R",IF(N360&gt;0,"A",IF(ISNUMBER(I360),"P","NR")))))</f>
        <v>P</v>
      </c>
      <c r="R360" s="18" t="s">
        <v>132</v>
      </c>
    </row>
    <row r="361" customFormat="false" ht="15" hidden="false" customHeight="false" outlineLevel="0" collapsed="false">
      <c r="A361" s="18" t="s">
        <v>26</v>
      </c>
      <c r="B361" s="8" t="s">
        <v>27</v>
      </c>
      <c r="C361" s="9" t="n">
        <v>46273</v>
      </c>
      <c r="D361" s="8" t="n">
        <v>2026</v>
      </c>
      <c r="E361" s="8" t="n">
        <v>37</v>
      </c>
      <c r="F361" s="18" t="s">
        <v>131</v>
      </c>
      <c r="G361" s="8" t="s">
        <v>117</v>
      </c>
      <c r="H361" s="19" t="n">
        <v>0.333333333333333</v>
      </c>
      <c r="I361" s="19" t="n">
        <v>0.333333333333333</v>
      </c>
      <c r="J361" s="19" t="n">
        <v>0.75</v>
      </c>
      <c r="K361" s="19" t="n">
        <v>0.75</v>
      </c>
      <c r="L361" s="19" t="n">
        <v>0.375</v>
      </c>
      <c r="M361" s="19" t="n">
        <v>0.375</v>
      </c>
      <c r="N361" s="19" t="n">
        <v>0</v>
      </c>
      <c r="O361" s="19" t="n">
        <v>0</v>
      </c>
      <c r="P361" s="17" t="n">
        <f aca="false">IF(AND(ISNUMBER(H361),ISNUMBER(I361)),MAX(0,ROUND((I361-H361)*1440,0)-'Bilan agents'!$C$4),0)</f>
        <v>0</v>
      </c>
      <c r="Q361" s="8" t="str">
        <f aca="false">IF(H361="Congé","CP",IF(H361="Férié","F",IF(H361="OFF","R",IF(N361&gt;0,"A",IF(ISNUMBER(I361),"P","NR")))))</f>
        <v>P</v>
      </c>
      <c r="R361" s="18" t="s">
        <v>132</v>
      </c>
    </row>
    <row r="362" customFormat="false" ht="15" hidden="false" customHeight="false" outlineLevel="0" collapsed="false">
      <c r="A362" s="18" t="s">
        <v>26</v>
      </c>
      <c r="B362" s="8" t="s">
        <v>27</v>
      </c>
      <c r="C362" s="9" t="n">
        <v>46274</v>
      </c>
      <c r="D362" s="8" t="n">
        <v>2026</v>
      </c>
      <c r="E362" s="8" t="n">
        <v>37</v>
      </c>
      <c r="F362" s="18" t="s">
        <v>131</v>
      </c>
      <c r="G362" s="8" t="s">
        <v>118</v>
      </c>
      <c r="H362" s="19" t="n">
        <v>0.333333333333333</v>
      </c>
      <c r="I362" s="19" t="n">
        <v>0.333333333333333</v>
      </c>
      <c r="J362" s="19" t="n">
        <v>0.75</v>
      </c>
      <c r="K362" s="19" t="n">
        <v>0.75</v>
      </c>
      <c r="L362" s="19" t="n">
        <v>0.375</v>
      </c>
      <c r="M362" s="19" t="n">
        <v>0.375</v>
      </c>
      <c r="N362" s="19" t="n">
        <v>0</v>
      </c>
      <c r="O362" s="19" t="n">
        <v>0</v>
      </c>
      <c r="P362" s="17" t="n">
        <f aca="false">IF(AND(ISNUMBER(H362),ISNUMBER(I362)),MAX(0,ROUND((I362-H362)*1440,0)-'Bilan agents'!$C$4),0)</f>
        <v>0</v>
      </c>
      <c r="Q362" s="8" t="str">
        <f aca="false">IF(H362="Congé","CP",IF(H362="Férié","F",IF(H362="OFF","R",IF(N362&gt;0,"A",IF(ISNUMBER(I362),"P","NR")))))</f>
        <v>P</v>
      </c>
      <c r="R362" s="18" t="s">
        <v>132</v>
      </c>
    </row>
    <row r="363" customFormat="false" ht="15" hidden="false" customHeight="false" outlineLevel="0" collapsed="false">
      <c r="A363" s="18" t="s">
        <v>26</v>
      </c>
      <c r="B363" s="8" t="s">
        <v>27</v>
      </c>
      <c r="C363" s="9" t="n">
        <v>46275</v>
      </c>
      <c r="D363" s="8" t="n">
        <v>2026</v>
      </c>
      <c r="E363" s="8" t="n">
        <v>37</v>
      </c>
      <c r="F363" s="18" t="s">
        <v>131</v>
      </c>
      <c r="G363" s="8" t="s">
        <v>119</v>
      </c>
      <c r="H363" s="19" t="n">
        <v>0.333333333333333</v>
      </c>
      <c r="I363" s="19" t="n">
        <v>0.333333333333333</v>
      </c>
      <c r="J363" s="19" t="n">
        <v>0.75</v>
      </c>
      <c r="K363" s="19" t="n">
        <v>0.75</v>
      </c>
      <c r="L363" s="19" t="n">
        <v>0.375</v>
      </c>
      <c r="M363" s="19" t="n">
        <v>0.375</v>
      </c>
      <c r="N363" s="19" t="n">
        <v>0</v>
      </c>
      <c r="O363" s="19" t="n">
        <v>0</v>
      </c>
      <c r="P363" s="17" t="n">
        <f aca="false">IF(AND(ISNUMBER(H363),ISNUMBER(I363)),MAX(0,ROUND((I363-H363)*1440,0)-'Bilan agents'!$C$4),0)</f>
        <v>0</v>
      </c>
      <c r="Q363" s="8" t="str">
        <f aca="false">IF(H363="Congé","CP",IF(H363="Férié","F",IF(H363="OFF","R",IF(N363&gt;0,"A",IF(ISNUMBER(I363),"P","NR")))))</f>
        <v>P</v>
      </c>
      <c r="R363" s="18" t="s">
        <v>132</v>
      </c>
    </row>
    <row r="364" customFormat="false" ht="15" hidden="false" customHeight="false" outlineLevel="0" collapsed="false">
      <c r="A364" s="18" t="s">
        <v>26</v>
      </c>
      <c r="B364" s="8" t="s">
        <v>27</v>
      </c>
      <c r="C364" s="9" t="n">
        <v>46276</v>
      </c>
      <c r="D364" s="8" t="n">
        <v>2026</v>
      </c>
      <c r="E364" s="8" t="n">
        <v>37</v>
      </c>
      <c r="F364" s="18" t="s">
        <v>131</v>
      </c>
      <c r="G364" s="8" t="s">
        <v>120</v>
      </c>
      <c r="H364" s="19" t="n">
        <v>0.333333333333333</v>
      </c>
      <c r="I364" s="19" t="n">
        <v>0.333333333333333</v>
      </c>
      <c r="J364" s="19" t="n">
        <v>0.708333333333333</v>
      </c>
      <c r="K364" s="19" t="n">
        <v>0.708333333333333</v>
      </c>
      <c r="L364" s="19" t="n">
        <v>0.333333333333333</v>
      </c>
      <c r="M364" s="19" t="n">
        <v>0.333333333333333</v>
      </c>
      <c r="N364" s="19" t="n">
        <v>0</v>
      </c>
      <c r="O364" s="19" t="n">
        <v>0</v>
      </c>
      <c r="P364" s="17" t="n">
        <f aca="false">IF(AND(ISNUMBER(H364),ISNUMBER(I364)),MAX(0,ROUND((I364-H364)*1440,0)-'Bilan agents'!$C$4),0)</f>
        <v>0</v>
      </c>
      <c r="Q364" s="8" t="str">
        <f aca="false">IF(H364="Congé","CP",IF(H364="Férié","F",IF(H364="OFF","R",IF(N364&gt;0,"A",IF(ISNUMBER(I364),"P","NR")))))</f>
        <v>P</v>
      </c>
      <c r="R364" s="18" t="s">
        <v>132</v>
      </c>
    </row>
    <row r="365" customFormat="false" ht="15" hidden="false" customHeight="false" outlineLevel="0" collapsed="false">
      <c r="A365" s="18" t="s">
        <v>26</v>
      </c>
      <c r="B365" s="8" t="s">
        <v>27</v>
      </c>
      <c r="C365" s="9" t="n">
        <v>46277</v>
      </c>
      <c r="D365" s="8" t="n">
        <v>2026</v>
      </c>
      <c r="E365" s="8" t="n">
        <v>37</v>
      </c>
      <c r="F365" s="18" t="s">
        <v>131</v>
      </c>
      <c r="G365" s="8" t="s">
        <v>121</v>
      </c>
      <c r="H365" s="19" t="s">
        <v>115</v>
      </c>
      <c r="I365" s="19"/>
      <c r="J365" s="19"/>
      <c r="K365" s="19"/>
      <c r="L365" s="19" t="n">
        <v>0</v>
      </c>
      <c r="M365" s="19"/>
      <c r="N365" s="19" t="n">
        <v>0</v>
      </c>
      <c r="O365" s="19" t="n">
        <v>0</v>
      </c>
      <c r="P365" s="17" t="n">
        <f aca="false">IF(AND(ISNUMBER(H365),ISNUMBER(I365)),MAX(0,ROUND((I365-H365)*1440,0)-'Bilan agents'!$C$4),0)</f>
        <v>0</v>
      </c>
      <c r="Q365" s="8" t="str">
        <f aca="false">IF(H365="Congé","CP",IF(H365="Férié","F",IF(H365="OFF","R",IF(N365&gt;0,"A",IF(ISNUMBER(I365),"P","NR")))))</f>
        <v>R</v>
      </c>
      <c r="R365" s="18" t="s">
        <v>132</v>
      </c>
    </row>
    <row r="366" customFormat="false" ht="15" hidden="false" customHeight="false" outlineLevel="0" collapsed="false">
      <c r="A366" s="18" t="s">
        <v>26</v>
      </c>
      <c r="B366" s="8" t="s">
        <v>27</v>
      </c>
      <c r="C366" s="9" t="n">
        <v>46278</v>
      </c>
      <c r="D366" s="8" t="n">
        <v>2026</v>
      </c>
      <c r="E366" s="8" t="n">
        <v>37</v>
      </c>
      <c r="F366" s="18" t="s">
        <v>131</v>
      </c>
      <c r="G366" s="8" t="s">
        <v>114</v>
      </c>
      <c r="H366" s="19" t="s">
        <v>115</v>
      </c>
      <c r="I366" s="19"/>
      <c r="J366" s="19"/>
      <c r="K366" s="19"/>
      <c r="L366" s="19" t="n">
        <v>0</v>
      </c>
      <c r="M366" s="19"/>
      <c r="N366" s="19" t="n">
        <v>0</v>
      </c>
      <c r="O366" s="19" t="n">
        <v>0</v>
      </c>
      <c r="P366" s="17" t="n">
        <f aca="false">IF(AND(ISNUMBER(H366),ISNUMBER(I366)),MAX(0,ROUND((I366-H366)*1440,0)-'Bilan agents'!$C$4),0)</f>
        <v>0</v>
      </c>
      <c r="Q366" s="8" t="str">
        <f aca="false">IF(H366="Congé","CP",IF(H366="Férié","F",IF(H366="OFF","R",IF(N366&gt;0,"A",IF(ISNUMBER(I366),"P","NR")))))</f>
        <v>R</v>
      </c>
      <c r="R366" s="18" t="s">
        <v>132</v>
      </c>
    </row>
    <row r="367" customFormat="false" ht="15" hidden="false" customHeight="false" outlineLevel="0" collapsed="false">
      <c r="A367" s="18" t="s">
        <v>26</v>
      </c>
      <c r="B367" s="8" t="s">
        <v>27</v>
      </c>
      <c r="C367" s="9" t="n">
        <v>46279</v>
      </c>
      <c r="D367" s="8" t="n">
        <v>2026</v>
      </c>
      <c r="E367" s="8" t="n">
        <v>38</v>
      </c>
      <c r="F367" s="18" t="s">
        <v>131</v>
      </c>
      <c r="G367" s="8" t="s">
        <v>116</v>
      </c>
      <c r="H367" s="19" t="n">
        <v>0.333333333333333</v>
      </c>
      <c r="I367" s="19" t="n">
        <v>0.329166666666667</v>
      </c>
      <c r="J367" s="19" t="n">
        <v>0.75</v>
      </c>
      <c r="K367" s="19" t="n">
        <v>0.75</v>
      </c>
      <c r="L367" s="19" t="n">
        <v>0.375</v>
      </c>
      <c r="M367" s="19" t="n">
        <v>0.375</v>
      </c>
      <c r="N367" s="19" t="n">
        <v>0</v>
      </c>
      <c r="O367" s="19" t="n">
        <v>0.00416666666666667</v>
      </c>
      <c r="P367" s="17" t="n">
        <f aca="false">IF(AND(ISNUMBER(H367),ISNUMBER(I367)),MAX(0,ROUND((I367-H367)*1440,0)-'Bilan agents'!$C$4),0)</f>
        <v>0</v>
      </c>
      <c r="Q367" s="8" t="str">
        <f aca="false">IF(H367="Congé","CP",IF(H367="Férié","F",IF(H367="OFF","R",IF(N367&gt;0,"A",IF(ISNUMBER(I367),"P","NR")))))</f>
        <v>P</v>
      </c>
      <c r="R367" s="18"/>
    </row>
    <row r="368" customFormat="false" ht="15" hidden="false" customHeight="false" outlineLevel="0" collapsed="false">
      <c r="A368" s="18" t="s">
        <v>26</v>
      </c>
      <c r="B368" s="8" t="s">
        <v>27</v>
      </c>
      <c r="C368" s="9" t="n">
        <v>46280</v>
      </c>
      <c r="D368" s="8" t="n">
        <v>2026</v>
      </c>
      <c r="E368" s="8" t="n">
        <v>38</v>
      </c>
      <c r="F368" s="18" t="s">
        <v>131</v>
      </c>
      <c r="G368" s="8" t="s">
        <v>117</v>
      </c>
      <c r="H368" s="19" t="n">
        <v>0.333333333333333</v>
      </c>
      <c r="I368" s="19" t="n">
        <v>0.329861111111111</v>
      </c>
      <c r="J368" s="19" t="n">
        <v>0.75</v>
      </c>
      <c r="K368" s="19" t="n">
        <v>0.75</v>
      </c>
      <c r="L368" s="19" t="n">
        <v>0.375</v>
      </c>
      <c r="M368" s="19" t="n">
        <v>0.375</v>
      </c>
      <c r="N368" s="19" t="n">
        <v>0</v>
      </c>
      <c r="O368" s="19" t="n">
        <v>0.00347222222222222</v>
      </c>
      <c r="P368" s="17" t="n">
        <f aca="false">IF(AND(ISNUMBER(H368),ISNUMBER(I368)),MAX(0,ROUND((I368-H368)*1440,0)-'Bilan agents'!$C$4),0)</f>
        <v>0</v>
      </c>
      <c r="Q368" s="8" t="str">
        <f aca="false">IF(H368="Congé","CP",IF(H368="Férié","F",IF(H368="OFF","R",IF(N368&gt;0,"A",IF(ISNUMBER(I368),"P","NR")))))</f>
        <v>P</v>
      </c>
      <c r="R368" s="18"/>
    </row>
    <row r="369" customFormat="false" ht="15" hidden="false" customHeight="false" outlineLevel="0" collapsed="false">
      <c r="A369" s="18" t="s">
        <v>26</v>
      </c>
      <c r="B369" s="8" t="s">
        <v>27</v>
      </c>
      <c r="C369" s="9" t="n">
        <v>46281</v>
      </c>
      <c r="D369" s="8" t="n">
        <v>2026</v>
      </c>
      <c r="E369" s="8" t="n">
        <v>38</v>
      </c>
      <c r="F369" s="18" t="s">
        <v>131</v>
      </c>
      <c r="G369" s="8" t="s">
        <v>118</v>
      </c>
      <c r="H369" s="19" t="n">
        <v>0.333333333333333</v>
      </c>
      <c r="I369" s="19" t="n">
        <v>0.332638888888889</v>
      </c>
      <c r="J369" s="19" t="n">
        <v>0.75</v>
      </c>
      <c r="K369" s="19" t="n">
        <v>0.75</v>
      </c>
      <c r="L369" s="19" t="n">
        <v>0.375</v>
      </c>
      <c r="M369" s="19" t="n">
        <v>0.375</v>
      </c>
      <c r="N369" s="19" t="n">
        <v>0</v>
      </c>
      <c r="O369" s="19" t="n">
        <v>0</v>
      </c>
      <c r="P369" s="17" t="n">
        <f aca="false">IF(AND(ISNUMBER(H369),ISNUMBER(I369)),MAX(0,ROUND((I369-H369)*1440,0)-'Bilan agents'!$C$4),0)</f>
        <v>0</v>
      </c>
      <c r="Q369" s="8" t="str">
        <f aca="false">IF(H369="Congé","CP",IF(H369="Férié","F",IF(H369="OFF","R",IF(N369&gt;0,"A",IF(ISNUMBER(I369),"P","NR")))))</f>
        <v>P</v>
      </c>
      <c r="R369" s="18"/>
    </row>
    <row r="370" customFormat="false" ht="15" hidden="false" customHeight="false" outlineLevel="0" collapsed="false">
      <c r="A370" s="18" t="s">
        <v>26</v>
      </c>
      <c r="B370" s="8" t="s">
        <v>27</v>
      </c>
      <c r="C370" s="9" t="n">
        <v>46282</v>
      </c>
      <c r="D370" s="8" t="n">
        <v>2026</v>
      </c>
      <c r="E370" s="8" t="n">
        <v>38</v>
      </c>
      <c r="F370" s="18" t="s">
        <v>131</v>
      </c>
      <c r="G370" s="8" t="s">
        <v>119</v>
      </c>
      <c r="H370" s="19" t="n">
        <v>0.333333333333333</v>
      </c>
      <c r="I370" s="19" t="n">
        <v>0.330555555555556</v>
      </c>
      <c r="J370" s="19" t="n">
        <v>0.75</v>
      </c>
      <c r="K370" s="19" t="n">
        <v>0.75</v>
      </c>
      <c r="L370" s="19" t="n">
        <v>0.375</v>
      </c>
      <c r="M370" s="19" t="n">
        <v>0.375</v>
      </c>
      <c r="N370" s="19" t="n">
        <v>0</v>
      </c>
      <c r="O370" s="19" t="n">
        <v>0.00277777777777778</v>
      </c>
      <c r="P370" s="17" t="n">
        <f aca="false">IF(AND(ISNUMBER(H370),ISNUMBER(I370)),MAX(0,ROUND((I370-H370)*1440,0)-'Bilan agents'!$C$4),0)</f>
        <v>0</v>
      </c>
      <c r="Q370" s="8" t="str">
        <f aca="false">IF(H370="Congé","CP",IF(H370="Férié","F",IF(H370="OFF","R",IF(N370&gt;0,"A",IF(ISNUMBER(I370),"P","NR")))))</f>
        <v>P</v>
      </c>
      <c r="R370" s="18"/>
    </row>
    <row r="371" customFormat="false" ht="15" hidden="false" customHeight="false" outlineLevel="0" collapsed="false">
      <c r="A371" s="18" t="s">
        <v>26</v>
      </c>
      <c r="B371" s="8" t="s">
        <v>27</v>
      </c>
      <c r="C371" s="9" t="n">
        <v>46283</v>
      </c>
      <c r="D371" s="8" t="n">
        <v>2026</v>
      </c>
      <c r="E371" s="8" t="n">
        <v>38</v>
      </c>
      <c r="F371" s="18" t="s">
        <v>131</v>
      </c>
      <c r="G371" s="8" t="s">
        <v>120</v>
      </c>
      <c r="H371" s="19" t="n">
        <v>0.333333333333333</v>
      </c>
      <c r="I371" s="19" t="n">
        <v>0.333333333333333</v>
      </c>
      <c r="J371" s="19" t="n">
        <v>0.708333333333333</v>
      </c>
      <c r="K371" s="19" t="n">
        <v>0.708333333333333</v>
      </c>
      <c r="L371" s="19" t="n">
        <v>0.333333333333333</v>
      </c>
      <c r="M371" s="19" t="n">
        <v>0.333333333333333</v>
      </c>
      <c r="N371" s="19" t="n">
        <v>0</v>
      </c>
      <c r="O371" s="19" t="n">
        <v>0</v>
      </c>
      <c r="P371" s="17" t="n">
        <f aca="false">IF(AND(ISNUMBER(H371),ISNUMBER(I371)),MAX(0,ROUND((I371-H371)*1440,0)-'Bilan agents'!$C$4),0)</f>
        <v>0</v>
      </c>
      <c r="Q371" s="8" t="str">
        <f aca="false">IF(H371="Congé","CP",IF(H371="Férié","F",IF(H371="OFF","R",IF(N371&gt;0,"A",IF(ISNUMBER(I371),"P","NR")))))</f>
        <v>P</v>
      </c>
      <c r="R371" s="18"/>
    </row>
    <row r="372" customFormat="false" ht="15" hidden="false" customHeight="false" outlineLevel="0" collapsed="false">
      <c r="A372" s="18" t="s">
        <v>26</v>
      </c>
      <c r="B372" s="8" t="s">
        <v>27</v>
      </c>
      <c r="C372" s="9" t="n">
        <v>46284</v>
      </c>
      <c r="D372" s="8" t="n">
        <v>2026</v>
      </c>
      <c r="E372" s="8" t="n">
        <v>38</v>
      </c>
      <c r="F372" s="18" t="s">
        <v>131</v>
      </c>
      <c r="G372" s="8" t="s">
        <v>121</v>
      </c>
      <c r="H372" s="19" t="s">
        <v>115</v>
      </c>
      <c r="I372" s="19"/>
      <c r="J372" s="19"/>
      <c r="K372" s="19"/>
      <c r="L372" s="19" t="n">
        <v>0</v>
      </c>
      <c r="M372" s="19"/>
      <c r="N372" s="19" t="n">
        <v>0</v>
      </c>
      <c r="O372" s="19" t="n">
        <v>0</v>
      </c>
      <c r="P372" s="17" t="n">
        <f aca="false">IF(AND(ISNUMBER(H372),ISNUMBER(I372)),MAX(0,ROUND((I372-H372)*1440,0)-'Bilan agents'!$C$4),0)</f>
        <v>0</v>
      </c>
      <c r="Q372" s="8" t="str">
        <f aca="false">IF(H372="Congé","CP",IF(H372="Férié","F",IF(H372="OFF","R",IF(N372&gt;0,"A",IF(ISNUMBER(I372),"P","NR")))))</f>
        <v>R</v>
      </c>
      <c r="R372" s="18"/>
    </row>
    <row r="373" customFormat="false" ht="15" hidden="false" customHeight="false" outlineLevel="0" collapsed="false">
      <c r="A373" s="18" t="s">
        <v>26</v>
      </c>
      <c r="B373" s="8" t="s">
        <v>27</v>
      </c>
      <c r="C373" s="9" t="n">
        <v>46285</v>
      </c>
      <c r="D373" s="8" t="n">
        <v>2026</v>
      </c>
      <c r="E373" s="8" t="n">
        <v>38</v>
      </c>
      <c r="F373" s="18" t="s">
        <v>131</v>
      </c>
      <c r="G373" s="8" t="s">
        <v>114</v>
      </c>
      <c r="H373" s="19" t="s">
        <v>115</v>
      </c>
      <c r="I373" s="19"/>
      <c r="J373" s="19"/>
      <c r="K373" s="19"/>
      <c r="L373" s="19" t="n">
        <v>0</v>
      </c>
      <c r="M373" s="19"/>
      <c r="N373" s="19" t="n">
        <v>0</v>
      </c>
      <c r="O373" s="19" t="n">
        <v>0</v>
      </c>
      <c r="P373" s="17" t="n">
        <f aca="false">IF(AND(ISNUMBER(H373),ISNUMBER(I373)),MAX(0,ROUND((I373-H373)*1440,0)-'Bilan agents'!$C$4),0)</f>
        <v>0</v>
      </c>
      <c r="Q373" s="8" t="str">
        <f aca="false">IF(H373="Congé","CP",IF(H373="Férié","F",IF(H373="OFF","R",IF(N373&gt;0,"A",IF(ISNUMBER(I373),"P","NR")))))</f>
        <v>R</v>
      </c>
      <c r="R373" s="18"/>
    </row>
    <row r="374" customFormat="false" ht="15" hidden="false" customHeight="false" outlineLevel="0" collapsed="false">
      <c r="A374" s="18" t="s">
        <v>26</v>
      </c>
      <c r="B374" s="8" t="s">
        <v>27</v>
      </c>
      <c r="C374" s="9" t="n">
        <v>46286</v>
      </c>
      <c r="D374" s="8" t="n">
        <v>2026</v>
      </c>
      <c r="E374" s="8" t="n">
        <v>39</v>
      </c>
      <c r="F374" s="18" t="s">
        <v>131</v>
      </c>
      <c r="G374" s="8" t="s">
        <v>116</v>
      </c>
      <c r="H374" s="19" t="n">
        <v>0.333333333333333</v>
      </c>
      <c r="I374" s="19" t="n">
        <v>0.333333333333333</v>
      </c>
      <c r="J374" s="19" t="n">
        <v>0.75</v>
      </c>
      <c r="K374" s="19" t="n">
        <v>0.75</v>
      </c>
      <c r="L374" s="19" t="n">
        <v>0.375</v>
      </c>
      <c r="M374" s="19" t="n">
        <v>0.375</v>
      </c>
      <c r="N374" s="19" t="n">
        <v>0</v>
      </c>
      <c r="O374" s="19" t="n">
        <v>0</v>
      </c>
      <c r="P374" s="17" t="n">
        <f aca="false">IF(AND(ISNUMBER(H374),ISNUMBER(I374)),MAX(0,ROUND((I374-H374)*1440,0)-'Bilan agents'!$C$4),0)</f>
        <v>0</v>
      </c>
      <c r="Q374" s="8" t="str">
        <f aca="false">IF(H374="Congé","CP",IF(H374="Férié","F",IF(H374="OFF","R",IF(N374&gt;0,"A",IF(ISNUMBER(I374),"P","NR")))))</f>
        <v>P</v>
      </c>
      <c r="R374" s="18"/>
    </row>
    <row r="375" customFormat="false" ht="15" hidden="false" customHeight="false" outlineLevel="0" collapsed="false">
      <c r="A375" s="18" t="s">
        <v>26</v>
      </c>
      <c r="B375" s="8" t="s">
        <v>27</v>
      </c>
      <c r="C375" s="9" t="n">
        <v>46287</v>
      </c>
      <c r="D375" s="8" t="n">
        <v>2026</v>
      </c>
      <c r="E375" s="8" t="n">
        <v>39</v>
      </c>
      <c r="F375" s="18" t="s">
        <v>131</v>
      </c>
      <c r="G375" s="8" t="s">
        <v>117</v>
      </c>
      <c r="H375" s="19" t="s">
        <v>43</v>
      </c>
      <c r="I375" s="19"/>
      <c r="J375" s="19"/>
      <c r="K375" s="19"/>
      <c r="L375" s="19" t="n">
        <v>0</v>
      </c>
      <c r="M375" s="19"/>
      <c r="N375" s="19" t="n">
        <v>0</v>
      </c>
      <c r="O375" s="19" t="n">
        <v>0</v>
      </c>
      <c r="P375" s="17" t="n">
        <f aca="false">IF(AND(ISNUMBER(H375),ISNUMBER(I375)),MAX(0,ROUND((I375-H375)*1440,0)-'Bilan agents'!$C$4),0)</f>
        <v>0</v>
      </c>
      <c r="Q375" s="8" t="str">
        <f aca="false">IF(H375="Congé","CP",IF(H375="Férié","F",IF(H375="OFF","R",IF(N375&gt;0,"A",IF(ISNUMBER(I375),"P","NR")))))</f>
        <v>CP</v>
      </c>
      <c r="R375" s="18"/>
    </row>
    <row r="376" customFormat="false" ht="15" hidden="false" customHeight="false" outlineLevel="0" collapsed="false">
      <c r="A376" s="18" t="s">
        <v>26</v>
      </c>
      <c r="B376" s="8" t="s">
        <v>27</v>
      </c>
      <c r="C376" s="9" t="n">
        <v>46288</v>
      </c>
      <c r="D376" s="8" t="n">
        <v>2026</v>
      </c>
      <c r="E376" s="8" t="n">
        <v>39</v>
      </c>
      <c r="F376" s="18" t="s">
        <v>131</v>
      </c>
      <c r="G376" s="8" t="s">
        <v>118</v>
      </c>
      <c r="H376" s="19" t="n">
        <v>0.333333333333333</v>
      </c>
      <c r="I376" s="19" t="n">
        <v>0.333333333333333</v>
      </c>
      <c r="J376" s="19" t="n">
        <v>0.75</v>
      </c>
      <c r="K376" s="19" t="n">
        <v>0.75</v>
      </c>
      <c r="L376" s="19" t="n">
        <v>0.375</v>
      </c>
      <c r="M376" s="19" t="n">
        <v>0.375</v>
      </c>
      <c r="N376" s="19" t="n">
        <v>0</v>
      </c>
      <c r="O376" s="19" t="n">
        <v>0</v>
      </c>
      <c r="P376" s="17" t="n">
        <f aca="false">IF(AND(ISNUMBER(H376),ISNUMBER(I376)),MAX(0,ROUND((I376-H376)*1440,0)-'Bilan agents'!$C$4),0)</f>
        <v>0</v>
      </c>
      <c r="Q376" s="8" t="str">
        <f aca="false">IF(H376="Congé","CP",IF(H376="Férié","F",IF(H376="OFF","R",IF(N376&gt;0,"A",IF(ISNUMBER(I376),"P","NR")))))</f>
        <v>P</v>
      </c>
      <c r="R376" s="18"/>
    </row>
    <row r="377" customFormat="false" ht="15" hidden="false" customHeight="false" outlineLevel="0" collapsed="false">
      <c r="A377" s="18" t="s">
        <v>26</v>
      </c>
      <c r="B377" s="8" t="s">
        <v>27</v>
      </c>
      <c r="C377" s="9" t="n">
        <v>46289</v>
      </c>
      <c r="D377" s="8" t="n">
        <v>2026</v>
      </c>
      <c r="E377" s="8" t="n">
        <v>39</v>
      </c>
      <c r="F377" s="18" t="s">
        <v>131</v>
      </c>
      <c r="G377" s="8" t="s">
        <v>119</v>
      </c>
      <c r="H377" s="19" t="n">
        <v>0.333333333333333</v>
      </c>
      <c r="I377" s="19" t="n">
        <v>0.331944444444444</v>
      </c>
      <c r="J377" s="19" t="n">
        <v>0.75</v>
      </c>
      <c r="K377" s="19" t="n">
        <v>0.75</v>
      </c>
      <c r="L377" s="19" t="n">
        <v>0.375</v>
      </c>
      <c r="M377" s="19" t="n">
        <v>0.375</v>
      </c>
      <c r="N377" s="19" t="n">
        <v>0</v>
      </c>
      <c r="O377" s="19" t="n">
        <v>0.00138888888888889</v>
      </c>
      <c r="P377" s="17" t="n">
        <f aca="false">IF(AND(ISNUMBER(H377),ISNUMBER(I377)),MAX(0,ROUND((I377-H377)*1440,0)-'Bilan agents'!$C$4),0)</f>
        <v>0</v>
      </c>
      <c r="Q377" s="8" t="str">
        <f aca="false">IF(H377="Congé","CP",IF(H377="Férié","F",IF(H377="OFF","R",IF(N377&gt;0,"A",IF(ISNUMBER(I377),"P","NR")))))</f>
        <v>P</v>
      </c>
      <c r="R377" s="18"/>
    </row>
    <row r="378" customFormat="false" ht="15" hidden="false" customHeight="false" outlineLevel="0" collapsed="false">
      <c r="A378" s="18" t="s">
        <v>26</v>
      </c>
      <c r="B378" s="8" t="s">
        <v>27</v>
      </c>
      <c r="C378" s="9" t="n">
        <v>46290</v>
      </c>
      <c r="D378" s="8" t="n">
        <v>2026</v>
      </c>
      <c r="E378" s="8" t="n">
        <v>39</v>
      </c>
      <c r="F378" s="18" t="s">
        <v>131</v>
      </c>
      <c r="G378" s="8" t="s">
        <v>120</v>
      </c>
      <c r="H378" s="19" t="n">
        <v>0.333333333333333</v>
      </c>
      <c r="I378" s="19" t="n">
        <v>0.332638888888889</v>
      </c>
      <c r="J378" s="19" t="n">
        <v>0.708333333333333</v>
      </c>
      <c r="K378" s="19" t="n">
        <v>0.708333333333333</v>
      </c>
      <c r="L378" s="19" t="n">
        <v>0.333333333333333</v>
      </c>
      <c r="M378" s="19" t="n">
        <v>0.333333333333333</v>
      </c>
      <c r="N378" s="19" t="n">
        <v>0</v>
      </c>
      <c r="O378" s="19" t="n">
        <v>0</v>
      </c>
      <c r="P378" s="17" t="n">
        <f aca="false">IF(AND(ISNUMBER(H378),ISNUMBER(I378)),MAX(0,ROUND((I378-H378)*1440,0)-'Bilan agents'!$C$4),0)</f>
        <v>0</v>
      </c>
      <c r="Q378" s="8" t="str">
        <f aca="false">IF(H378="Congé","CP",IF(H378="Férié","F",IF(H378="OFF","R",IF(N378&gt;0,"A",IF(ISNUMBER(I378),"P","NR")))))</f>
        <v>P</v>
      </c>
      <c r="R378" s="18"/>
    </row>
    <row r="379" customFormat="false" ht="15" hidden="false" customHeight="false" outlineLevel="0" collapsed="false">
      <c r="A379" s="18" t="s">
        <v>26</v>
      </c>
      <c r="B379" s="8" t="s">
        <v>27</v>
      </c>
      <c r="C379" s="9" t="n">
        <v>46291</v>
      </c>
      <c r="D379" s="8" t="n">
        <v>2026</v>
      </c>
      <c r="E379" s="8" t="n">
        <v>39</v>
      </c>
      <c r="F379" s="18" t="s">
        <v>131</v>
      </c>
      <c r="G379" s="8" t="s">
        <v>121</v>
      </c>
      <c r="H379" s="19" t="s">
        <v>115</v>
      </c>
      <c r="I379" s="19"/>
      <c r="J379" s="19"/>
      <c r="K379" s="19"/>
      <c r="L379" s="19" t="n">
        <v>0</v>
      </c>
      <c r="M379" s="19"/>
      <c r="N379" s="19" t="n">
        <v>0</v>
      </c>
      <c r="O379" s="19" t="n">
        <v>0</v>
      </c>
      <c r="P379" s="17" t="n">
        <f aca="false">IF(AND(ISNUMBER(H379),ISNUMBER(I379)),MAX(0,ROUND((I379-H379)*1440,0)-'Bilan agents'!$C$4),0)</f>
        <v>0</v>
      </c>
      <c r="Q379" s="8" t="str">
        <f aca="false">IF(H379="Congé","CP",IF(H379="Férié","F",IF(H379="OFF","R",IF(N379&gt;0,"A",IF(ISNUMBER(I379),"P","NR")))))</f>
        <v>R</v>
      </c>
      <c r="R379" s="18"/>
    </row>
    <row r="380" customFormat="false" ht="15" hidden="false" customHeight="false" outlineLevel="0" collapsed="false">
      <c r="A380" s="18" t="s">
        <v>26</v>
      </c>
      <c r="B380" s="8" t="s">
        <v>27</v>
      </c>
      <c r="C380" s="9" t="n">
        <v>46292</v>
      </c>
      <c r="D380" s="8" t="n">
        <v>2026</v>
      </c>
      <c r="E380" s="8" t="n">
        <v>39</v>
      </c>
      <c r="F380" s="18" t="s">
        <v>131</v>
      </c>
      <c r="G380" s="8" t="s">
        <v>114</v>
      </c>
      <c r="H380" s="19" t="s">
        <v>115</v>
      </c>
      <c r="I380" s="19"/>
      <c r="J380" s="19"/>
      <c r="K380" s="19"/>
      <c r="L380" s="19" t="n">
        <v>0</v>
      </c>
      <c r="M380" s="19"/>
      <c r="N380" s="19" t="n">
        <v>0</v>
      </c>
      <c r="O380" s="19" t="n">
        <v>0</v>
      </c>
      <c r="P380" s="17" t="n">
        <f aca="false">IF(AND(ISNUMBER(H380),ISNUMBER(I380)),MAX(0,ROUND((I380-H380)*1440,0)-'Bilan agents'!$C$4),0)</f>
        <v>0</v>
      </c>
      <c r="Q380" s="8" t="str">
        <f aca="false">IF(H380="Congé","CP",IF(H380="Férié","F",IF(H380="OFF","R",IF(N380&gt;0,"A",IF(ISNUMBER(I380),"P","NR")))))</f>
        <v>R</v>
      </c>
      <c r="R380" s="18"/>
    </row>
    <row r="381" customFormat="false" ht="15" hidden="false" customHeight="false" outlineLevel="0" collapsed="false">
      <c r="A381" s="18" t="s">
        <v>26</v>
      </c>
      <c r="B381" s="8" t="s">
        <v>27</v>
      </c>
      <c r="C381" s="9" t="n">
        <v>46293</v>
      </c>
      <c r="D381" s="8" t="n">
        <v>2026</v>
      </c>
      <c r="E381" s="8" t="n">
        <v>40</v>
      </c>
      <c r="F381" s="18" t="s">
        <v>131</v>
      </c>
      <c r="G381" s="8" t="s">
        <v>116</v>
      </c>
      <c r="H381" s="19" t="n">
        <v>0.333333333333333</v>
      </c>
      <c r="I381" s="19" t="n">
        <v>0.331944444444444</v>
      </c>
      <c r="J381" s="19" t="n">
        <v>0.75</v>
      </c>
      <c r="K381" s="19" t="n">
        <v>0.75</v>
      </c>
      <c r="L381" s="19" t="n">
        <v>0.375</v>
      </c>
      <c r="M381" s="19" t="n">
        <v>0.375</v>
      </c>
      <c r="N381" s="19" t="n">
        <v>0</v>
      </c>
      <c r="O381" s="19" t="n">
        <v>0.00138888888888889</v>
      </c>
      <c r="P381" s="17" t="n">
        <f aca="false">IF(AND(ISNUMBER(H381),ISNUMBER(I381)),MAX(0,ROUND((I381-H381)*1440,0)-'Bilan agents'!$C$4),0)</f>
        <v>0</v>
      </c>
      <c r="Q381" s="8" t="str">
        <f aca="false">IF(H381="Congé","CP",IF(H381="Férié","F",IF(H381="OFF","R",IF(N381&gt;0,"A",IF(ISNUMBER(I381),"P","NR")))))</f>
        <v>P</v>
      </c>
      <c r="R381" s="18"/>
    </row>
    <row r="382" customFormat="false" ht="15" hidden="false" customHeight="false" outlineLevel="0" collapsed="false">
      <c r="A382" s="18" t="s">
        <v>26</v>
      </c>
      <c r="B382" s="8" t="s">
        <v>27</v>
      </c>
      <c r="C382" s="9" t="n">
        <v>46294</v>
      </c>
      <c r="D382" s="8" t="n">
        <v>2026</v>
      </c>
      <c r="E382" s="8" t="n">
        <v>40</v>
      </c>
      <c r="F382" s="18" t="s">
        <v>131</v>
      </c>
      <c r="G382" s="8" t="s">
        <v>117</v>
      </c>
      <c r="H382" s="19" t="n">
        <v>0.333333333333333</v>
      </c>
      <c r="I382" s="19" t="n">
        <v>0.33125</v>
      </c>
      <c r="J382" s="19" t="n">
        <v>0.75</v>
      </c>
      <c r="K382" s="19" t="n">
        <v>0.75</v>
      </c>
      <c r="L382" s="19" t="n">
        <v>0.375</v>
      </c>
      <c r="M382" s="19" t="n">
        <v>0.375</v>
      </c>
      <c r="N382" s="19" t="n">
        <v>0</v>
      </c>
      <c r="O382" s="19" t="n">
        <v>0.00208333333333333</v>
      </c>
      <c r="P382" s="17" t="n">
        <f aca="false">IF(AND(ISNUMBER(H382),ISNUMBER(I382)),MAX(0,ROUND((I382-H382)*1440,0)-'Bilan agents'!$C$4),0)</f>
        <v>0</v>
      </c>
      <c r="Q382" s="8" t="str">
        <f aca="false">IF(H382="Congé","CP",IF(H382="Férié","F",IF(H382="OFF","R",IF(N382&gt;0,"A",IF(ISNUMBER(I382),"P","NR")))))</f>
        <v>P</v>
      </c>
      <c r="R382" s="18"/>
    </row>
    <row r="383" customFormat="false" ht="15" hidden="false" customHeight="false" outlineLevel="0" collapsed="false">
      <c r="A383" s="18" t="s">
        <v>26</v>
      </c>
      <c r="B383" s="8" t="s">
        <v>27</v>
      </c>
      <c r="C383" s="9" t="n">
        <v>46295</v>
      </c>
      <c r="D383" s="8" t="n">
        <v>2026</v>
      </c>
      <c r="E383" s="8" t="n">
        <v>40</v>
      </c>
      <c r="F383" s="18" t="s">
        <v>131</v>
      </c>
      <c r="G383" s="8" t="s">
        <v>118</v>
      </c>
      <c r="H383" s="19" t="n">
        <v>0.333333333333333</v>
      </c>
      <c r="I383" s="19" t="n">
        <v>0.331944444444444</v>
      </c>
      <c r="J383" s="19" t="n">
        <v>0.75</v>
      </c>
      <c r="K383" s="19" t="n">
        <v>0.75</v>
      </c>
      <c r="L383" s="19" t="n">
        <v>0.375</v>
      </c>
      <c r="M383" s="19" t="n">
        <v>0.375</v>
      </c>
      <c r="N383" s="19" t="n">
        <v>0</v>
      </c>
      <c r="O383" s="19" t="n">
        <v>0.00138888888888889</v>
      </c>
      <c r="P383" s="17" t="n">
        <f aca="false">IF(AND(ISNUMBER(H383),ISNUMBER(I383)),MAX(0,ROUND((I383-H383)*1440,0)-'Bilan agents'!$C$4),0)</f>
        <v>0</v>
      </c>
      <c r="Q383" s="8" t="str">
        <f aca="false">IF(H383="Congé","CP",IF(H383="Férié","F",IF(H383="OFF","R",IF(N383&gt;0,"A",IF(ISNUMBER(I383),"P","NR")))))</f>
        <v>P</v>
      </c>
      <c r="R383" s="18"/>
    </row>
    <row r="384" customFormat="false" ht="15" hidden="false" customHeight="false" outlineLevel="0" collapsed="false">
      <c r="A384" s="18" t="s">
        <v>26</v>
      </c>
      <c r="B384" s="8" t="s">
        <v>27</v>
      </c>
      <c r="C384" s="9" t="n">
        <v>46296</v>
      </c>
      <c r="D384" s="8" t="n">
        <v>2026</v>
      </c>
      <c r="E384" s="8" t="n">
        <v>40</v>
      </c>
      <c r="F384" s="18" t="s">
        <v>133</v>
      </c>
      <c r="G384" s="8" t="s">
        <v>119</v>
      </c>
      <c r="H384" s="19" t="n">
        <v>0.333333333333333</v>
      </c>
      <c r="I384" s="19" t="n">
        <v>0.333333333333333</v>
      </c>
      <c r="J384" s="19" t="n">
        <v>0.75</v>
      </c>
      <c r="K384" s="19" t="n">
        <v>0.75</v>
      </c>
      <c r="L384" s="19" t="n">
        <v>0.375</v>
      </c>
      <c r="M384" s="19" t="n">
        <v>0.375</v>
      </c>
      <c r="N384" s="19" t="n">
        <v>0</v>
      </c>
      <c r="O384" s="19" t="n">
        <v>0</v>
      </c>
      <c r="P384" s="17" t="n">
        <f aca="false">IF(AND(ISNUMBER(H384),ISNUMBER(I384)),MAX(0,ROUND((I384-H384)*1440,0)-'Bilan agents'!$C$4),0)</f>
        <v>0</v>
      </c>
      <c r="Q384" s="8" t="str">
        <f aca="false">IF(H384="Congé","CP",IF(H384="Férié","F",IF(H384="OFF","R",IF(N384&gt;0,"A",IF(ISNUMBER(I384),"P","NR")))))</f>
        <v>P</v>
      </c>
      <c r="R384" s="18"/>
    </row>
    <row r="385" customFormat="false" ht="15" hidden="false" customHeight="false" outlineLevel="0" collapsed="false">
      <c r="A385" s="18" t="s">
        <v>26</v>
      </c>
      <c r="B385" s="8" t="s">
        <v>27</v>
      </c>
      <c r="C385" s="9" t="n">
        <v>46297</v>
      </c>
      <c r="D385" s="8" t="n">
        <v>2026</v>
      </c>
      <c r="E385" s="8" t="n">
        <v>40</v>
      </c>
      <c r="F385" s="18" t="s">
        <v>133</v>
      </c>
      <c r="G385" s="8" t="s">
        <v>120</v>
      </c>
      <c r="H385" s="19" t="n">
        <v>0.333333333333333</v>
      </c>
      <c r="I385" s="19" t="n">
        <v>0.333333333333333</v>
      </c>
      <c r="J385" s="19" t="n">
        <v>0.708333333333333</v>
      </c>
      <c r="K385" s="19" t="n">
        <v>0.708333333333333</v>
      </c>
      <c r="L385" s="19" t="n">
        <v>0.333333333333333</v>
      </c>
      <c r="M385" s="19" t="n">
        <v>0.333333333333333</v>
      </c>
      <c r="N385" s="19" t="n">
        <v>0</v>
      </c>
      <c r="O385" s="19" t="n">
        <v>0</v>
      </c>
      <c r="P385" s="17" t="n">
        <f aca="false">IF(AND(ISNUMBER(H385),ISNUMBER(I385)),MAX(0,ROUND((I385-H385)*1440,0)-'Bilan agents'!$C$4),0)</f>
        <v>0</v>
      </c>
      <c r="Q385" s="8" t="str">
        <f aca="false">IF(H385="Congé","CP",IF(H385="Férié","F",IF(H385="OFF","R",IF(N385&gt;0,"A",IF(ISNUMBER(I385),"P","NR")))))</f>
        <v>P</v>
      </c>
      <c r="R385" s="18"/>
    </row>
    <row r="386" customFormat="false" ht="15" hidden="false" customHeight="false" outlineLevel="0" collapsed="false">
      <c r="A386" s="18" t="s">
        <v>26</v>
      </c>
      <c r="B386" s="8" t="s">
        <v>27</v>
      </c>
      <c r="C386" s="9" t="n">
        <v>46298</v>
      </c>
      <c r="D386" s="8" t="n">
        <v>2026</v>
      </c>
      <c r="E386" s="8" t="n">
        <v>40</v>
      </c>
      <c r="F386" s="18" t="s">
        <v>133</v>
      </c>
      <c r="G386" s="8" t="s">
        <v>121</v>
      </c>
      <c r="H386" s="19" t="s">
        <v>115</v>
      </c>
      <c r="I386" s="19"/>
      <c r="J386" s="19"/>
      <c r="K386" s="19"/>
      <c r="L386" s="19" t="n">
        <v>0</v>
      </c>
      <c r="M386" s="19"/>
      <c r="N386" s="19" t="n">
        <v>0</v>
      </c>
      <c r="O386" s="19" t="n">
        <v>0</v>
      </c>
      <c r="P386" s="17" t="n">
        <f aca="false">IF(AND(ISNUMBER(H386),ISNUMBER(I386)),MAX(0,ROUND((I386-H386)*1440,0)-'Bilan agents'!$C$4),0)</f>
        <v>0</v>
      </c>
      <c r="Q386" s="8" t="str">
        <f aca="false">IF(H386="Congé","CP",IF(H386="Férié","F",IF(H386="OFF","R",IF(N386&gt;0,"A",IF(ISNUMBER(I386),"P","NR")))))</f>
        <v>R</v>
      </c>
      <c r="R386" s="18"/>
    </row>
    <row r="387" customFormat="false" ht="15" hidden="false" customHeight="false" outlineLevel="0" collapsed="false">
      <c r="A387" s="18" t="s">
        <v>26</v>
      </c>
      <c r="B387" s="8" t="s">
        <v>27</v>
      </c>
      <c r="C387" s="9" t="n">
        <v>46299</v>
      </c>
      <c r="D387" s="8" t="n">
        <v>2026</v>
      </c>
      <c r="E387" s="8" t="n">
        <v>40</v>
      </c>
      <c r="F387" s="18" t="s">
        <v>133</v>
      </c>
      <c r="G387" s="8" t="s">
        <v>114</v>
      </c>
      <c r="H387" s="19" t="s">
        <v>115</v>
      </c>
      <c r="I387" s="19"/>
      <c r="J387" s="19"/>
      <c r="K387" s="19"/>
      <c r="L387" s="19" t="n">
        <v>0</v>
      </c>
      <c r="M387" s="19"/>
      <c r="N387" s="19" t="n">
        <v>0</v>
      </c>
      <c r="O387" s="19" t="n">
        <v>0</v>
      </c>
      <c r="P387" s="17" t="n">
        <f aca="false">IF(AND(ISNUMBER(H387),ISNUMBER(I387)),MAX(0,ROUND((I387-H387)*1440,0)-'Bilan agents'!$C$4),0)</f>
        <v>0</v>
      </c>
      <c r="Q387" s="8" t="str">
        <f aca="false">IF(H387="Congé","CP",IF(H387="Férié","F",IF(H387="OFF","R",IF(N387&gt;0,"A",IF(ISNUMBER(I387),"P","NR")))))</f>
        <v>R</v>
      </c>
      <c r="R387" s="18"/>
    </row>
    <row r="388" customFormat="false" ht="15" hidden="false" customHeight="false" outlineLevel="0" collapsed="false">
      <c r="A388" s="18" t="s">
        <v>26</v>
      </c>
      <c r="B388" s="8" t="s">
        <v>27</v>
      </c>
      <c r="C388" s="9" t="n">
        <v>46300</v>
      </c>
      <c r="D388" s="8" t="n">
        <v>2026</v>
      </c>
      <c r="E388" s="8" t="n">
        <v>41</v>
      </c>
      <c r="F388" s="18" t="s">
        <v>133</v>
      </c>
      <c r="G388" s="8" t="s">
        <v>116</v>
      </c>
      <c r="H388" s="19" t="n">
        <v>0.333333333333333</v>
      </c>
      <c r="I388" s="19" t="n">
        <v>0.333333333333333</v>
      </c>
      <c r="J388" s="19" t="n">
        <v>0.75</v>
      </c>
      <c r="K388" s="19" t="n">
        <v>0.75</v>
      </c>
      <c r="L388" s="19" t="n">
        <v>0.375</v>
      </c>
      <c r="M388" s="19" t="n">
        <v>0.375</v>
      </c>
      <c r="N388" s="19" t="n">
        <v>0</v>
      </c>
      <c r="O388" s="19" t="n">
        <v>0</v>
      </c>
      <c r="P388" s="17" t="n">
        <f aca="false">IF(AND(ISNUMBER(H388),ISNUMBER(I388)),MAX(0,ROUND((I388-H388)*1440,0)-'Bilan agents'!$C$4),0)</f>
        <v>0</v>
      </c>
      <c r="Q388" s="8" t="str">
        <f aca="false">IF(H388="Congé","CP",IF(H388="Férié","F",IF(H388="OFF","R",IF(N388&gt;0,"A",IF(ISNUMBER(I388),"P","NR")))))</f>
        <v>P</v>
      </c>
      <c r="R388" s="18"/>
    </row>
    <row r="389" customFormat="false" ht="15" hidden="false" customHeight="false" outlineLevel="0" collapsed="false">
      <c r="A389" s="18" t="s">
        <v>26</v>
      </c>
      <c r="B389" s="8" t="s">
        <v>27</v>
      </c>
      <c r="C389" s="9" t="n">
        <v>46301</v>
      </c>
      <c r="D389" s="8" t="n">
        <v>2026</v>
      </c>
      <c r="E389" s="8" t="n">
        <v>41</v>
      </c>
      <c r="F389" s="18" t="s">
        <v>133</v>
      </c>
      <c r="G389" s="8" t="s">
        <v>117</v>
      </c>
      <c r="H389" s="19" t="n">
        <v>0.333333333333333</v>
      </c>
      <c r="I389" s="19" t="n">
        <v>0.333333333333333</v>
      </c>
      <c r="J389" s="19" t="n">
        <v>0.75</v>
      </c>
      <c r="K389" s="19" t="n">
        <v>0.75</v>
      </c>
      <c r="L389" s="19" t="n">
        <v>0.375</v>
      </c>
      <c r="M389" s="19" t="n">
        <v>0.375</v>
      </c>
      <c r="N389" s="19" t="n">
        <v>0</v>
      </c>
      <c r="O389" s="19" t="n">
        <v>0</v>
      </c>
      <c r="P389" s="17" t="n">
        <f aca="false">IF(AND(ISNUMBER(H389),ISNUMBER(I389)),MAX(0,ROUND((I389-H389)*1440,0)-'Bilan agents'!$C$4),0)</f>
        <v>0</v>
      </c>
      <c r="Q389" s="8" t="str">
        <f aca="false">IF(H389="Congé","CP",IF(H389="Férié","F",IF(H389="OFF","R",IF(N389&gt;0,"A",IF(ISNUMBER(I389),"P","NR")))))</f>
        <v>P</v>
      </c>
      <c r="R389" s="18"/>
    </row>
    <row r="390" customFormat="false" ht="15" hidden="false" customHeight="false" outlineLevel="0" collapsed="false">
      <c r="A390" s="18" t="s">
        <v>26</v>
      </c>
      <c r="B390" s="8" t="s">
        <v>27</v>
      </c>
      <c r="C390" s="9" t="n">
        <v>46302</v>
      </c>
      <c r="D390" s="8" t="n">
        <v>2026</v>
      </c>
      <c r="E390" s="8" t="n">
        <v>41</v>
      </c>
      <c r="F390" s="18" t="s">
        <v>133</v>
      </c>
      <c r="G390" s="8" t="s">
        <v>118</v>
      </c>
      <c r="H390" s="19" t="n">
        <v>0.333333333333333</v>
      </c>
      <c r="I390" s="19" t="n">
        <v>0.333333333333333</v>
      </c>
      <c r="J390" s="19" t="n">
        <v>0.75</v>
      </c>
      <c r="K390" s="19" t="n">
        <v>0.75</v>
      </c>
      <c r="L390" s="19" t="n">
        <v>0.375</v>
      </c>
      <c r="M390" s="19" t="n">
        <v>0.375</v>
      </c>
      <c r="N390" s="19" t="n">
        <v>0</v>
      </c>
      <c r="O390" s="19" t="n">
        <v>0</v>
      </c>
      <c r="P390" s="17" t="n">
        <f aca="false">IF(AND(ISNUMBER(H390),ISNUMBER(I390)),MAX(0,ROUND((I390-H390)*1440,0)-'Bilan agents'!$C$4),0)</f>
        <v>0</v>
      </c>
      <c r="Q390" s="8" t="str">
        <f aca="false">IF(H390="Congé","CP",IF(H390="Férié","F",IF(H390="OFF","R",IF(N390&gt;0,"A",IF(ISNUMBER(I390),"P","NR")))))</f>
        <v>P</v>
      </c>
      <c r="R390" s="18"/>
    </row>
    <row r="391" customFormat="false" ht="15" hidden="false" customHeight="false" outlineLevel="0" collapsed="false">
      <c r="A391" s="18" t="s">
        <v>26</v>
      </c>
      <c r="B391" s="8" t="s">
        <v>27</v>
      </c>
      <c r="C391" s="9" t="n">
        <v>46303</v>
      </c>
      <c r="D391" s="8" t="n">
        <v>2026</v>
      </c>
      <c r="E391" s="8" t="n">
        <v>41</v>
      </c>
      <c r="F391" s="18" t="s">
        <v>133</v>
      </c>
      <c r="G391" s="8" t="s">
        <v>119</v>
      </c>
      <c r="H391" s="19" t="n">
        <v>0.333333333333333</v>
      </c>
      <c r="I391" s="19" t="n">
        <v>0.332638888888889</v>
      </c>
      <c r="J391" s="19" t="n">
        <v>0.75</v>
      </c>
      <c r="K391" s="19" t="n">
        <v>0.75</v>
      </c>
      <c r="L391" s="19" t="n">
        <v>0.375</v>
      </c>
      <c r="M391" s="19" t="n">
        <v>0.375</v>
      </c>
      <c r="N391" s="19" t="n">
        <v>0</v>
      </c>
      <c r="O391" s="19" t="n">
        <v>0</v>
      </c>
      <c r="P391" s="17" t="n">
        <f aca="false">IF(AND(ISNUMBER(H391),ISNUMBER(I391)),MAX(0,ROUND((I391-H391)*1440,0)-'Bilan agents'!$C$4),0)</f>
        <v>0</v>
      </c>
      <c r="Q391" s="8" t="str">
        <f aca="false">IF(H391="Congé","CP",IF(H391="Férié","F",IF(H391="OFF","R",IF(N391&gt;0,"A",IF(ISNUMBER(I391),"P","NR")))))</f>
        <v>P</v>
      </c>
      <c r="R391" s="18"/>
    </row>
    <row r="392" customFormat="false" ht="15" hidden="false" customHeight="false" outlineLevel="0" collapsed="false">
      <c r="A392" s="18" t="s">
        <v>26</v>
      </c>
      <c r="B392" s="8" t="s">
        <v>27</v>
      </c>
      <c r="C392" s="9" t="n">
        <v>46304</v>
      </c>
      <c r="D392" s="8" t="n">
        <v>2026</v>
      </c>
      <c r="E392" s="8" t="n">
        <v>41</v>
      </c>
      <c r="F392" s="18" t="s">
        <v>133</v>
      </c>
      <c r="G392" s="8" t="s">
        <v>120</v>
      </c>
      <c r="H392" s="19" t="n">
        <v>0.333333333333333</v>
      </c>
      <c r="I392" s="19" t="n">
        <v>0.333333333333333</v>
      </c>
      <c r="J392" s="19" t="n">
        <v>0.708333333333333</v>
      </c>
      <c r="K392" s="19" t="n">
        <v>0.708333333333333</v>
      </c>
      <c r="L392" s="19" t="n">
        <v>0.333333333333333</v>
      </c>
      <c r="M392" s="19" t="n">
        <v>0.333333333333333</v>
      </c>
      <c r="N392" s="19" t="n">
        <v>0</v>
      </c>
      <c r="O392" s="19" t="n">
        <v>0</v>
      </c>
      <c r="P392" s="17" t="n">
        <f aca="false">IF(AND(ISNUMBER(H392),ISNUMBER(I392)),MAX(0,ROUND((I392-H392)*1440,0)-'Bilan agents'!$C$4),0)</f>
        <v>0</v>
      </c>
      <c r="Q392" s="8" t="str">
        <f aca="false">IF(H392="Congé","CP",IF(H392="Férié","F",IF(H392="OFF","R",IF(N392&gt;0,"A",IF(ISNUMBER(I392),"P","NR")))))</f>
        <v>P</v>
      </c>
      <c r="R392" s="18"/>
    </row>
    <row r="393" customFormat="false" ht="15" hidden="false" customHeight="false" outlineLevel="0" collapsed="false">
      <c r="A393" s="18" t="s">
        <v>26</v>
      </c>
      <c r="B393" s="8" t="s">
        <v>27</v>
      </c>
      <c r="C393" s="9" t="n">
        <v>46305</v>
      </c>
      <c r="D393" s="8" t="n">
        <v>2026</v>
      </c>
      <c r="E393" s="8" t="n">
        <v>41</v>
      </c>
      <c r="F393" s="18" t="s">
        <v>133</v>
      </c>
      <c r="G393" s="8" t="s">
        <v>121</v>
      </c>
      <c r="H393" s="19" t="s">
        <v>115</v>
      </c>
      <c r="I393" s="19"/>
      <c r="J393" s="19"/>
      <c r="K393" s="19"/>
      <c r="L393" s="19" t="n">
        <v>0</v>
      </c>
      <c r="M393" s="19"/>
      <c r="N393" s="19" t="n">
        <v>0</v>
      </c>
      <c r="O393" s="19" t="n">
        <v>0</v>
      </c>
      <c r="P393" s="17" t="n">
        <f aca="false">IF(AND(ISNUMBER(H393),ISNUMBER(I393)),MAX(0,ROUND((I393-H393)*1440,0)-'Bilan agents'!$C$4),0)</f>
        <v>0</v>
      </c>
      <c r="Q393" s="8" t="str">
        <f aca="false">IF(H393="Congé","CP",IF(H393="Férié","F",IF(H393="OFF","R",IF(N393&gt;0,"A",IF(ISNUMBER(I393),"P","NR")))))</f>
        <v>R</v>
      </c>
      <c r="R393" s="18"/>
    </row>
    <row r="394" customFormat="false" ht="15" hidden="false" customHeight="false" outlineLevel="0" collapsed="false">
      <c r="A394" s="18" t="s">
        <v>26</v>
      </c>
      <c r="B394" s="8" t="s">
        <v>27</v>
      </c>
      <c r="C394" s="9" t="n">
        <v>46306</v>
      </c>
      <c r="D394" s="8" t="n">
        <v>2026</v>
      </c>
      <c r="E394" s="8" t="n">
        <v>41</v>
      </c>
      <c r="F394" s="18" t="s">
        <v>133</v>
      </c>
      <c r="G394" s="8" t="s">
        <v>114</v>
      </c>
      <c r="H394" s="19" t="s">
        <v>115</v>
      </c>
      <c r="I394" s="19"/>
      <c r="J394" s="19"/>
      <c r="K394" s="19"/>
      <c r="L394" s="19" t="n">
        <v>0</v>
      </c>
      <c r="M394" s="19"/>
      <c r="N394" s="19" t="n">
        <v>0</v>
      </c>
      <c r="O394" s="19" t="n">
        <v>0</v>
      </c>
      <c r="P394" s="17" t="n">
        <f aca="false">IF(AND(ISNUMBER(H394),ISNUMBER(I394)),MAX(0,ROUND((I394-H394)*1440,0)-'Bilan agents'!$C$4),0)</f>
        <v>0</v>
      </c>
      <c r="Q394" s="8" t="str">
        <f aca="false">IF(H394="Congé","CP",IF(H394="Férié","F",IF(H394="OFF","R",IF(N394&gt;0,"A",IF(ISNUMBER(I394),"P","NR")))))</f>
        <v>R</v>
      </c>
      <c r="R394" s="18"/>
    </row>
    <row r="395" customFormat="false" ht="15" hidden="false" customHeight="false" outlineLevel="0" collapsed="false">
      <c r="A395" s="18" t="s">
        <v>28</v>
      </c>
      <c r="B395" s="8" t="s">
        <v>29</v>
      </c>
      <c r="C395" s="9" t="n">
        <v>46012</v>
      </c>
      <c r="D395" s="8" t="n">
        <v>2025</v>
      </c>
      <c r="E395" s="8" t="n">
        <v>51</v>
      </c>
      <c r="F395" s="18" t="s">
        <v>113</v>
      </c>
      <c r="G395" s="8" t="s">
        <v>114</v>
      </c>
      <c r="H395" s="19" t="s">
        <v>115</v>
      </c>
      <c r="I395" s="19"/>
      <c r="J395" s="19"/>
      <c r="K395" s="19"/>
      <c r="L395" s="19" t="n">
        <v>0</v>
      </c>
      <c r="M395" s="19"/>
      <c r="N395" s="19" t="n">
        <v>0</v>
      </c>
      <c r="O395" s="19" t="n">
        <v>0</v>
      </c>
      <c r="P395" s="17" t="n">
        <f aca="false">IF(AND(ISNUMBER(H395),ISNUMBER(I395)),MAX(0,ROUND((I395-H395)*1440,0)-'Bilan agents'!$C$4),0)</f>
        <v>0</v>
      </c>
      <c r="Q395" s="8" t="str">
        <f aca="false">IF(H395="Congé","CP",IF(H395="Férié","F",IF(H395="OFF","R",IF(N395&gt;0,"A",IF(ISNUMBER(I395),"P","NR")))))</f>
        <v>R</v>
      </c>
      <c r="R395" s="18"/>
    </row>
    <row r="396" customFormat="false" ht="15" hidden="false" customHeight="false" outlineLevel="0" collapsed="false">
      <c r="A396" s="18" t="s">
        <v>28</v>
      </c>
      <c r="B396" s="8" t="s">
        <v>29</v>
      </c>
      <c r="C396" s="9" t="n">
        <v>46013</v>
      </c>
      <c r="D396" s="8" t="n">
        <v>2025</v>
      </c>
      <c r="E396" s="8" t="n">
        <v>52</v>
      </c>
      <c r="F396" s="18" t="s">
        <v>113</v>
      </c>
      <c r="G396" s="8" t="s">
        <v>116</v>
      </c>
      <c r="H396" s="19" t="n">
        <v>0.333333333333333</v>
      </c>
      <c r="I396" s="19" t="n">
        <v>0.331944444444444</v>
      </c>
      <c r="J396" s="19" t="n">
        <v>0.75</v>
      </c>
      <c r="K396" s="19" t="n">
        <v>0.75</v>
      </c>
      <c r="L396" s="19" t="n">
        <v>0.375</v>
      </c>
      <c r="M396" s="19" t="n">
        <v>0.375</v>
      </c>
      <c r="N396" s="19" t="n">
        <v>0</v>
      </c>
      <c r="O396" s="19" t="n">
        <v>0.00138888888888889</v>
      </c>
      <c r="P396" s="17" t="n">
        <f aca="false">IF(AND(ISNUMBER(H396),ISNUMBER(I396)),MAX(0,ROUND((I396-H396)*1440,0)-'Bilan agents'!$C$4),0)</f>
        <v>0</v>
      </c>
      <c r="Q396" s="8" t="str">
        <f aca="false">IF(H396="Congé","CP",IF(H396="Férié","F",IF(H396="OFF","R",IF(N396&gt;0,"A",IF(ISNUMBER(I396),"P","NR")))))</f>
        <v>P</v>
      </c>
      <c r="R396" s="18"/>
    </row>
    <row r="397" customFormat="false" ht="15" hidden="false" customHeight="false" outlineLevel="0" collapsed="false">
      <c r="A397" s="18" t="s">
        <v>28</v>
      </c>
      <c r="B397" s="8" t="s">
        <v>29</v>
      </c>
      <c r="C397" s="9" t="n">
        <v>46014</v>
      </c>
      <c r="D397" s="8" t="n">
        <v>2025</v>
      </c>
      <c r="E397" s="8" t="n">
        <v>52</v>
      </c>
      <c r="F397" s="18" t="s">
        <v>113</v>
      </c>
      <c r="G397" s="8" t="s">
        <v>117</v>
      </c>
      <c r="H397" s="19" t="n">
        <v>0.333333333333333</v>
      </c>
      <c r="I397" s="19" t="n">
        <v>0.331944444444444</v>
      </c>
      <c r="J397" s="19" t="n">
        <v>0.75</v>
      </c>
      <c r="K397" s="19" t="n">
        <v>0.75</v>
      </c>
      <c r="L397" s="19" t="n">
        <v>0.375</v>
      </c>
      <c r="M397" s="19" t="n">
        <v>0.375</v>
      </c>
      <c r="N397" s="19" t="n">
        <v>0</v>
      </c>
      <c r="O397" s="19" t="n">
        <v>0.00138888888888889</v>
      </c>
      <c r="P397" s="17" t="n">
        <f aca="false">IF(AND(ISNUMBER(H397),ISNUMBER(I397)),MAX(0,ROUND((I397-H397)*1440,0)-'Bilan agents'!$C$4),0)</f>
        <v>0</v>
      </c>
      <c r="Q397" s="8" t="str">
        <f aca="false">IF(H397="Congé","CP",IF(H397="Férié","F",IF(H397="OFF","R",IF(N397&gt;0,"A",IF(ISNUMBER(I397),"P","NR")))))</f>
        <v>P</v>
      </c>
      <c r="R397" s="18"/>
    </row>
    <row r="398" customFormat="false" ht="15" hidden="false" customHeight="false" outlineLevel="0" collapsed="false">
      <c r="A398" s="18" t="s">
        <v>28</v>
      </c>
      <c r="B398" s="8" t="s">
        <v>29</v>
      </c>
      <c r="C398" s="9" t="n">
        <v>46015</v>
      </c>
      <c r="D398" s="8" t="n">
        <v>2025</v>
      </c>
      <c r="E398" s="8" t="n">
        <v>52</v>
      </c>
      <c r="F398" s="18" t="s">
        <v>113</v>
      </c>
      <c r="G398" s="8" t="s">
        <v>118</v>
      </c>
      <c r="H398" s="19" t="n">
        <v>0.333333333333333</v>
      </c>
      <c r="I398" s="19" t="n">
        <v>0.333333333333333</v>
      </c>
      <c r="J398" s="19" t="n">
        <v>0.75</v>
      </c>
      <c r="K398" s="19" t="n">
        <v>0.75</v>
      </c>
      <c r="L398" s="19" t="n">
        <v>0.375</v>
      </c>
      <c r="M398" s="19" t="n">
        <v>0.375</v>
      </c>
      <c r="N398" s="19" t="n">
        <v>0</v>
      </c>
      <c r="O398" s="19" t="n">
        <v>0</v>
      </c>
      <c r="P398" s="17" t="n">
        <f aca="false">IF(AND(ISNUMBER(H398),ISNUMBER(I398)),MAX(0,ROUND((I398-H398)*1440,0)-'Bilan agents'!$C$4),0)</f>
        <v>0</v>
      </c>
      <c r="Q398" s="8" t="str">
        <f aca="false">IF(H398="Congé","CP",IF(H398="Férié","F",IF(H398="OFF","R",IF(N398&gt;0,"A",IF(ISNUMBER(I398),"P","NR")))))</f>
        <v>P</v>
      </c>
      <c r="R398" s="18"/>
    </row>
    <row r="399" customFormat="false" ht="15" hidden="false" customHeight="false" outlineLevel="0" collapsed="false">
      <c r="A399" s="18" t="s">
        <v>28</v>
      </c>
      <c r="B399" s="8" t="s">
        <v>29</v>
      </c>
      <c r="C399" s="9" t="n">
        <v>46016</v>
      </c>
      <c r="D399" s="8" t="n">
        <v>2025</v>
      </c>
      <c r="E399" s="8" t="n">
        <v>52</v>
      </c>
      <c r="F399" s="18" t="s">
        <v>113</v>
      </c>
      <c r="G399" s="8" t="s">
        <v>119</v>
      </c>
      <c r="H399" s="19" t="s">
        <v>115</v>
      </c>
      <c r="I399" s="19"/>
      <c r="J399" s="19"/>
      <c r="K399" s="19"/>
      <c r="L399" s="19" t="n">
        <v>0</v>
      </c>
      <c r="M399" s="19"/>
      <c r="N399" s="19" t="n">
        <v>0</v>
      </c>
      <c r="O399" s="19" t="n">
        <v>0</v>
      </c>
      <c r="P399" s="17" t="n">
        <f aca="false">IF(AND(ISNUMBER(H399),ISNUMBER(I399)),MAX(0,ROUND((I399-H399)*1440,0)-'Bilan agents'!$C$4),0)</f>
        <v>0</v>
      </c>
      <c r="Q399" s="8" t="str">
        <f aca="false">IF(H399="Congé","CP",IF(H399="Férié","F",IF(H399="OFF","R",IF(N399&gt;0,"A",IF(ISNUMBER(I399),"P","NR")))))</f>
        <v>R</v>
      </c>
      <c r="R399" s="18"/>
    </row>
    <row r="400" customFormat="false" ht="15" hidden="false" customHeight="false" outlineLevel="0" collapsed="false">
      <c r="A400" s="18" t="s">
        <v>28</v>
      </c>
      <c r="B400" s="8" t="s">
        <v>29</v>
      </c>
      <c r="C400" s="9" t="n">
        <v>46017</v>
      </c>
      <c r="D400" s="8" t="n">
        <v>2025</v>
      </c>
      <c r="E400" s="8" t="n">
        <v>52</v>
      </c>
      <c r="F400" s="18" t="s">
        <v>113</v>
      </c>
      <c r="G400" s="8" t="s">
        <v>120</v>
      </c>
      <c r="H400" s="19" t="n">
        <v>0.333333333333333</v>
      </c>
      <c r="I400" s="19" t="n">
        <v>0.333333333333333</v>
      </c>
      <c r="J400" s="19" t="n">
        <v>0.708333333333333</v>
      </c>
      <c r="K400" s="19" t="n">
        <v>0.708333333333333</v>
      </c>
      <c r="L400" s="19" t="n">
        <v>0.333333333333333</v>
      </c>
      <c r="M400" s="19" t="n">
        <v>0.333333333333333</v>
      </c>
      <c r="N400" s="19" t="n">
        <v>0</v>
      </c>
      <c r="O400" s="19" t="n">
        <v>0</v>
      </c>
      <c r="P400" s="17" t="n">
        <f aca="false">IF(AND(ISNUMBER(H400),ISNUMBER(I400)),MAX(0,ROUND((I400-H400)*1440,0)-'Bilan agents'!$C$4),0)</f>
        <v>0</v>
      </c>
      <c r="Q400" s="8" t="str">
        <f aca="false">IF(H400="Congé","CP",IF(H400="Férié","F",IF(H400="OFF","R",IF(N400&gt;0,"A",IF(ISNUMBER(I400),"P","NR")))))</f>
        <v>P</v>
      </c>
      <c r="R400" s="18"/>
    </row>
    <row r="401" customFormat="false" ht="15" hidden="false" customHeight="false" outlineLevel="0" collapsed="false">
      <c r="A401" s="18" t="s">
        <v>28</v>
      </c>
      <c r="B401" s="8" t="s">
        <v>29</v>
      </c>
      <c r="C401" s="9" t="n">
        <v>46018</v>
      </c>
      <c r="D401" s="8" t="n">
        <v>2025</v>
      </c>
      <c r="E401" s="8" t="n">
        <v>52</v>
      </c>
      <c r="F401" s="18" t="s">
        <v>113</v>
      </c>
      <c r="G401" s="8" t="s">
        <v>121</v>
      </c>
      <c r="H401" s="19" t="s">
        <v>115</v>
      </c>
      <c r="I401" s="19"/>
      <c r="J401" s="19"/>
      <c r="K401" s="19"/>
      <c r="L401" s="19" t="n">
        <v>0</v>
      </c>
      <c r="M401" s="19"/>
      <c r="N401" s="19" t="n">
        <v>0</v>
      </c>
      <c r="O401" s="19" t="n">
        <v>0</v>
      </c>
      <c r="P401" s="17" t="n">
        <f aca="false">IF(AND(ISNUMBER(H401),ISNUMBER(I401)),MAX(0,ROUND((I401-H401)*1440,0)-'Bilan agents'!$C$4),0)</f>
        <v>0</v>
      </c>
      <c r="Q401" s="8" t="str">
        <f aca="false">IF(H401="Congé","CP",IF(H401="Férié","F",IF(H401="OFF","R",IF(N401&gt;0,"A",IF(ISNUMBER(I401),"P","NR")))))</f>
        <v>R</v>
      </c>
      <c r="R401" s="18"/>
    </row>
    <row r="402" customFormat="false" ht="15" hidden="false" customHeight="false" outlineLevel="0" collapsed="false">
      <c r="A402" s="18" t="s">
        <v>28</v>
      </c>
      <c r="B402" s="8" t="s">
        <v>29</v>
      </c>
      <c r="C402" s="9" t="n">
        <v>46019</v>
      </c>
      <c r="D402" s="8" t="n">
        <v>2025</v>
      </c>
      <c r="E402" s="8" t="n">
        <v>52</v>
      </c>
      <c r="F402" s="18" t="s">
        <v>113</v>
      </c>
      <c r="G402" s="8" t="s">
        <v>114</v>
      </c>
      <c r="H402" s="19" t="s">
        <v>115</v>
      </c>
      <c r="I402" s="19"/>
      <c r="J402" s="19"/>
      <c r="K402" s="19"/>
      <c r="L402" s="19" t="n">
        <v>0</v>
      </c>
      <c r="M402" s="19"/>
      <c r="N402" s="19" t="n">
        <v>0</v>
      </c>
      <c r="O402" s="19" t="n">
        <v>0</v>
      </c>
      <c r="P402" s="17" t="n">
        <f aca="false">IF(AND(ISNUMBER(H402),ISNUMBER(I402)),MAX(0,ROUND((I402-H402)*1440,0)-'Bilan agents'!$C$4),0)</f>
        <v>0</v>
      </c>
      <c r="Q402" s="8" t="str">
        <f aca="false">IF(H402="Congé","CP",IF(H402="Férié","F",IF(H402="OFF","R",IF(N402&gt;0,"A",IF(ISNUMBER(I402),"P","NR")))))</f>
        <v>R</v>
      </c>
      <c r="R402" s="18"/>
    </row>
    <row r="403" customFormat="false" ht="15" hidden="false" customHeight="false" outlineLevel="0" collapsed="false">
      <c r="A403" s="18" t="s">
        <v>28</v>
      </c>
      <c r="B403" s="8" t="s">
        <v>29</v>
      </c>
      <c r="C403" s="9" t="n">
        <v>46020</v>
      </c>
      <c r="D403" s="8" t="n">
        <v>2026</v>
      </c>
      <c r="E403" s="8" t="n">
        <v>1</v>
      </c>
      <c r="F403" s="18" t="s">
        <v>113</v>
      </c>
      <c r="G403" s="8" t="s">
        <v>116</v>
      </c>
      <c r="H403" s="19" t="n">
        <v>0.333333333333333</v>
      </c>
      <c r="I403" s="19" t="n">
        <v>0.333333333333333</v>
      </c>
      <c r="J403" s="19" t="n">
        <v>0.75</v>
      </c>
      <c r="K403" s="19" t="n">
        <v>0.75</v>
      </c>
      <c r="L403" s="19" t="n">
        <v>0.375</v>
      </c>
      <c r="M403" s="19" t="n">
        <v>0.375</v>
      </c>
      <c r="N403" s="19" t="n">
        <v>0</v>
      </c>
      <c r="O403" s="19" t="n">
        <v>0</v>
      </c>
      <c r="P403" s="17" t="n">
        <f aca="false">IF(AND(ISNUMBER(H403),ISNUMBER(I403)),MAX(0,ROUND((I403-H403)*1440,0)-'Bilan agents'!$C$4),0)</f>
        <v>0</v>
      </c>
      <c r="Q403" s="8" t="str">
        <f aca="false">IF(H403="Congé","CP",IF(H403="Férié","F",IF(H403="OFF","R",IF(N403&gt;0,"A",IF(ISNUMBER(I403),"P","NR")))))</f>
        <v>P</v>
      </c>
      <c r="R403" s="18"/>
    </row>
    <row r="404" customFormat="false" ht="15" hidden="false" customHeight="false" outlineLevel="0" collapsed="false">
      <c r="A404" s="18" t="s">
        <v>28</v>
      </c>
      <c r="B404" s="8" t="s">
        <v>29</v>
      </c>
      <c r="C404" s="9" t="n">
        <v>46021</v>
      </c>
      <c r="D404" s="8" t="n">
        <v>2026</v>
      </c>
      <c r="E404" s="8" t="n">
        <v>1</v>
      </c>
      <c r="F404" s="18" t="s">
        <v>113</v>
      </c>
      <c r="G404" s="8" t="s">
        <v>117</v>
      </c>
      <c r="H404" s="19" t="n">
        <v>0.333333333333333</v>
      </c>
      <c r="I404" s="19" t="n">
        <v>0.331944444444444</v>
      </c>
      <c r="J404" s="19" t="n">
        <v>0.75</v>
      </c>
      <c r="K404" s="19" t="n">
        <v>0.75</v>
      </c>
      <c r="L404" s="19" t="n">
        <v>0.375</v>
      </c>
      <c r="M404" s="19" t="n">
        <v>0.375</v>
      </c>
      <c r="N404" s="19" t="n">
        <v>0</v>
      </c>
      <c r="O404" s="19" t="n">
        <v>0.00138888888888889</v>
      </c>
      <c r="P404" s="17" t="n">
        <f aca="false">IF(AND(ISNUMBER(H404),ISNUMBER(I404)),MAX(0,ROUND((I404-H404)*1440,0)-'Bilan agents'!$C$4),0)</f>
        <v>0</v>
      </c>
      <c r="Q404" s="8" t="str">
        <f aca="false">IF(H404="Congé","CP",IF(H404="Férié","F",IF(H404="OFF","R",IF(N404&gt;0,"A",IF(ISNUMBER(I404),"P","NR")))))</f>
        <v>P</v>
      </c>
      <c r="R404" s="18"/>
    </row>
    <row r="405" customFormat="false" ht="15" hidden="false" customHeight="false" outlineLevel="0" collapsed="false">
      <c r="A405" s="18" t="s">
        <v>28</v>
      </c>
      <c r="B405" s="8" t="s">
        <v>29</v>
      </c>
      <c r="C405" s="9" t="n">
        <v>46022</v>
      </c>
      <c r="D405" s="8" t="n">
        <v>2026</v>
      </c>
      <c r="E405" s="8" t="n">
        <v>1</v>
      </c>
      <c r="F405" s="18" t="s">
        <v>113</v>
      </c>
      <c r="G405" s="8" t="s">
        <v>118</v>
      </c>
      <c r="H405" s="19" t="n">
        <v>0.333333333333333</v>
      </c>
      <c r="I405" s="19" t="n">
        <v>0.33125</v>
      </c>
      <c r="J405" s="19" t="n">
        <v>0.75</v>
      </c>
      <c r="K405" s="19" t="n">
        <v>0.75</v>
      </c>
      <c r="L405" s="19" t="n">
        <v>0.375</v>
      </c>
      <c r="M405" s="19" t="n">
        <v>0.375</v>
      </c>
      <c r="N405" s="19" t="n">
        <v>0</v>
      </c>
      <c r="O405" s="19" t="n">
        <v>0.00208333333333333</v>
      </c>
      <c r="P405" s="17" t="n">
        <f aca="false">IF(AND(ISNUMBER(H405),ISNUMBER(I405)),MAX(0,ROUND((I405-H405)*1440,0)-'Bilan agents'!$C$4),0)</f>
        <v>0</v>
      </c>
      <c r="Q405" s="8" t="str">
        <f aca="false">IF(H405="Congé","CP",IF(H405="Férié","F",IF(H405="OFF","R",IF(N405&gt;0,"A",IF(ISNUMBER(I405),"P","NR")))))</f>
        <v>P</v>
      </c>
      <c r="R405" s="18"/>
    </row>
    <row r="406" customFormat="false" ht="15" hidden="false" customHeight="false" outlineLevel="0" collapsed="false">
      <c r="A406" s="18" t="s">
        <v>28</v>
      </c>
      <c r="B406" s="8" t="s">
        <v>29</v>
      </c>
      <c r="C406" s="9" t="n">
        <v>46023</v>
      </c>
      <c r="D406" s="8" t="n">
        <v>2026</v>
      </c>
      <c r="E406" s="8" t="n">
        <v>1</v>
      </c>
      <c r="F406" s="18" t="s">
        <v>122</v>
      </c>
      <c r="G406" s="8" t="s">
        <v>119</v>
      </c>
      <c r="H406" s="19" t="s">
        <v>45</v>
      </c>
      <c r="I406" s="19"/>
      <c r="J406" s="19"/>
      <c r="K406" s="19"/>
      <c r="L406" s="19" t="n">
        <v>0</v>
      </c>
      <c r="M406" s="19"/>
      <c r="N406" s="19" t="n">
        <v>0</v>
      </c>
      <c r="O406" s="19" t="n">
        <v>0</v>
      </c>
      <c r="P406" s="17" t="n">
        <f aca="false">IF(AND(ISNUMBER(H406),ISNUMBER(I406)),MAX(0,ROUND((I406-H406)*1440,0)-'Bilan agents'!$C$4),0)</f>
        <v>0</v>
      </c>
      <c r="Q406" s="8" t="str">
        <f aca="false">IF(H406="Congé","CP",IF(H406="Férié","F",IF(H406="OFF","R",IF(N406&gt;0,"A",IF(ISNUMBER(I406),"P","NR")))))</f>
        <v>F</v>
      </c>
      <c r="R406" s="18"/>
    </row>
    <row r="407" customFormat="false" ht="15" hidden="false" customHeight="false" outlineLevel="0" collapsed="false">
      <c r="A407" s="18" t="s">
        <v>28</v>
      </c>
      <c r="B407" s="8" t="s">
        <v>29</v>
      </c>
      <c r="C407" s="9" t="n">
        <v>46024</v>
      </c>
      <c r="D407" s="8" t="n">
        <v>2026</v>
      </c>
      <c r="E407" s="8" t="n">
        <v>1</v>
      </c>
      <c r="F407" s="18" t="s">
        <v>122</v>
      </c>
      <c r="G407" s="8" t="s">
        <v>120</v>
      </c>
      <c r="H407" s="19" t="n">
        <v>0.333333333333333</v>
      </c>
      <c r="I407" s="19" t="n">
        <v>0.333333333333333</v>
      </c>
      <c r="J407" s="19" t="n">
        <v>0.708333333333333</v>
      </c>
      <c r="K407" s="19" t="n">
        <v>0.708333333333333</v>
      </c>
      <c r="L407" s="19" t="n">
        <v>0.333333333333333</v>
      </c>
      <c r="M407" s="19" t="n">
        <v>0.333333333333333</v>
      </c>
      <c r="N407" s="19" t="n">
        <v>0</v>
      </c>
      <c r="O407" s="19" t="n">
        <v>0</v>
      </c>
      <c r="P407" s="17" t="n">
        <f aca="false">IF(AND(ISNUMBER(H407),ISNUMBER(I407)),MAX(0,ROUND((I407-H407)*1440,0)-'Bilan agents'!$C$4),0)</f>
        <v>0</v>
      </c>
      <c r="Q407" s="8" t="str">
        <f aca="false">IF(H407="Congé","CP",IF(H407="Férié","F",IF(H407="OFF","R",IF(N407&gt;0,"A",IF(ISNUMBER(I407),"P","NR")))))</f>
        <v>P</v>
      </c>
      <c r="R407" s="18"/>
    </row>
    <row r="408" customFormat="false" ht="15" hidden="false" customHeight="false" outlineLevel="0" collapsed="false">
      <c r="A408" s="18" t="s">
        <v>28</v>
      </c>
      <c r="B408" s="8" t="s">
        <v>29</v>
      </c>
      <c r="C408" s="9" t="n">
        <v>46025</v>
      </c>
      <c r="D408" s="8" t="n">
        <v>2026</v>
      </c>
      <c r="E408" s="8" t="n">
        <v>1</v>
      </c>
      <c r="F408" s="18" t="s">
        <v>122</v>
      </c>
      <c r="G408" s="8" t="s">
        <v>121</v>
      </c>
      <c r="H408" s="19" t="s">
        <v>115</v>
      </c>
      <c r="I408" s="19"/>
      <c r="J408" s="19"/>
      <c r="K408" s="19"/>
      <c r="L408" s="19" t="n">
        <v>0</v>
      </c>
      <c r="M408" s="19"/>
      <c r="N408" s="19" t="n">
        <v>0</v>
      </c>
      <c r="O408" s="19" t="n">
        <v>0</v>
      </c>
      <c r="P408" s="17" t="n">
        <f aca="false">IF(AND(ISNUMBER(H408),ISNUMBER(I408)),MAX(0,ROUND((I408-H408)*1440,0)-'Bilan agents'!$C$4),0)</f>
        <v>0</v>
      </c>
      <c r="Q408" s="8" t="str">
        <f aca="false">IF(H408="Congé","CP",IF(H408="Férié","F",IF(H408="OFF","R",IF(N408&gt;0,"A",IF(ISNUMBER(I408),"P","NR")))))</f>
        <v>R</v>
      </c>
      <c r="R408" s="18"/>
    </row>
    <row r="409" customFormat="false" ht="15" hidden="false" customHeight="false" outlineLevel="0" collapsed="false">
      <c r="A409" s="18" t="s">
        <v>28</v>
      </c>
      <c r="B409" s="8" t="s">
        <v>29</v>
      </c>
      <c r="C409" s="9" t="n">
        <v>46026</v>
      </c>
      <c r="D409" s="8" t="n">
        <v>2026</v>
      </c>
      <c r="E409" s="8" t="n">
        <v>1</v>
      </c>
      <c r="F409" s="18" t="s">
        <v>122</v>
      </c>
      <c r="G409" s="8" t="s">
        <v>114</v>
      </c>
      <c r="H409" s="19" t="s">
        <v>115</v>
      </c>
      <c r="I409" s="19"/>
      <c r="J409" s="19"/>
      <c r="K409" s="19"/>
      <c r="L409" s="19" t="n">
        <v>0</v>
      </c>
      <c r="M409" s="19"/>
      <c r="N409" s="19" t="n">
        <v>0</v>
      </c>
      <c r="O409" s="19" t="n">
        <v>0</v>
      </c>
      <c r="P409" s="17" t="n">
        <f aca="false">IF(AND(ISNUMBER(H409),ISNUMBER(I409)),MAX(0,ROUND((I409-H409)*1440,0)-'Bilan agents'!$C$4),0)</f>
        <v>0</v>
      </c>
      <c r="Q409" s="8" t="str">
        <f aca="false">IF(H409="Congé","CP",IF(H409="Férié","F",IF(H409="OFF","R",IF(N409&gt;0,"A",IF(ISNUMBER(I409),"P","NR")))))</f>
        <v>R</v>
      </c>
      <c r="R409" s="18"/>
    </row>
    <row r="410" customFormat="false" ht="15" hidden="false" customHeight="false" outlineLevel="0" collapsed="false">
      <c r="A410" s="18" t="s">
        <v>28</v>
      </c>
      <c r="B410" s="8" t="s">
        <v>29</v>
      </c>
      <c r="C410" s="9" t="n">
        <v>46027</v>
      </c>
      <c r="D410" s="8" t="n">
        <v>2026</v>
      </c>
      <c r="E410" s="8" t="n">
        <v>2</v>
      </c>
      <c r="F410" s="18" t="s">
        <v>122</v>
      </c>
      <c r="G410" s="8" t="s">
        <v>116</v>
      </c>
      <c r="H410" s="19" t="n">
        <v>0.333333333333333</v>
      </c>
      <c r="I410" s="19" t="n">
        <v>0.330555555555556</v>
      </c>
      <c r="J410" s="19" t="n">
        <v>0.75</v>
      </c>
      <c r="K410" s="19" t="n">
        <v>0.75</v>
      </c>
      <c r="L410" s="19" t="n">
        <v>0.375</v>
      </c>
      <c r="M410" s="19" t="n">
        <v>0.375</v>
      </c>
      <c r="N410" s="19" t="n">
        <v>0</v>
      </c>
      <c r="O410" s="19" t="n">
        <v>0.00277777777777778</v>
      </c>
      <c r="P410" s="17" t="n">
        <f aca="false">IF(AND(ISNUMBER(H410),ISNUMBER(I410)),MAX(0,ROUND((I410-H410)*1440,0)-'Bilan agents'!$C$4),0)</f>
        <v>0</v>
      </c>
      <c r="Q410" s="8" t="str">
        <f aca="false">IF(H410="Congé","CP",IF(H410="Férié","F",IF(H410="OFF","R",IF(N410&gt;0,"A",IF(ISNUMBER(I410),"P","NR")))))</f>
        <v>P</v>
      </c>
      <c r="R410" s="18"/>
    </row>
    <row r="411" customFormat="false" ht="15" hidden="false" customHeight="false" outlineLevel="0" collapsed="false">
      <c r="A411" s="18" t="s">
        <v>28</v>
      </c>
      <c r="B411" s="8" t="s">
        <v>29</v>
      </c>
      <c r="C411" s="9" t="n">
        <v>46028</v>
      </c>
      <c r="D411" s="8" t="n">
        <v>2026</v>
      </c>
      <c r="E411" s="8" t="n">
        <v>2</v>
      </c>
      <c r="F411" s="18" t="s">
        <v>122</v>
      </c>
      <c r="G411" s="8" t="s">
        <v>117</v>
      </c>
      <c r="H411" s="19" t="n">
        <v>0.333333333333333</v>
      </c>
      <c r="I411" s="19" t="n">
        <v>0.331944444444444</v>
      </c>
      <c r="J411" s="19" t="n">
        <v>0.75</v>
      </c>
      <c r="K411" s="19" t="n">
        <v>0.75</v>
      </c>
      <c r="L411" s="19" t="n">
        <v>0.375</v>
      </c>
      <c r="M411" s="19" t="n">
        <v>0.375</v>
      </c>
      <c r="N411" s="19" t="n">
        <v>0</v>
      </c>
      <c r="O411" s="19" t="n">
        <v>0.00138888888888889</v>
      </c>
      <c r="P411" s="17" t="n">
        <f aca="false">IF(AND(ISNUMBER(H411),ISNUMBER(I411)),MAX(0,ROUND((I411-H411)*1440,0)-'Bilan agents'!$C$4),0)</f>
        <v>0</v>
      </c>
      <c r="Q411" s="8" t="str">
        <f aca="false">IF(H411="Congé","CP",IF(H411="Férié","F",IF(H411="OFF","R",IF(N411&gt;0,"A",IF(ISNUMBER(I411),"P","NR")))))</f>
        <v>P</v>
      </c>
      <c r="R411" s="18"/>
    </row>
    <row r="412" customFormat="false" ht="15" hidden="false" customHeight="false" outlineLevel="0" collapsed="false">
      <c r="A412" s="18" t="s">
        <v>28</v>
      </c>
      <c r="B412" s="8" t="s">
        <v>29</v>
      </c>
      <c r="C412" s="9" t="n">
        <v>46029</v>
      </c>
      <c r="D412" s="8" t="n">
        <v>2026</v>
      </c>
      <c r="E412" s="8" t="n">
        <v>2</v>
      </c>
      <c r="F412" s="18" t="s">
        <v>122</v>
      </c>
      <c r="G412" s="8" t="s">
        <v>118</v>
      </c>
      <c r="H412" s="19" t="n">
        <v>0.333333333333333</v>
      </c>
      <c r="I412" s="19" t="n">
        <v>0.332638888888889</v>
      </c>
      <c r="J412" s="19" t="n">
        <v>0.75</v>
      </c>
      <c r="K412" s="19" t="n">
        <v>0.75</v>
      </c>
      <c r="L412" s="19" t="n">
        <v>0.375</v>
      </c>
      <c r="M412" s="19" t="n">
        <v>0.375</v>
      </c>
      <c r="N412" s="19" t="n">
        <v>0</v>
      </c>
      <c r="O412" s="19" t="n">
        <v>0</v>
      </c>
      <c r="P412" s="17" t="n">
        <f aca="false">IF(AND(ISNUMBER(H412),ISNUMBER(I412)),MAX(0,ROUND((I412-H412)*1440,0)-'Bilan agents'!$C$4),0)</f>
        <v>0</v>
      </c>
      <c r="Q412" s="8" t="str">
        <f aca="false">IF(H412="Congé","CP",IF(H412="Férié","F",IF(H412="OFF","R",IF(N412&gt;0,"A",IF(ISNUMBER(I412),"P","NR")))))</f>
        <v>P</v>
      </c>
      <c r="R412" s="18"/>
    </row>
    <row r="413" customFormat="false" ht="15" hidden="false" customHeight="false" outlineLevel="0" collapsed="false">
      <c r="A413" s="18" t="s">
        <v>28</v>
      </c>
      <c r="B413" s="8" t="s">
        <v>29</v>
      </c>
      <c r="C413" s="9" t="n">
        <v>46030</v>
      </c>
      <c r="D413" s="8" t="n">
        <v>2026</v>
      </c>
      <c r="E413" s="8" t="n">
        <v>2</v>
      </c>
      <c r="F413" s="18" t="s">
        <v>122</v>
      </c>
      <c r="G413" s="8" t="s">
        <v>119</v>
      </c>
      <c r="H413" s="19" t="n">
        <v>0.333333333333333</v>
      </c>
      <c r="I413" s="19" t="n">
        <v>0.332638888888889</v>
      </c>
      <c r="J413" s="19" t="n">
        <v>0.75</v>
      </c>
      <c r="K413" s="19" t="n">
        <v>0.75</v>
      </c>
      <c r="L413" s="19" t="n">
        <v>0.375</v>
      </c>
      <c r="M413" s="19" t="n">
        <v>0.375</v>
      </c>
      <c r="N413" s="19" t="n">
        <v>0</v>
      </c>
      <c r="O413" s="19" t="n">
        <v>0</v>
      </c>
      <c r="P413" s="17" t="n">
        <f aca="false">IF(AND(ISNUMBER(H413),ISNUMBER(I413)),MAX(0,ROUND((I413-H413)*1440,0)-'Bilan agents'!$C$4),0)</f>
        <v>0</v>
      </c>
      <c r="Q413" s="8" t="str">
        <f aca="false">IF(H413="Congé","CP",IF(H413="Férié","F",IF(H413="OFF","R",IF(N413&gt;0,"A",IF(ISNUMBER(I413),"P","NR")))))</f>
        <v>P</v>
      </c>
      <c r="R413" s="18"/>
    </row>
    <row r="414" customFormat="false" ht="15" hidden="false" customHeight="false" outlineLevel="0" collapsed="false">
      <c r="A414" s="18" t="s">
        <v>28</v>
      </c>
      <c r="B414" s="8" t="s">
        <v>29</v>
      </c>
      <c r="C414" s="9" t="n">
        <v>46031</v>
      </c>
      <c r="D414" s="8" t="n">
        <v>2026</v>
      </c>
      <c r="E414" s="8" t="n">
        <v>2</v>
      </c>
      <c r="F414" s="18" t="s">
        <v>122</v>
      </c>
      <c r="G414" s="8" t="s">
        <v>120</v>
      </c>
      <c r="H414" s="19" t="n">
        <v>0.333333333333333</v>
      </c>
      <c r="I414" s="19" t="n">
        <v>0.330555555555556</v>
      </c>
      <c r="J414" s="19" t="n">
        <v>0.708333333333333</v>
      </c>
      <c r="K414" s="19" t="n">
        <v>0.708333333333333</v>
      </c>
      <c r="L414" s="19" t="n">
        <v>0.333333333333333</v>
      </c>
      <c r="M414" s="19" t="n">
        <v>0.333333333333333</v>
      </c>
      <c r="N414" s="19" t="n">
        <v>0</v>
      </c>
      <c r="O414" s="19" t="n">
        <v>0.00277777777777778</v>
      </c>
      <c r="P414" s="17" t="n">
        <f aca="false">IF(AND(ISNUMBER(H414),ISNUMBER(I414)),MAX(0,ROUND((I414-H414)*1440,0)-'Bilan agents'!$C$4),0)</f>
        <v>0</v>
      </c>
      <c r="Q414" s="8" t="str">
        <f aca="false">IF(H414="Congé","CP",IF(H414="Férié","F",IF(H414="OFF","R",IF(N414&gt;0,"A",IF(ISNUMBER(I414),"P","NR")))))</f>
        <v>P</v>
      </c>
      <c r="R414" s="18"/>
    </row>
    <row r="415" customFormat="false" ht="15" hidden="false" customHeight="false" outlineLevel="0" collapsed="false">
      <c r="A415" s="18" t="s">
        <v>28</v>
      </c>
      <c r="B415" s="8" t="s">
        <v>29</v>
      </c>
      <c r="C415" s="9" t="n">
        <v>46032</v>
      </c>
      <c r="D415" s="8" t="n">
        <v>2026</v>
      </c>
      <c r="E415" s="8" t="n">
        <v>2</v>
      </c>
      <c r="F415" s="18" t="s">
        <v>122</v>
      </c>
      <c r="G415" s="8" t="s">
        <v>121</v>
      </c>
      <c r="H415" s="19" t="s">
        <v>115</v>
      </c>
      <c r="I415" s="19"/>
      <c r="J415" s="19"/>
      <c r="K415" s="19"/>
      <c r="L415" s="19" t="n">
        <v>0</v>
      </c>
      <c r="M415" s="19"/>
      <c r="N415" s="19" t="n">
        <v>0</v>
      </c>
      <c r="O415" s="19" t="n">
        <v>0</v>
      </c>
      <c r="P415" s="17" t="n">
        <f aca="false">IF(AND(ISNUMBER(H415),ISNUMBER(I415)),MAX(0,ROUND((I415-H415)*1440,0)-'Bilan agents'!$C$4),0)</f>
        <v>0</v>
      </c>
      <c r="Q415" s="8" t="str">
        <f aca="false">IF(H415="Congé","CP",IF(H415="Férié","F",IF(H415="OFF","R",IF(N415&gt;0,"A",IF(ISNUMBER(I415),"P","NR")))))</f>
        <v>R</v>
      </c>
      <c r="R415" s="18"/>
    </row>
    <row r="416" customFormat="false" ht="15" hidden="false" customHeight="false" outlineLevel="0" collapsed="false">
      <c r="A416" s="18" t="s">
        <v>28</v>
      </c>
      <c r="B416" s="8" t="s">
        <v>29</v>
      </c>
      <c r="C416" s="9" t="n">
        <v>46033</v>
      </c>
      <c r="D416" s="8" t="n">
        <v>2026</v>
      </c>
      <c r="E416" s="8" t="n">
        <v>2</v>
      </c>
      <c r="F416" s="18" t="s">
        <v>122</v>
      </c>
      <c r="G416" s="8" t="s">
        <v>114</v>
      </c>
      <c r="H416" s="19" t="s">
        <v>115</v>
      </c>
      <c r="I416" s="19"/>
      <c r="J416" s="19"/>
      <c r="K416" s="19"/>
      <c r="L416" s="19" t="n">
        <v>0</v>
      </c>
      <c r="M416" s="19"/>
      <c r="N416" s="19" t="n">
        <v>0</v>
      </c>
      <c r="O416" s="19" t="n">
        <v>0</v>
      </c>
      <c r="P416" s="17" t="n">
        <f aca="false">IF(AND(ISNUMBER(H416),ISNUMBER(I416)),MAX(0,ROUND((I416-H416)*1440,0)-'Bilan agents'!$C$4),0)</f>
        <v>0</v>
      </c>
      <c r="Q416" s="8" t="str">
        <f aca="false">IF(H416="Congé","CP",IF(H416="Férié","F",IF(H416="OFF","R",IF(N416&gt;0,"A",IF(ISNUMBER(I416),"P","NR")))))</f>
        <v>R</v>
      </c>
      <c r="R416" s="18"/>
    </row>
    <row r="417" customFormat="false" ht="15" hidden="false" customHeight="false" outlineLevel="0" collapsed="false">
      <c r="A417" s="18" t="s">
        <v>28</v>
      </c>
      <c r="B417" s="8" t="s">
        <v>29</v>
      </c>
      <c r="C417" s="9" t="n">
        <v>46034</v>
      </c>
      <c r="D417" s="8" t="n">
        <v>2026</v>
      </c>
      <c r="E417" s="8" t="n">
        <v>3</v>
      </c>
      <c r="F417" s="18" t="s">
        <v>122</v>
      </c>
      <c r="G417" s="8" t="s">
        <v>116</v>
      </c>
      <c r="H417" s="19" t="n">
        <v>0.333333333333333</v>
      </c>
      <c r="I417" s="19" t="n">
        <v>0.329861111111111</v>
      </c>
      <c r="J417" s="19" t="n">
        <v>0.75</v>
      </c>
      <c r="K417" s="19" t="n">
        <v>0.75</v>
      </c>
      <c r="L417" s="19" t="n">
        <v>0.375</v>
      </c>
      <c r="M417" s="19" t="n">
        <v>0.375</v>
      </c>
      <c r="N417" s="19" t="n">
        <v>0</v>
      </c>
      <c r="O417" s="19" t="n">
        <v>0.00347222222222222</v>
      </c>
      <c r="P417" s="17" t="n">
        <f aca="false">IF(AND(ISNUMBER(H417),ISNUMBER(I417)),MAX(0,ROUND((I417-H417)*1440,0)-'Bilan agents'!$C$4),0)</f>
        <v>0</v>
      </c>
      <c r="Q417" s="8" t="str">
        <f aca="false">IF(H417="Congé","CP",IF(H417="Férié","F",IF(H417="OFF","R",IF(N417&gt;0,"A",IF(ISNUMBER(I417),"P","NR")))))</f>
        <v>P</v>
      </c>
      <c r="R417" s="18"/>
    </row>
    <row r="418" customFormat="false" ht="15" hidden="false" customHeight="false" outlineLevel="0" collapsed="false">
      <c r="A418" s="18" t="s">
        <v>28</v>
      </c>
      <c r="B418" s="8" t="s">
        <v>29</v>
      </c>
      <c r="C418" s="9" t="n">
        <v>46035</v>
      </c>
      <c r="D418" s="8" t="n">
        <v>2026</v>
      </c>
      <c r="E418" s="8" t="n">
        <v>3</v>
      </c>
      <c r="F418" s="18" t="s">
        <v>122</v>
      </c>
      <c r="G418" s="8" t="s">
        <v>117</v>
      </c>
      <c r="H418" s="19" t="n">
        <v>0.333333333333333</v>
      </c>
      <c r="I418" s="19" t="n">
        <v>0.333333333333333</v>
      </c>
      <c r="J418" s="19" t="n">
        <v>0.75</v>
      </c>
      <c r="K418" s="19" t="n">
        <v>0.75</v>
      </c>
      <c r="L418" s="19" t="n">
        <v>0.375</v>
      </c>
      <c r="M418" s="19" t="n">
        <v>0.375</v>
      </c>
      <c r="N418" s="19" t="n">
        <v>0</v>
      </c>
      <c r="O418" s="19" t="n">
        <v>0</v>
      </c>
      <c r="P418" s="17" t="n">
        <f aca="false">IF(AND(ISNUMBER(H418),ISNUMBER(I418)),MAX(0,ROUND((I418-H418)*1440,0)-'Bilan agents'!$C$4),0)</f>
        <v>0</v>
      </c>
      <c r="Q418" s="8" t="str">
        <f aca="false">IF(H418="Congé","CP",IF(H418="Férié","F",IF(H418="OFF","R",IF(N418&gt;0,"A",IF(ISNUMBER(I418),"P","NR")))))</f>
        <v>P</v>
      </c>
      <c r="R418" s="18"/>
    </row>
    <row r="419" customFormat="false" ht="15" hidden="false" customHeight="false" outlineLevel="0" collapsed="false">
      <c r="A419" s="18" t="s">
        <v>28</v>
      </c>
      <c r="B419" s="8" t="s">
        <v>29</v>
      </c>
      <c r="C419" s="9" t="n">
        <v>46036</v>
      </c>
      <c r="D419" s="8" t="n">
        <v>2026</v>
      </c>
      <c r="E419" s="8" t="n">
        <v>3</v>
      </c>
      <c r="F419" s="18" t="s">
        <v>122</v>
      </c>
      <c r="G419" s="8" t="s">
        <v>118</v>
      </c>
      <c r="H419" s="19" t="n">
        <v>0.333333333333333</v>
      </c>
      <c r="I419" s="19" t="n">
        <v>0.333333333333333</v>
      </c>
      <c r="J419" s="19" t="n">
        <v>0.75</v>
      </c>
      <c r="K419" s="19" t="n">
        <v>0.75</v>
      </c>
      <c r="L419" s="19" t="n">
        <v>0.375</v>
      </c>
      <c r="M419" s="19" t="n">
        <v>0.375</v>
      </c>
      <c r="N419" s="19" t="n">
        <v>0</v>
      </c>
      <c r="O419" s="19" t="n">
        <v>0</v>
      </c>
      <c r="P419" s="17" t="n">
        <f aca="false">IF(AND(ISNUMBER(H419),ISNUMBER(I419)),MAX(0,ROUND((I419-H419)*1440,0)-'Bilan agents'!$C$4),0)</f>
        <v>0</v>
      </c>
      <c r="Q419" s="8" t="str">
        <f aca="false">IF(H419="Congé","CP",IF(H419="Férié","F",IF(H419="OFF","R",IF(N419&gt;0,"A",IF(ISNUMBER(I419),"P","NR")))))</f>
        <v>P</v>
      </c>
      <c r="R419" s="18"/>
    </row>
    <row r="420" customFormat="false" ht="15" hidden="false" customHeight="false" outlineLevel="0" collapsed="false">
      <c r="A420" s="18" t="s">
        <v>28</v>
      </c>
      <c r="B420" s="8" t="s">
        <v>29</v>
      </c>
      <c r="C420" s="9" t="n">
        <v>46037</v>
      </c>
      <c r="D420" s="8" t="n">
        <v>2026</v>
      </c>
      <c r="E420" s="8" t="n">
        <v>3</v>
      </c>
      <c r="F420" s="18" t="s">
        <v>122</v>
      </c>
      <c r="G420" s="8" t="s">
        <v>119</v>
      </c>
      <c r="H420" s="19" t="n">
        <v>0.333333333333333</v>
      </c>
      <c r="I420" s="19" t="n">
        <v>0.331944444444444</v>
      </c>
      <c r="J420" s="19" t="n">
        <v>0.75</v>
      </c>
      <c r="K420" s="19" t="n">
        <v>0.75</v>
      </c>
      <c r="L420" s="19" t="n">
        <v>0.375</v>
      </c>
      <c r="M420" s="19" t="n">
        <v>0.375</v>
      </c>
      <c r="N420" s="19" t="n">
        <v>0</v>
      </c>
      <c r="O420" s="19" t="n">
        <v>0.00138888888888889</v>
      </c>
      <c r="P420" s="17" t="n">
        <f aca="false">IF(AND(ISNUMBER(H420),ISNUMBER(I420)),MAX(0,ROUND((I420-H420)*1440,0)-'Bilan agents'!$C$4),0)</f>
        <v>0</v>
      </c>
      <c r="Q420" s="8" t="str">
        <f aca="false">IF(H420="Congé","CP",IF(H420="Férié","F",IF(H420="OFF","R",IF(N420&gt;0,"A",IF(ISNUMBER(I420),"P","NR")))))</f>
        <v>P</v>
      </c>
      <c r="R420" s="18"/>
    </row>
    <row r="421" customFormat="false" ht="15" hidden="false" customHeight="false" outlineLevel="0" collapsed="false">
      <c r="A421" s="18" t="s">
        <v>28</v>
      </c>
      <c r="B421" s="8" t="s">
        <v>29</v>
      </c>
      <c r="C421" s="9" t="n">
        <v>46038</v>
      </c>
      <c r="D421" s="8" t="n">
        <v>2026</v>
      </c>
      <c r="E421" s="8" t="n">
        <v>3</v>
      </c>
      <c r="F421" s="18" t="s">
        <v>122</v>
      </c>
      <c r="G421" s="8" t="s">
        <v>120</v>
      </c>
      <c r="H421" s="19" t="n">
        <v>0.333333333333333</v>
      </c>
      <c r="I421" s="19" t="n">
        <v>0.331944444444444</v>
      </c>
      <c r="J421" s="19" t="n">
        <v>0.708333333333333</v>
      </c>
      <c r="K421" s="19" t="n">
        <v>0.708333333333333</v>
      </c>
      <c r="L421" s="19" t="n">
        <v>0.333333333333333</v>
      </c>
      <c r="M421" s="19" t="n">
        <v>0.333333333333333</v>
      </c>
      <c r="N421" s="19" t="n">
        <v>0</v>
      </c>
      <c r="O421" s="19" t="n">
        <v>0.00138888888888889</v>
      </c>
      <c r="P421" s="17" t="n">
        <f aca="false">IF(AND(ISNUMBER(H421),ISNUMBER(I421)),MAX(0,ROUND((I421-H421)*1440,0)-'Bilan agents'!$C$4),0)</f>
        <v>0</v>
      </c>
      <c r="Q421" s="8" t="str">
        <f aca="false">IF(H421="Congé","CP",IF(H421="Férié","F",IF(H421="OFF","R",IF(N421&gt;0,"A",IF(ISNUMBER(I421),"P","NR")))))</f>
        <v>P</v>
      </c>
      <c r="R421" s="18"/>
    </row>
    <row r="422" customFormat="false" ht="15" hidden="false" customHeight="false" outlineLevel="0" collapsed="false">
      <c r="A422" s="18" t="s">
        <v>28</v>
      </c>
      <c r="B422" s="8" t="s">
        <v>29</v>
      </c>
      <c r="C422" s="9" t="n">
        <v>46039</v>
      </c>
      <c r="D422" s="8" t="n">
        <v>2026</v>
      </c>
      <c r="E422" s="8" t="n">
        <v>3</v>
      </c>
      <c r="F422" s="18" t="s">
        <v>122</v>
      </c>
      <c r="G422" s="8" t="s">
        <v>121</v>
      </c>
      <c r="H422" s="19" t="s">
        <v>115</v>
      </c>
      <c r="I422" s="19"/>
      <c r="J422" s="19"/>
      <c r="K422" s="19"/>
      <c r="L422" s="19" t="n">
        <v>0</v>
      </c>
      <c r="M422" s="19"/>
      <c r="N422" s="19" t="n">
        <v>0</v>
      </c>
      <c r="O422" s="19" t="n">
        <v>0</v>
      </c>
      <c r="P422" s="17" t="n">
        <f aca="false">IF(AND(ISNUMBER(H422),ISNUMBER(I422)),MAX(0,ROUND((I422-H422)*1440,0)-'Bilan agents'!$C$4),0)</f>
        <v>0</v>
      </c>
      <c r="Q422" s="8" t="str">
        <f aca="false">IF(H422="Congé","CP",IF(H422="Férié","F",IF(H422="OFF","R",IF(N422&gt;0,"A",IF(ISNUMBER(I422),"P","NR")))))</f>
        <v>R</v>
      </c>
      <c r="R422" s="18"/>
    </row>
    <row r="423" customFormat="false" ht="15" hidden="false" customHeight="false" outlineLevel="0" collapsed="false">
      <c r="A423" s="18" t="s">
        <v>28</v>
      </c>
      <c r="B423" s="8" t="s">
        <v>29</v>
      </c>
      <c r="C423" s="9" t="n">
        <v>46040</v>
      </c>
      <c r="D423" s="8" t="n">
        <v>2026</v>
      </c>
      <c r="E423" s="8" t="n">
        <v>3</v>
      </c>
      <c r="F423" s="18" t="s">
        <v>122</v>
      </c>
      <c r="G423" s="8" t="s">
        <v>114</v>
      </c>
      <c r="H423" s="19" t="s">
        <v>115</v>
      </c>
      <c r="I423" s="19"/>
      <c r="J423" s="19"/>
      <c r="K423" s="19"/>
      <c r="L423" s="19" t="n">
        <v>0</v>
      </c>
      <c r="M423" s="19"/>
      <c r="N423" s="19" t="n">
        <v>0</v>
      </c>
      <c r="O423" s="19" t="n">
        <v>0</v>
      </c>
      <c r="P423" s="17" t="n">
        <f aca="false">IF(AND(ISNUMBER(H423),ISNUMBER(I423)),MAX(0,ROUND((I423-H423)*1440,0)-'Bilan agents'!$C$4),0)</f>
        <v>0</v>
      </c>
      <c r="Q423" s="8" t="str">
        <f aca="false">IF(H423="Congé","CP",IF(H423="Férié","F",IF(H423="OFF","R",IF(N423&gt;0,"A",IF(ISNUMBER(I423),"P","NR")))))</f>
        <v>R</v>
      </c>
      <c r="R423" s="18"/>
    </row>
    <row r="424" customFormat="false" ht="15" hidden="false" customHeight="false" outlineLevel="0" collapsed="false">
      <c r="A424" s="18" t="s">
        <v>28</v>
      </c>
      <c r="B424" s="8" t="s">
        <v>29</v>
      </c>
      <c r="C424" s="9" t="n">
        <v>46043</v>
      </c>
      <c r="D424" s="8" t="n">
        <v>2026</v>
      </c>
      <c r="E424" s="8" t="n">
        <v>4</v>
      </c>
      <c r="F424" s="18" t="s">
        <v>122</v>
      </c>
      <c r="G424" s="8" t="s">
        <v>118</v>
      </c>
      <c r="H424" s="19" t="n">
        <v>0.333333333333333</v>
      </c>
      <c r="I424" s="19" t="n">
        <v>0.331944444444444</v>
      </c>
      <c r="J424" s="19" t="n">
        <v>0.75</v>
      </c>
      <c r="K424" s="19" t="n">
        <v>0.75</v>
      </c>
      <c r="L424" s="19" t="n">
        <v>0.375</v>
      </c>
      <c r="M424" s="19" t="n">
        <v>0.375</v>
      </c>
      <c r="N424" s="19" t="n">
        <v>0</v>
      </c>
      <c r="O424" s="19" t="n">
        <v>0.00138888888888889</v>
      </c>
      <c r="P424" s="17" t="n">
        <f aca="false">IF(AND(ISNUMBER(H424),ISNUMBER(I424)),MAX(0,ROUND((I424-H424)*1440,0)-'Bilan agents'!$C$4),0)</f>
        <v>0</v>
      </c>
      <c r="Q424" s="8" t="str">
        <f aca="false">IF(H424="Congé","CP",IF(H424="Férié","F",IF(H424="OFF","R",IF(N424&gt;0,"A",IF(ISNUMBER(I424),"P","NR")))))</f>
        <v>P</v>
      </c>
      <c r="R424" s="18"/>
    </row>
    <row r="425" customFormat="false" ht="15" hidden="false" customHeight="false" outlineLevel="0" collapsed="false">
      <c r="A425" s="18" t="s">
        <v>28</v>
      </c>
      <c r="B425" s="8" t="s">
        <v>29</v>
      </c>
      <c r="C425" s="9" t="n">
        <v>46044</v>
      </c>
      <c r="D425" s="8" t="n">
        <v>2026</v>
      </c>
      <c r="E425" s="8" t="n">
        <v>4</v>
      </c>
      <c r="F425" s="18" t="s">
        <v>122</v>
      </c>
      <c r="G425" s="8" t="s">
        <v>119</v>
      </c>
      <c r="H425" s="19" t="n">
        <v>0.333333333333333</v>
      </c>
      <c r="I425" s="19" t="n">
        <v>0.331944444444444</v>
      </c>
      <c r="J425" s="19" t="n">
        <v>0.75</v>
      </c>
      <c r="K425" s="19" t="n">
        <v>0.75</v>
      </c>
      <c r="L425" s="19" t="n">
        <v>0.375</v>
      </c>
      <c r="M425" s="19" t="n">
        <v>0.375</v>
      </c>
      <c r="N425" s="19" t="n">
        <v>0</v>
      </c>
      <c r="O425" s="19" t="n">
        <v>0.00138888888888889</v>
      </c>
      <c r="P425" s="17" t="n">
        <f aca="false">IF(AND(ISNUMBER(H425),ISNUMBER(I425)),MAX(0,ROUND((I425-H425)*1440,0)-'Bilan agents'!$C$4),0)</f>
        <v>0</v>
      </c>
      <c r="Q425" s="8" t="str">
        <f aca="false">IF(H425="Congé","CP",IF(H425="Férié","F",IF(H425="OFF","R",IF(N425&gt;0,"A",IF(ISNUMBER(I425),"P","NR")))))</f>
        <v>P</v>
      </c>
      <c r="R425" s="18"/>
    </row>
    <row r="426" customFormat="false" ht="15" hidden="false" customHeight="false" outlineLevel="0" collapsed="false">
      <c r="A426" s="18" t="s">
        <v>28</v>
      </c>
      <c r="B426" s="8" t="s">
        <v>29</v>
      </c>
      <c r="C426" s="9" t="n">
        <v>46045</v>
      </c>
      <c r="D426" s="8" t="n">
        <v>2026</v>
      </c>
      <c r="E426" s="8" t="n">
        <v>4</v>
      </c>
      <c r="F426" s="18" t="s">
        <v>122</v>
      </c>
      <c r="G426" s="8" t="s">
        <v>120</v>
      </c>
      <c r="H426" s="19" t="n">
        <v>0.333333333333333</v>
      </c>
      <c r="I426" s="19" t="n">
        <v>0.331944444444444</v>
      </c>
      <c r="J426" s="19" t="n">
        <v>0.708333333333333</v>
      </c>
      <c r="K426" s="19" t="n">
        <v>0.708333333333333</v>
      </c>
      <c r="L426" s="19" t="n">
        <v>0.333333333333333</v>
      </c>
      <c r="M426" s="19" t="n">
        <v>0.333333333333333</v>
      </c>
      <c r="N426" s="19" t="n">
        <v>0</v>
      </c>
      <c r="O426" s="19" t="n">
        <v>0.00138888888888889</v>
      </c>
      <c r="P426" s="17" t="n">
        <f aca="false">IF(AND(ISNUMBER(H426),ISNUMBER(I426)),MAX(0,ROUND((I426-H426)*1440,0)-'Bilan agents'!$C$4),0)</f>
        <v>0</v>
      </c>
      <c r="Q426" s="8" t="str">
        <f aca="false">IF(H426="Congé","CP",IF(H426="Férié","F",IF(H426="OFF","R",IF(N426&gt;0,"A",IF(ISNUMBER(I426),"P","NR")))))</f>
        <v>P</v>
      </c>
      <c r="R426" s="18"/>
    </row>
    <row r="427" customFormat="false" ht="15" hidden="false" customHeight="false" outlineLevel="0" collapsed="false">
      <c r="A427" s="18" t="s">
        <v>28</v>
      </c>
      <c r="B427" s="8" t="s">
        <v>29</v>
      </c>
      <c r="C427" s="9" t="n">
        <v>46046</v>
      </c>
      <c r="D427" s="8" t="n">
        <v>2026</v>
      </c>
      <c r="E427" s="8" t="n">
        <v>4</v>
      </c>
      <c r="F427" s="18" t="s">
        <v>122</v>
      </c>
      <c r="G427" s="8" t="s">
        <v>121</v>
      </c>
      <c r="H427" s="19" t="s">
        <v>115</v>
      </c>
      <c r="I427" s="19"/>
      <c r="J427" s="19"/>
      <c r="K427" s="19"/>
      <c r="L427" s="19" t="n">
        <v>0</v>
      </c>
      <c r="M427" s="19"/>
      <c r="N427" s="19" t="n">
        <v>0</v>
      </c>
      <c r="O427" s="19" t="n">
        <v>0</v>
      </c>
      <c r="P427" s="17" t="n">
        <f aca="false">IF(AND(ISNUMBER(H427),ISNUMBER(I427)),MAX(0,ROUND((I427-H427)*1440,0)-'Bilan agents'!$C$4),0)</f>
        <v>0</v>
      </c>
      <c r="Q427" s="8" t="str">
        <f aca="false">IF(H427="Congé","CP",IF(H427="Férié","F",IF(H427="OFF","R",IF(N427&gt;0,"A",IF(ISNUMBER(I427),"P","NR")))))</f>
        <v>R</v>
      </c>
      <c r="R427" s="18"/>
    </row>
    <row r="428" customFormat="false" ht="15" hidden="false" customHeight="false" outlineLevel="0" collapsed="false">
      <c r="A428" s="18" t="s">
        <v>28</v>
      </c>
      <c r="B428" s="8" t="s">
        <v>29</v>
      </c>
      <c r="C428" s="9" t="n">
        <v>46047</v>
      </c>
      <c r="D428" s="8" t="n">
        <v>2026</v>
      </c>
      <c r="E428" s="8" t="n">
        <v>4</v>
      </c>
      <c r="F428" s="18" t="s">
        <v>122</v>
      </c>
      <c r="G428" s="8" t="s">
        <v>114</v>
      </c>
      <c r="H428" s="19" t="s">
        <v>115</v>
      </c>
      <c r="I428" s="19"/>
      <c r="J428" s="19"/>
      <c r="K428" s="19"/>
      <c r="L428" s="19" t="n">
        <v>0</v>
      </c>
      <c r="M428" s="19"/>
      <c r="N428" s="19" t="n">
        <v>0</v>
      </c>
      <c r="O428" s="19" t="n">
        <v>0</v>
      </c>
      <c r="P428" s="17" t="n">
        <f aca="false">IF(AND(ISNUMBER(H428),ISNUMBER(I428)),MAX(0,ROUND((I428-H428)*1440,0)-'Bilan agents'!$C$4),0)</f>
        <v>0</v>
      </c>
      <c r="Q428" s="8" t="str">
        <f aca="false">IF(H428="Congé","CP",IF(H428="Férié","F",IF(H428="OFF","R",IF(N428&gt;0,"A",IF(ISNUMBER(I428),"P","NR")))))</f>
        <v>R</v>
      </c>
      <c r="R428" s="18"/>
    </row>
    <row r="429" customFormat="false" ht="15" hidden="false" customHeight="false" outlineLevel="0" collapsed="false">
      <c r="A429" s="18" t="s">
        <v>28</v>
      </c>
      <c r="B429" s="8" t="s">
        <v>29</v>
      </c>
      <c r="C429" s="9" t="n">
        <v>46048</v>
      </c>
      <c r="D429" s="8" t="n">
        <v>2026</v>
      </c>
      <c r="E429" s="8" t="n">
        <v>5</v>
      </c>
      <c r="F429" s="18" t="s">
        <v>122</v>
      </c>
      <c r="G429" s="8" t="s">
        <v>116</v>
      </c>
      <c r="H429" s="19" t="s">
        <v>43</v>
      </c>
      <c r="I429" s="19"/>
      <c r="J429" s="19"/>
      <c r="K429" s="19"/>
      <c r="L429" s="19" t="n">
        <v>0</v>
      </c>
      <c r="M429" s="19"/>
      <c r="N429" s="19" t="n">
        <v>0</v>
      </c>
      <c r="O429" s="19" t="n">
        <v>0</v>
      </c>
      <c r="P429" s="17" t="n">
        <f aca="false">IF(AND(ISNUMBER(H429),ISNUMBER(I429)),MAX(0,ROUND((I429-H429)*1440,0)-'Bilan agents'!$C$4),0)</f>
        <v>0</v>
      </c>
      <c r="Q429" s="8" t="str">
        <f aca="false">IF(H429="Congé","CP",IF(H429="Férié","F",IF(H429="OFF","R",IF(N429&gt;0,"A",IF(ISNUMBER(I429),"P","NR")))))</f>
        <v>CP</v>
      </c>
      <c r="R429" s="18"/>
    </row>
    <row r="430" customFormat="false" ht="15" hidden="false" customHeight="false" outlineLevel="0" collapsed="false">
      <c r="A430" s="18" t="s">
        <v>28</v>
      </c>
      <c r="B430" s="8" t="s">
        <v>29</v>
      </c>
      <c r="C430" s="9" t="n">
        <v>46049</v>
      </c>
      <c r="D430" s="8" t="n">
        <v>2026</v>
      </c>
      <c r="E430" s="8" t="n">
        <v>5</v>
      </c>
      <c r="F430" s="18" t="s">
        <v>122</v>
      </c>
      <c r="G430" s="8" t="s">
        <v>117</v>
      </c>
      <c r="H430" s="19" t="n">
        <v>0.333333333333333</v>
      </c>
      <c r="I430" s="19" t="n">
        <v>0.332638888888889</v>
      </c>
      <c r="J430" s="19" t="n">
        <v>0.75</v>
      </c>
      <c r="K430" s="19" t="n">
        <v>0.75</v>
      </c>
      <c r="L430" s="19" t="n">
        <v>0.375</v>
      </c>
      <c r="M430" s="19" t="n">
        <v>0.375</v>
      </c>
      <c r="N430" s="19" t="n">
        <v>0</v>
      </c>
      <c r="O430" s="19" t="n">
        <v>0</v>
      </c>
      <c r="P430" s="17" t="n">
        <f aca="false">IF(AND(ISNUMBER(H430),ISNUMBER(I430)),MAX(0,ROUND((I430-H430)*1440,0)-'Bilan agents'!$C$4),0)</f>
        <v>0</v>
      </c>
      <c r="Q430" s="8" t="str">
        <f aca="false">IF(H430="Congé","CP",IF(H430="Férié","F",IF(H430="OFF","R",IF(N430&gt;0,"A",IF(ISNUMBER(I430),"P","NR")))))</f>
        <v>P</v>
      </c>
      <c r="R430" s="18"/>
    </row>
    <row r="431" customFormat="false" ht="15" hidden="false" customHeight="false" outlineLevel="0" collapsed="false">
      <c r="A431" s="18" t="s">
        <v>28</v>
      </c>
      <c r="B431" s="8" t="s">
        <v>29</v>
      </c>
      <c r="C431" s="9" t="n">
        <v>46050</v>
      </c>
      <c r="D431" s="8" t="n">
        <v>2026</v>
      </c>
      <c r="E431" s="8" t="n">
        <v>5</v>
      </c>
      <c r="F431" s="18" t="s">
        <v>122</v>
      </c>
      <c r="G431" s="8" t="s">
        <v>118</v>
      </c>
      <c r="H431" s="19" t="n">
        <v>0.333333333333333</v>
      </c>
      <c r="I431" s="19" t="n">
        <v>0.331944444444444</v>
      </c>
      <c r="J431" s="19" t="n">
        <v>0.75</v>
      </c>
      <c r="K431" s="19" t="n">
        <v>0.75</v>
      </c>
      <c r="L431" s="19" t="n">
        <v>0.375</v>
      </c>
      <c r="M431" s="19" t="n">
        <v>0.375</v>
      </c>
      <c r="N431" s="19" t="n">
        <v>0</v>
      </c>
      <c r="O431" s="19" t="n">
        <v>0.00138888888888889</v>
      </c>
      <c r="P431" s="17" t="n">
        <f aca="false">IF(AND(ISNUMBER(H431),ISNUMBER(I431)),MAX(0,ROUND((I431-H431)*1440,0)-'Bilan agents'!$C$4),0)</f>
        <v>0</v>
      </c>
      <c r="Q431" s="8" t="str">
        <f aca="false">IF(H431="Congé","CP",IF(H431="Férié","F",IF(H431="OFF","R",IF(N431&gt;0,"A",IF(ISNUMBER(I431),"P","NR")))))</f>
        <v>P</v>
      </c>
      <c r="R431" s="18"/>
    </row>
    <row r="432" customFormat="false" ht="15" hidden="false" customHeight="false" outlineLevel="0" collapsed="false">
      <c r="A432" s="18" t="s">
        <v>28</v>
      </c>
      <c r="B432" s="8" t="s">
        <v>29</v>
      </c>
      <c r="C432" s="9" t="n">
        <v>46051</v>
      </c>
      <c r="D432" s="8" t="n">
        <v>2026</v>
      </c>
      <c r="E432" s="8" t="n">
        <v>5</v>
      </c>
      <c r="F432" s="18" t="s">
        <v>122</v>
      </c>
      <c r="G432" s="8" t="s">
        <v>119</v>
      </c>
      <c r="H432" s="19" t="n">
        <v>0.333333333333333</v>
      </c>
      <c r="I432" s="19" t="n">
        <v>0.331944444444444</v>
      </c>
      <c r="J432" s="19" t="n">
        <v>0.75</v>
      </c>
      <c r="K432" s="19" t="n">
        <v>0.75</v>
      </c>
      <c r="L432" s="19" t="n">
        <v>0.375</v>
      </c>
      <c r="M432" s="19" t="n">
        <v>0.375</v>
      </c>
      <c r="N432" s="19" t="n">
        <v>0</v>
      </c>
      <c r="O432" s="19" t="n">
        <v>0.00138888888888889</v>
      </c>
      <c r="P432" s="17" t="n">
        <f aca="false">IF(AND(ISNUMBER(H432),ISNUMBER(I432)),MAX(0,ROUND((I432-H432)*1440,0)-'Bilan agents'!$C$4),0)</f>
        <v>0</v>
      </c>
      <c r="Q432" s="8" t="str">
        <f aca="false">IF(H432="Congé","CP",IF(H432="Férié","F",IF(H432="OFF","R",IF(N432&gt;0,"A",IF(ISNUMBER(I432),"P","NR")))))</f>
        <v>P</v>
      </c>
      <c r="R432" s="18"/>
    </row>
    <row r="433" customFormat="false" ht="15" hidden="false" customHeight="false" outlineLevel="0" collapsed="false">
      <c r="A433" s="18" t="s">
        <v>28</v>
      </c>
      <c r="B433" s="8" t="s">
        <v>29</v>
      </c>
      <c r="C433" s="9" t="n">
        <v>46052</v>
      </c>
      <c r="D433" s="8" t="n">
        <v>2026</v>
      </c>
      <c r="E433" s="8" t="n">
        <v>5</v>
      </c>
      <c r="F433" s="18" t="s">
        <v>122</v>
      </c>
      <c r="G433" s="8" t="s">
        <v>120</v>
      </c>
      <c r="H433" s="19" t="n">
        <v>0.333333333333333</v>
      </c>
      <c r="I433" s="19" t="n">
        <v>0.333333333333333</v>
      </c>
      <c r="J433" s="19" t="n">
        <v>0.708333333333333</v>
      </c>
      <c r="K433" s="19" t="n">
        <v>0.708333333333333</v>
      </c>
      <c r="L433" s="19" t="n">
        <v>0.333333333333333</v>
      </c>
      <c r="M433" s="19" t="n">
        <v>0.333333333333333</v>
      </c>
      <c r="N433" s="19" t="n">
        <v>0</v>
      </c>
      <c r="O433" s="19" t="n">
        <v>0</v>
      </c>
      <c r="P433" s="17" t="n">
        <f aca="false">IF(AND(ISNUMBER(H433),ISNUMBER(I433)),MAX(0,ROUND((I433-H433)*1440,0)-'Bilan agents'!$C$4),0)</f>
        <v>0</v>
      </c>
      <c r="Q433" s="8" t="str">
        <f aca="false">IF(H433="Congé","CP",IF(H433="Férié","F",IF(H433="OFF","R",IF(N433&gt;0,"A",IF(ISNUMBER(I433),"P","NR")))))</f>
        <v>P</v>
      </c>
      <c r="R433" s="18"/>
    </row>
    <row r="434" customFormat="false" ht="15" hidden="false" customHeight="false" outlineLevel="0" collapsed="false">
      <c r="A434" s="18" t="s">
        <v>28</v>
      </c>
      <c r="B434" s="8" t="s">
        <v>29</v>
      </c>
      <c r="C434" s="9" t="n">
        <v>46053</v>
      </c>
      <c r="D434" s="8" t="n">
        <v>2026</v>
      </c>
      <c r="E434" s="8" t="n">
        <v>5</v>
      </c>
      <c r="F434" s="18" t="s">
        <v>122</v>
      </c>
      <c r="G434" s="8" t="s">
        <v>121</v>
      </c>
      <c r="H434" s="19" t="s">
        <v>115</v>
      </c>
      <c r="I434" s="19"/>
      <c r="J434" s="19"/>
      <c r="K434" s="19"/>
      <c r="L434" s="19" t="n">
        <v>0</v>
      </c>
      <c r="M434" s="19"/>
      <c r="N434" s="19" t="n">
        <v>0</v>
      </c>
      <c r="O434" s="19" t="n">
        <v>0</v>
      </c>
      <c r="P434" s="17" t="n">
        <f aca="false">IF(AND(ISNUMBER(H434),ISNUMBER(I434)),MAX(0,ROUND((I434-H434)*1440,0)-'Bilan agents'!$C$4),0)</f>
        <v>0</v>
      </c>
      <c r="Q434" s="8" t="str">
        <f aca="false">IF(H434="Congé","CP",IF(H434="Férié","F",IF(H434="OFF","R",IF(N434&gt;0,"A",IF(ISNUMBER(I434),"P","NR")))))</f>
        <v>R</v>
      </c>
      <c r="R434" s="18"/>
    </row>
    <row r="435" customFormat="false" ht="15" hidden="false" customHeight="false" outlineLevel="0" collapsed="false">
      <c r="A435" s="18" t="s">
        <v>28</v>
      </c>
      <c r="B435" s="8" t="s">
        <v>29</v>
      </c>
      <c r="C435" s="9" t="n">
        <v>46054</v>
      </c>
      <c r="D435" s="8" t="n">
        <v>2026</v>
      </c>
      <c r="E435" s="8" t="n">
        <v>5</v>
      </c>
      <c r="F435" s="18" t="s">
        <v>123</v>
      </c>
      <c r="G435" s="8" t="s">
        <v>114</v>
      </c>
      <c r="H435" s="19" t="s">
        <v>115</v>
      </c>
      <c r="I435" s="19"/>
      <c r="J435" s="19"/>
      <c r="K435" s="19"/>
      <c r="L435" s="19" t="n">
        <v>0</v>
      </c>
      <c r="M435" s="19"/>
      <c r="N435" s="19" t="n">
        <v>0</v>
      </c>
      <c r="O435" s="19" t="n">
        <v>0</v>
      </c>
      <c r="P435" s="17" t="n">
        <f aca="false">IF(AND(ISNUMBER(H435),ISNUMBER(I435)),MAX(0,ROUND((I435-H435)*1440,0)-'Bilan agents'!$C$4),0)</f>
        <v>0</v>
      </c>
      <c r="Q435" s="8" t="str">
        <f aca="false">IF(H435="Congé","CP",IF(H435="Férié","F",IF(H435="OFF","R",IF(N435&gt;0,"A",IF(ISNUMBER(I435),"P","NR")))))</f>
        <v>R</v>
      </c>
      <c r="R435" s="18"/>
    </row>
    <row r="436" customFormat="false" ht="15" hidden="false" customHeight="false" outlineLevel="0" collapsed="false">
      <c r="A436" s="18" t="s">
        <v>28</v>
      </c>
      <c r="B436" s="8" t="s">
        <v>29</v>
      </c>
      <c r="C436" s="9" t="n">
        <v>46055</v>
      </c>
      <c r="D436" s="8" t="n">
        <v>2026</v>
      </c>
      <c r="E436" s="8" t="n">
        <v>6</v>
      </c>
      <c r="F436" s="18" t="s">
        <v>123</v>
      </c>
      <c r="G436" s="8" t="s">
        <v>116</v>
      </c>
      <c r="H436" s="19" t="n">
        <v>0.333333333333333</v>
      </c>
      <c r="I436" s="19" t="n">
        <v>0.33125</v>
      </c>
      <c r="J436" s="19" t="n">
        <v>0.75</v>
      </c>
      <c r="K436" s="19" t="n">
        <v>0.75</v>
      </c>
      <c r="L436" s="19" t="n">
        <v>0.375</v>
      </c>
      <c r="M436" s="19" t="n">
        <v>0.375</v>
      </c>
      <c r="N436" s="19" t="n">
        <v>0</v>
      </c>
      <c r="O436" s="19" t="n">
        <v>0.00208333333333333</v>
      </c>
      <c r="P436" s="17" t="n">
        <f aca="false">IF(AND(ISNUMBER(H436),ISNUMBER(I436)),MAX(0,ROUND((I436-H436)*1440,0)-'Bilan agents'!$C$4),0)</f>
        <v>0</v>
      </c>
      <c r="Q436" s="8" t="str">
        <f aca="false">IF(H436="Congé","CP",IF(H436="Férié","F",IF(H436="OFF","R",IF(N436&gt;0,"A",IF(ISNUMBER(I436),"P","NR")))))</f>
        <v>P</v>
      </c>
      <c r="R436" s="18"/>
    </row>
    <row r="437" customFormat="false" ht="15" hidden="false" customHeight="false" outlineLevel="0" collapsed="false">
      <c r="A437" s="18" t="s">
        <v>28</v>
      </c>
      <c r="B437" s="8" t="s">
        <v>29</v>
      </c>
      <c r="C437" s="9" t="n">
        <v>46056</v>
      </c>
      <c r="D437" s="8" t="n">
        <v>2026</v>
      </c>
      <c r="E437" s="8" t="n">
        <v>6</v>
      </c>
      <c r="F437" s="18" t="s">
        <v>123</v>
      </c>
      <c r="G437" s="8" t="s">
        <v>117</v>
      </c>
      <c r="H437" s="19" t="n">
        <v>0.333333333333333</v>
      </c>
      <c r="I437" s="19" t="n">
        <v>0.333333333333333</v>
      </c>
      <c r="J437" s="19" t="n">
        <v>0.75</v>
      </c>
      <c r="K437" s="19" t="n">
        <v>0.75</v>
      </c>
      <c r="L437" s="19" t="n">
        <v>0.375</v>
      </c>
      <c r="M437" s="19" t="n">
        <v>0.375</v>
      </c>
      <c r="N437" s="19" t="n">
        <v>0</v>
      </c>
      <c r="O437" s="19" t="n">
        <v>0</v>
      </c>
      <c r="P437" s="17" t="n">
        <f aca="false">IF(AND(ISNUMBER(H437),ISNUMBER(I437)),MAX(0,ROUND((I437-H437)*1440,0)-'Bilan agents'!$C$4),0)</f>
        <v>0</v>
      </c>
      <c r="Q437" s="8" t="str">
        <f aca="false">IF(H437="Congé","CP",IF(H437="Férié","F",IF(H437="OFF","R",IF(N437&gt;0,"A",IF(ISNUMBER(I437),"P","NR")))))</f>
        <v>P</v>
      </c>
      <c r="R437" s="18"/>
    </row>
    <row r="438" customFormat="false" ht="15" hidden="false" customHeight="false" outlineLevel="0" collapsed="false">
      <c r="A438" s="18" t="s">
        <v>28</v>
      </c>
      <c r="B438" s="8" t="s">
        <v>29</v>
      </c>
      <c r="C438" s="9" t="n">
        <v>46057</v>
      </c>
      <c r="D438" s="8" t="n">
        <v>2026</v>
      </c>
      <c r="E438" s="8" t="n">
        <v>6</v>
      </c>
      <c r="F438" s="18" t="s">
        <v>123</v>
      </c>
      <c r="G438" s="8" t="s">
        <v>118</v>
      </c>
      <c r="H438" s="19" t="n">
        <v>0.333333333333333</v>
      </c>
      <c r="I438" s="19" t="n">
        <v>0.332638888888889</v>
      </c>
      <c r="J438" s="19" t="n">
        <v>0.75</v>
      </c>
      <c r="K438" s="19" t="n">
        <v>0.75</v>
      </c>
      <c r="L438" s="19" t="n">
        <v>0.375</v>
      </c>
      <c r="M438" s="19" t="n">
        <v>0.375</v>
      </c>
      <c r="N438" s="19" t="n">
        <v>0</v>
      </c>
      <c r="O438" s="19" t="n">
        <v>0</v>
      </c>
      <c r="P438" s="17" t="n">
        <f aca="false">IF(AND(ISNUMBER(H438),ISNUMBER(I438)),MAX(0,ROUND((I438-H438)*1440,0)-'Bilan agents'!$C$4),0)</f>
        <v>0</v>
      </c>
      <c r="Q438" s="8" t="str">
        <f aca="false">IF(H438="Congé","CP",IF(H438="Férié","F",IF(H438="OFF","R",IF(N438&gt;0,"A",IF(ISNUMBER(I438),"P","NR")))))</f>
        <v>P</v>
      </c>
      <c r="R438" s="18"/>
    </row>
    <row r="439" customFormat="false" ht="15" hidden="false" customHeight="false" outlineLevel="0" collapsed="false">
      <c r="A439" s="18" t="s">
        <v>28</v>
      </c>
      <c r="B439" s="8" t="s">
        <v>29</v>
      </c>
      <c r="C439" s="9" t="n">
        <v>46058</v>
      </c>
      <c r="D439" s="8" t="n">
        <v>2026</v>
      </c>
      <c r="E439" s="8" t="n">
        <v>6</v>
      </c>
      <c r="F439" s="18" t="s">
        <v>123</v>
      </c>
      <c r="G439" s="8" t="s">
        <v>119</v>
      </c>
      <c r="H439" s="19" t="n">
        <v>0.333333333333333</v>
      </c>
      <c r="I439" s="19" t="n">
        <v>0.349305555555556</v>
      </c>
      <c r="J439" s="19" t="n">
        <v>0.75</v>
      </c>
      <c r="K439" s="19" t="n">
        <v>0.75</v>
      </c>
      <c r="L439" s="19" t="n">
        <v>0.375</v>
      </c>
      <c r="M439" s="19" t="n">
        <v>0.375</v>
      </c>
      <c r="N439" s="19" t="n">
        <v>0</v>
      </c>
      <c r="O439" s="19" t="n">
        <v>0</v>
      </c>
      <c r="P439" s="17" t="n">
        <f aca="false">IF(AND(ISNUMBER(H439),ISNUMBER(I439)),MAX(0,ROUND((I439-H439)*1440,0)-'Bilan agents'!$C$4),0)</f>
        <v>23</v>
      </c>
      <c r="Q439" s="8" t="str">
        <f aca="false">IF(H439="Congé","CP",IF(H439="Férié","F",IF(H439="OFF","R",IF(N439&gt;0,"A",IF(ISNUMBER(I439),"P","NR")))))</f>
        <v>P</v>
      </c>
      <c r="R439" s="18"/>
    </row>
    <row r="440" customFormat="false" ht="15" hidden="false" customHeight="false" outlineLevel="0" collapsed="false">
      <c r="A440" s="18" t="s">
        <v>28</v>
      </c>
      <c r="B440" s="8" t="s">
        <v>29</v>
      </c>
      <c r="C440" s="9" t="n">
        <v>46059</v>
      </c>
      <c r="D440" s="8" t="n">
        <v>2026</v>
      </c>
      <c r="E440" s="8" t="n">
        <v>6</v>
      </c>
      <c r="F440" s="18" t="s">
        <v>123</v>
      </c>
      <c r="G440" s="8" t="s">
        <v>120</v>
      </c>
      <c r="H440" s="19" t="n">
        <v>0.333333333333333</v>
      </c>
      <c r="I440" s="19" t="n">
        <v>0.332638888888889</v>
      </c>
      <c r="J440" s="19" t="n">
        <v>0.708333333333333</v>
      </c>
      <c r="K440" s="19" t="n">
        <v>0.708333333333333</v>
      </c>
      <c r="L440" s="19" t="n">
        <v>0.333333333333333</v>
      </c>
      <c r="M440" s="19" t="n">
        <v>0.333333333333333</v>
      </c>
      <c r="N440" s="19" t="n">
        <v>0</v>
      </c>
      <c r="O440" s="19" t="n">
        <v>0</v>
      </c>
      <c r="P440" s="17" t="n">
        <f aca="false">IF(AND(ISNUMBER(H440),ISNUMBER(I440)),MAX(0,ROUND((I440-H440)*1440,0)-'Bilan agents'!$C$4),0)</f>
        <v>0</v>
      </c>
      <c r="Q440" s="8" t="str">
        <f aca="false">IF(H440="Congé","CP",IF(H440="Férié","F",IF(H440="OFF","R",IF(N440&gt;0,"A",IF(ISNUMBER(I440),"P","NR")))))</f>
        <v>P</v>
      </c>
      <c r="R440" s="18"/>
    </row>
    <row r="441" customFormat="false" ht="15" hidden="false" customHeight="false" outlineLevel="0" collapsed="false">
      <c r="A441" s="18" t="s">
        <v>28</v>
      </c>
      <c r="B441" s="8" t="s">
        <v>29</v>
      </c>
      <c r="C441" s="9" t="n">
        <v>46060</v>
      </c>
      <c r="D441" s="8" t="n">
        <v>2026</v>
      </c>
      <c r="E441" s="8" t="n">
        <v>6</v>
      </c>
      <c r="F441" s="18" t="s">
        <v>123</v>
      </c>
      <c r="G441" s="8" t="s">
        <v>121</v>
      </c>
      <c r="H441" s="19" t="s">
        <v>115</v>
      </c>
      <c r="I441" s="19"/>
      <c r="J441" s="19"/>
      <c r="K441" s="19"/>
      <c r="L441" s="19" t="n">
        <v>0</v>
      </c>
      <c r="M441" s="19"/>
      <c r="N441" s="19" t="n">
        <v>0</v>
      </c>
      <c r="O441" s="19" t="n">
        <v>0</v>
      </c>
      <c r="P441" s="17" t="n">
        <f aca="false">IF(AND(ISNUMBER(H441),ISNUMBER(I441)),MAX(0,ROUND((I441-H441)*1440,0)-'Bilan agents'!$C$4),0)</f>
        <v>0</v>
      </c>
      <c r="Q441" s="8" t="str">
        <f aca="false">IF(H441="Congé","CP",IF(H441="Férié","F",IF(H441="OFF","R",IF(N441&gt;0,"A",IF(ISNUMBER(I441),"P","NR")))))</f>
        <v>R</v>
      </c>
      <c r="R441" s="18"/>
    </row>
    <row r="442" customFormat="false" ht="15" hidden="false" customHeight="false" outlineLevel="0" collapsed="false">
      <c r="A442" s="18" t="s">
        <v>28</v>
      </c>
      <c r="B442" s="8" t="s">
        <v>29</v>
      </c>
      <c r="C442" s="9" t="n">
        <v>46061</v>
      </c>
      <c r="D442" s="8" t="n">
        <v>2026</v>
      </c>
      <c r="E442" s="8" t="n">
        <v>6</v>
      </c>
      <c r="F442" s="18" t="s">
        <v>123</v>
      </c>
      <c r="G442" s="8" t="s">
        <v>114</v>
      </c>
      <c r="H442" s="19" t="s">
        <v>115</v>
      </c>
      <c r="I442" s="19"/>
      <c r="J442" s="19"/>
      <c r="K442" s="19"/>
      <c r="L442" s="19" t="n">
        <v>0</v>
      </c>
      <c r="M442" s="19"/>
      <c r="N442" s="19" t="n">
        <v>0</v>
      </c>
      <c r="O442" s="19" t="n">
        <v>0</v>
      </c>
      <c r="P442" s="17" t="n">
        <f aca="false">IF(AND(ISNUMBER(H442),ISNUMBER(I442)),MAX(0,ROUND((I442-H442)*1440,0)-'Bilan agents'!$C$4),0)</f>
        <v>0</v>
      </c>
      <c r="Q442" s="8" t="str">
        <f aca="false">IF(H442="Congé","CP",IF(H442="Férié","F",IF(H442="OFF","R",IF(N442&gt;0,"A",IF(ISNUMBER(I442),"P","NR")))))</f>
        <v>R</v>
      </c>
      <c r="R442" s="18"/>
    </row>
    <row r="443" customFormat="false" ht="15" hidden="false" customHeight="false" outlineLevel="0" collapsed="false">
      <c r="A443" s="18" t="s">
        <v>28</v>
      </c>
      <c r="B443" s="8" t="s">
        <v>29</v>
      </c>
      <c r="C443" s="9" t="n">
        <v>46062</v>
      </c>
      <c r="D443" s="8" t="n">
        <v>2026</v>
      </c>
      <c r="E443" s="8" t="n">
        <v>7</v>
      </c>
      <c r="F443" s="18" t="s">
        <v>123</v>
      </c>
      <c r="G443" s="8" t="s">
        <v>116</v>
      </c>
      <c r="H443" s="19" t="n">
        <v>0.333333333333333</v>
      </c>
      <c r="I443" s="19" t="n">
        <v>0.333333333333333</v>
      </c>
      <c r="J443" s="19" t="n">
        <v>0.75</v>
      </c>
      <c r="K443" s="19" t="n">
        <v>0.75</v>
      </c>
      <c r="L443" s="19" t="n">
        <v>0.375</v>
      </c>
      <c r="M443" s="19" t="n">
        <v>0.375</v>
      </c>
      <c r="N443" s="19" t="n">
        <v>0</v>
      </c>
      <c r="O443" s="19" t="n">
        <v>0</v>
      </c>
      <c r="P443" s="17" t="n">
        <f aca="false">IF(AND(ISNUMBER(H443),ISNUMBER(I443)),MAX(0,ROUND((I443-H443)*1440,0)-'Bilan agents'!$C$4),0)</f>
        <v>0</v>
      </c>
      <c r="Q443" s="8" t="str">
        <f aca="false">IF(H443="Congé","CP",IF(H443="Férié","F",IF(H443="OFF","R",IF(N443&gt;0,"A",IF(ISNUMBER(I443),"P","NR")))))</f>
        <v>P</v>
      </c>
      <c r="R443" s="18"/>
    </row>
    <row r="444" customFormat="false" ht="15" hidden="false" customHeight="false" outlineLevel="0" collapsed="false">
      <c r="A444" s="18" t="s">
        <v>28</v>
      </c>
      <c r="B444" s="8" t="s">
        <v>29</v>
      </c>
      <c r="C444" s="9" t="n">
        <v>46063</v>
      </c>
      <c r="D444" s="8" t="n">
        <v>2026</v>
      </c>
      <c r="E444" s="8" t="n">
        <v>7</v>
      </c>
      <c r="F444" s="18" t="s">
        <v>123</v>
      </c>
      <c r="G444" s="8" t="s">
        <v>117</v>
      </c>
      <c r="H444" s="19" t="n">
        <v>0.333333333333333</v>
      </c>
      <c r="I444" s="19" t="n">
        <v>0.332638888888889</v>
      </c>
      <c r="J444" s="19" t="n">
        <v>0.75</v>
      </c>
      <c r="K444" s="19" t="n">
        <v>0.75</v>
      </c>
      <c r="L444" s="19" t="n">
        <v>0.375</v>
      </c>
      <c r="M444" s="19" t="n">
        <v>0.375</v>
      </c>
      <c r="N444" s="19" t="n">
        <v>0</v>
      </c>
      <c r="O444" s="19" t="n">
        <v>0</v>
      </c>
      <c r="P444" s="17" t="n">
        <f aca="false">IF(AND(ISNUMBER(H444),ISNUMBER(I444)),MAX(0,ROUND((I444-H444)*1440,0)-'Bilan agents'!$C$4),0)</f>
        <v>0</v>
      </c>
      <c r="Q444" s="8" t="str">
        <f aca="false">IF(H444="Congé","CP",IF(H444="Férié","F",IF(H444="OFF","R",IF(N444&gt;0,"A",IF(ISNUMBER(I444),"P","NR")))))</f>
        <v>P</v>
      </c>
      <c r="R444" s="18"/>
    </row>
    <row r="445" customFormat="false" ht="15" hidden="false" customHeight="false" outlineLevel="0" collapsed="false">
      <c r="A445" s="18" t="s">
        <v>28</v>
      </c>
      <c r="B445" s="8" t="s">
        <v>29</v>
      </c>
      <c r="C445" s="9" t="n">
        <v>46064</v>
      </c>
      <c r="D445" s="8" t="n">
        <v>2026</v>
      </c>
      <c r="E445" s="8" t="n">
        <v>7</v>
      </c>
      <c r="F445" s="18" t="s">
        <v>123</v>
      </c>
      <c r="G445" s="8" t="s">
        <v>118</v>
      </c>
      <c r="H445" s="19" t="n">
        <v>0.333333333333333</v>
      </c>
      <c r="I445" s="19" t="n">
        <v>0.333333333333333</v>
      </c>
      <c r="J445" s="19" t="n">
        <v>0.75</v>
      </c>
      <c r="K445" s="19" t="n">
        <v>0.75</v>
      </c>
      <c r="L445" s="19" t="n">
        <v>0.375</v>
      </c>
      <c r="M445" s="19" t="n">
        <v>0.375</v>
      </c>
      <c r="N445" s="19" t="n">
        <v>0</v>
      </c>
      <c r="O445" s="19" t="n">
        <v>0</v>
      </c>
      <c r="P445" s="17" t="n">
        <f aca="false">IF(AND(ISNUMBER(H445),ISNUMBER(I445)),MAX(0,ROUND((I445-H445)*1440,0)-'Bilan agents'!$C$4),0)</f>
        <v>0</v>
      </c>
      <c r="Q445" s="8" t="str">
        <f aca="false">IF(H445="Congé","CP",IF(H445="Férié","F",IF(H445="OFF","R",IF(N445&gt;0,"A",IF(ISNUMBER(I445),"P","NR")))))</f>
        <v>P</v>
      </c>
      <c r="R445" s="18"/>
    </row>
    <row r="446" customFormat="false" ht="15" hidden="false" customHeight="false" outlineLevel="0" collapsed="false">
      <c r="A446" s="18" t="s">
        <v>28</v>
      </c>
      <c r="B446" s="8" t="s">
        <v>29</v>
      </c>
      <c r="C446" s="9" t="n">
        <v>46065</v>
      </c>
      <c r="D446" s="8" t="n">
        <v>2026</v>
      </c>
      <c r="E446" s="8" t="n">
        <v>7</v>
      </c>
      <c r="F446" s="18" t="s">
        <v>123</v>
      </c>
      <c r="G446" s="8" t="s">
        <v>119</v>
      </c>
      <c r="H446" s="19" t="n">
        <v>0.333333333333333</v>
      </c>
      <c r="I446" s="19" t="n">
        <v>0.333333333333333</v>
      </c>
      <c r="J446" s="19" t="n">
        <v>0.75</v>
      </c>
      <c r="K446" s="19" t="n">
        <v>0.75</v>
      </c>
      <c r="L446" s="19" t="n">
        <v>0.375</v>
      </c>
      <c r="M446" s="19" t="n">
        <v>0.375</v>
      </c>
      <c r="N446" s="19" t="n">
        <v>0</v>
      </c>
      <c r="O446" s="19" t="n">
        <v>0</v>
      </c>
      <c r="P446" s="17" t="n">
        <f aca="false">IF(AND(ISNUMBER(H446),ISNUMBER(I446)),MAX(0,ROUND((I446-H446)*1440,0)-'Bilan agents'!$C$4),0)</f>
        <v>0</v>
      </c>
      <c r="Q446" s="8" t="str">
        <f aca="false">IF(H446="Congé","CP",IF(H446="Férié","F",IF(H446="OFF","R",IF(N446&gt;0,"A",IF(ISNUMBER(I446),"P","NR")))))</f>
        <v>P</v>
      </c>
      <c r="R446" s="18"/>
    </row>
    <row r="447" customFormat="false" ht="15" hidden="false" customHeight="false" outlineLevel="0" collapsed="false">
      <c r="A447" s="18" t="s">
        <v>28</v>
      </c>
      <c r="B447" s="8" t="s">
        <v>29</v>
      </c>
      <c r="C447" s="9" t="n">
        <v>46066</v>
      </c>
      <c r="D447" s="8" t="n">
        <v>2026</v>
      </c>
      <c r="E447" s="8" t="n">
        <v>7</v>
      </c>
      <c r="F447" s="18" t="s">
        <v>123</v>
      </c>
      <c r="G447" s="8" t="s">
        <v>120</v>
      </c>
      <c r="H447" s="19" t="n">
        <v>0.333333333333333</v>
      </c>
      <c r="I447" s="19" t="n">
        <v>0.333333333333333</v>
      </c>
      <c r="J447" s="19" t="n">
        <v>0.708333333333333</v>
      </c>
      <c r="K447" s="19" t="n">
        <v>0.708333333333333</v>
      </c>
      <c r="L447" s="19" t="n">
        <v>0.333333333333333</v>
      </c>
      <c r="M447" s="19" t="n">
        <v>0.333333333333333</v>
      </c>
      <c r="N447" s="19" t="n">
        <v>0</v>
      </c>
      <c r="O447" s="19" t="n">
        <v>0</v>
      </c>
      <c r="P447" s="17" t="n">
        <f aca="false">IF(AND(ISNUMBER(H447),ISNUMBER(I447)),MAX(0,ROUND((I447-H447)*1440,0)-'Bilan agents'!$C$4),0)</f>
        <v>0</v>
      </c>
      <c r="Q447" s="8" t="str">
        <f aca="false">IF(H447="Congé","CP",IF(H447="Férié","F",IF(H447="OFF","R",IF(N447&gt;0,"A",IF(ISNUMBER(I447),"P","NR")))))</f>
        <v>P</v>
      </c>
      <c r="R447" s="18"/>
    </row>
    <row r="448" customFormat="false" ht="15" hidden="false" customHeight="false" outlineLevel="0" collapsed="false">
      <c r="A448" s="18" t="s">
        <v>28</v>
      </c>
      <c r="B448" s="8" t="s">
        <v>29</v>
      </c>
      <c r="C448" s="9" t="n">
        <v>46067</v>
      </c>
      <c r="D448" s="8" t="n">
        <v>2026</v>
      </c>
      <c r="E448" s="8" t="n">
        <v>7</v>
      </c>
      <c r="F448" s="18" t="s">
        <v>123</v>
      </c>
      <c r="G448" s="8" t="s">
        <v>121</v>
      </c>
      <c r="H448" s="19" t="s">
        <v>115</v>
      </c>
      <c r="I448" s="19"/>
      <c r="J448" s="19"/>
      <c r="K448" s="19"/>
      <c r="L448" s="19" t="n">
        <v>0</v>
      </c>
      <c r="M448" s="19"/>
      <c r="N448" s="19" t="n">
        <v>0</v>
      </c>
      <c r="O448" s="19" t="n">
        <v>0</v>
      </c>
      <c r="P448" s="17" t="n">
        <f aca="false">IF(AND(ISNUMBER(H448),ISNUMBER(I448)),MAX(0,ROUND((I448-H448)*1440,0)-'Bilan agents'!$C$4),0)</f>
        <v>0</v>
      </c>
      <c r="Q448" s="8" t="str">
        <f aca="false">IF(H448="Congé","CP",IF(H448="Férié","F",IF(H448="OFF","R",IF(N448&gt;0,"A",IF(ISNUMBER(I448),"P","NR")))))</f>
        <v>R</v>
      </c>
      <c r="R448" s="18"/>
    </row>
    <row r="449" customFormat="false" ht="15" hidden="false" customHeight="false" outlineLevel="0" collapsed="false">
      <c r="A449" s="18" t="s">
        <v>28</v>
      </c>
      <c r="B449" s="8" t="s">
        <v>29</v>
      </c>
      <c r="C449" s="9" t="n">
        <v>46068</v>
      </c>
      <c r="D449" s="8" t="n">
        <v>2026</v>
      </c>
      <c r="E449" s="8" t="n">
        <v>7</v>
      </c>
      <c r="F449" s="18" t="s">
        <v>123</v>
      </c>
      <c r="G449" s="8" t="s">
        <v>114</v>
      </c>
      <c r="H449" s="19" t="s">
        <v>115</v>
      </c>
      <c r="I449" s="19"/>
      <c r="J449" s="19"/>
      <c r="K449" s="19"/>
      <c r="L449" s="19" t="n">
        <v>0</v>
      </c>
      <c r="M449" s="19"/>
      <c r="N449" s="19" t="n">
        <v>0</v>
      </c>
      <c r="O449" s="19" t="n">
        <v>0</v>
      </c>
      <c r="P449" s="17" t="n">
        <f aca="false">IF(AND(ISNUMBER(H449),ISNUMBER(I449)),MAX(0,ROUND((I449-H449)*1440,0)-'Bilan agents'!$C$4),0)</f>
        <v>0</v>
      </c>
      <c r="Q449" s="8" t="str">
        <f aca="false">IF(H449="Congé","CP",IF(H449="Férié","F",IF(H449="OFF","R",IF(N449&gt;0,"A",IF(ISNUMBER(I449),"P","NR")))))</f>
        <v>R</v>
      </c>
      <c r="R449" s="18"/>
    </row>
    <row r="450" customFormat="false" ht="15" hidden="false" customHeight="false" outlineLevel="0" collapsed="false">
      <c r="A450" s="18" t="s">
        <v>28</v>
      </c>
      <c r="B450" s="8" t="s">
        <v>29</v>
      </c>
      <c r="C450" s="9" t="n">
        <v>46074</v>
      </c>
      <c r="D450" s="8" t="n">
        <v>2026</v>
      </c>
      <c r="E450" s="8" t="n">
        <v>8</v>
      </c>
      <c r="F450" s="18" t="s">
        <v>123</v>
      </c>
      <c r="G450" s="8" t="s">
        <v>121</v>
      </c>
      <c r="H450" s="19" t="s">
        <v>115</v>
      </c>
      <c r="I450" s="19"/>
      <c r="J450" s="19"/>
      <c r="K450" s="19"/>
      <c r="L450" s="19" t="n">
        <v>0</v>
      </c>
      <c r="M450" s="19"/>
      <c r="N450" s="19" t="n">
        <v>0</v>
      </c>
      <c r="O450" s="19" t="n">
        <v>0</v>
      </c>
      <c r="P450" s="17" t="n">
        <f aca="false">IF(AND(ISNUMBER(H450),ISNUMBER(I450)),MAX(0,ROUND((I450-H450)*1440,0)-'Bilan agents'!$C$4),0)</f>
        <v>0</v>
      </c>
      <c r="Q450" s="8" t="str">
        <f aca="false">IF(H450="Congé","CP",IF(H450="Férié","F",IF(H450="OFF","R",IF(N450&gt;0,"A",IF(ISNUMBER(I450),"P","NR")))))</f>
        <v>R</v>
      </c>
      <c r="R450" s="18"/>
    </row>
    <row r="451" customFormat="false" ht="15" hidden="false" customHeight="false" outlineLevel="0" collapsed="false">
      <c r="A451" s="18" t="s">
        <v>28</v>
      </c>
      <c r="B451" s="8" t="s">
        <v>29</v>
      </c>
      <c r="C451" s="9" t="n">
        <v>46075</v>
      </c>
      <c r="D451" s="8" t="n">
        <v>2026</v>
      </c>
      <c r="E451" s="8" t="n">
        <v>8</v>
      </c>
      <c r="F451" s="18" t="s">
        <v>123</v>
      </c>
      <c r="G451" s="8" t="s">
        <v>114</v>
      </c>
      <c r="H451" s="19" t="s">
        <v>115</v>
      </c>
      <c r="I451" s="19"/>
      <c r="J451" s="19"/>
      <c r="K451" s="19"/>
      <c r="L451" s="19" t="n">
        <v>0</v>
      </c>
      <c r="M451" s="19"/>
      <c r="N451" s="19" t="n">
        <v>0</v>
      </c>
      <c r="O451" s="19" t="n">
        <v>0</v>
      </c>
      <c r="P451" s="17" t="n">
        <f aca="false">IF(AND(ISNUMBER(H451),ISNUMBER(I451)),MAX(0,ROUND((I451-H451)*1440,0)-'Bilan agents'!$C$4),0)</f>
        <v>0</v>
      </c>
      <c r="Q451" s="8" t="str">
        <f aca="false">IF(H451="Congé","CP",IF(H451="Férié","F",IF(H451="OFF","R",IF(N451&gt;0,"A",IF(ISNUMBER(I451),"P","NR")))))</f>
        <v>R</v>
      </c>
      <c r="R451" s="18"/>
    </row>
    <row r="452" customFormat="false" ht="15" hidden="false" customHeight="false" outlineLevel="0" collapsed="false">
      <c r="A452" s="18" t="s">
        <v>28</v>
      </c>
      <c r="B452" s="8" t="s">
        <v>29</v>
      </c>
      <c r="C452" s="9" t="n">
        <v>46076</v>
      </c>
      <c r="D452" s="8" t="n">
        <v>2026</v>
      </c>
      <c r="E452" s="8" t="n">
        <v>9</v>
      </c>
      <c r="F452" s="18" t="s">
        <v>123</v>
      </c>
      <c r="G452" s="8" t="s">
        <v>116</v>
      </c>
      <c r="H452" s="19" t="n">
        <v>0.333333333333333</v>
      </c>
      <c r="I452" s="19" t="n">
        <v>0.331944444444444</v>
      </c>
      <c r="J452" s="19" t="n">
        <v>0.708333333333333</v>
      </c>
      <c r="K452" s="19" t="n">
        <v>0.708333333333333</v>
      </c>
      <c r="L452" s="19" t="n">
        <v>0.375</v>
      </c>
      <c r="M452" s="19" t="n">
        <v>0.375</v>
      </c>
      <c r="N452" s="19" t="n">
        <v>0</v>
      </c>
      <c r="O452" s="19" t="n">
        <v>0.00138888888888889</v>
      </c>
      <c r="P452" s="17" t="n">
        <f aca="false">IF(AND(ISNUMBER(H452),ISNUMBER(I452)),MAX(0,ROUND((I452-H452)*1440,0)-'Bilan agents'!$C$4),0)</f>
        <v>0</v>
      </c>
      <c r="Q452" s="8" t="str">
        <f aca="false">IF(H452="Congé","CP",IF(H452="Férié","F",IF(H452="OFF","R",IF(N452&gt;0,"A",IF(ISNUMBER(I452),"P","NR")))))</f>
        <v>P</v>
      </c>
      <c r="R452" s="18"/>
    </row>
    <row r="453" customFormat="false" ht="15" hidden="false" customHeight="false" outlineLevel="0" collapsed="false">
      <c r="A453" s="18" t="s">
        <v>28</v>
      </c>
      <c r="B453" s="8" t="s">
        <v>29</v>
      </c>
      <c r="C453" s="9" t="n">
        <v>46077</v>
      </c>
      <c r="D453" s="8" t="n">
        <v>2026</v>
      </c>
      <c r="E453" s="8" t="n">
        <v>9</v>
      </c>
      <c r="F453" s="18" t="s">
        <v>123</v>
      </c>
      <c r="G453" s="8" t="s">
        <v>117</v>
      </c>
      <c r="H453" s="19" t="n">
        <v>0.333333333333333</v>
      </c>
      <c r="I453" s="19" t="n">
        <v>0.333333333333333</v>
      </c>
      <c r="J453" s="19" t="n">
        <v>0.708333333333333</v>
      </c>
      <c r="K453" s="19" t="n">
        <v>0.708333333333333</v>
      </c>
      <c r="L453" s="19" t="n">
        <v>0.375</v>
      </c>
      <c r="M453" s="19" t="n">
        <v>0.375</v>
      </c>
      <c r="N453" s="19" t="n">
        <v>0</v>
      </c>
      <c r="O453" s="19" t="n">
        <v>0</v>
      </c>
      <c r="P453" s="17" t="n">
        <f aca="false">IF(AND(ISNUMBER(H453),ISNUMBER(I453)),MAX(0,ROUND((I453-H453)*1440,0)-'Bilan agents'!$C$4),0)</f>
        <v>0</v>
      </c>
      <c r="Q453" s="8" t="str">
        <f aca="false">IF(H453="Congé","CP",IF(H453="Férié","F",IF(H453="OFF","R",IF(N453&gt;0,"A",IF(ISNUMBER(I453),"P","NR")))))</f>
        <v>P</v>
      </c>
      <c r="R453" s="18"/>
    </row>
    <row r="454" customFormat="false" ht="15" hidden="false" customHeight="false" outlineLevel="0" collapsed="false">
      <c r="A454" s="18" t="s">
        <v>28</v>
      </c>
      <c r="B454" s="8" t="s">
        <v>29</v>
      </c>
      <c r="C454" s="9" t="n">
        <v>46078</v>
      </c>
      <c r="D454" s="8" t="n">
        <v>2026</v>
      </c>
      <c r="E454" s="8" t="n">
        <v>9</v>
      </c>
      <c r="F454" s="18" t="s">
        <v>123</v>
      </c>
      <c r="G454" s="8" t="s">
        <v>118</v>
      </c>
      <c r="H454" s="19" t="n">
        <v>0.333333333333333</v>
      </c>
      <c r="I454" s="19" t="n">
        <v>0.333333333333333</v>
      </c>
      <c r="J454" s="19" t="n">
        <v>0.708333333333333</v>
      </c>
      <c r="K454" s="19" t="n">
        <v>0.708333333333333</v>
      </c>
      <c r="L454" s="19" t="n">
        <v>0.375</v>
      </c>
      <c r="M454" s="19" t="n">
        <v>0.375</v>
      </c>
      <c r="N454" s="19" t="n">
        <v>0</v>
      </c>
      <c r="O454" s="19" t="n">
        <v>0</v>
      </c>
      <c r="P454" s="17" t="n">
        <f aca="false">IF(AND(ISNUMBER(H454),ISNUMBER(I454)),MAX(0,ROUND((I454-H454)*1440,0)-'Bilan agents'!$C$4),0)</f>
        <v>0</v>
      </c>
      <c r="Q454" s="8" t="str">
        <f aca="false">IF(H454="Congé","CP",IF(H454="Férié","F",IF(H454="OFF","R",IF(N454&gt;0,"A",IF(ISNUMBER(I454),"P","NR")))))</f>
        <v>P</v>
      </c>
      <c r="R454" s="18"/>
    </row>
    <row r="455" customFormat="false" ht="15" hidden="false" customHeight="false" outlineLevel="0" collapsed="false">
      <c r="A455" s="18" t="s">
        <v>28</v>
      </c>
      <c r="B455" s="8" t="s">
        <v>29</v>
      </c>
      <c r="C455" s="9" t="n">
        <v>46079</v>
      </c>
      <c r="D455" s="8" t="n">
        <v>2026</v>
      </c>
      <c r="E455" s="8" t="n">
        <v>9</v>
      </c>
      <c r="F455" s="18" t="s">
        <v>123</v>
      </c>
      <c r="G455" s="8" t="s">
        <v>119</v>
      </c>
      <c r="H455" s="19" t="n">
        <v>0.333333333333333</v>
      </c>
      <c r="I455" s="19" t="n">
        <v>0.333333333333333</v>
      </c>
      <c r="J455" s="19" t="n">
        <v>0.708333333333333</v>
      </c>
      <c r="K455" s="19" t="n">
        <v>0.708333333333333</v>
      </c>
      <c r="L455" s="19" t="n">
        <v>0.375</v>
      </c>
      <c r="M455" s="19" t="n">
        <v>0.375</v>
      </c>
      <c r="N455" s="19" t="n">
        <v>0</v>
      </c>
      <c r="O455" s="19" t="n">
        <v>0</v>
      </c>
      <c r="P455" s="17" t="n">
        <f aca="false">IF(AND(ISNUMBER(H455),ISNUMBER(I455)),MAX(0,ROUND((I455-H455)*1440,0)-'Bilan agents'!$C$4),0)</f>
        <v>0</v>
      </c>
      <c r="Q455" s="8" t="str">
        <f aca="false">IF(H455="Congé","CP",IF(H455="Férié","F",IF(H455="OFF","R",IF(N455&gt;0,"A",IF(ISNUMBER(I455),"P","NR")))))</f>
        <v>P</v>
      </c>
      <c r="R455" s="18"/>
    </row>
    <row r="456" customFormat="false" ht="15" hidden="false" customHeight="false" outlineLevel="0" collapsed="false">
      <c r="A456" s="18" t="s">
        <v>28</v>
      </c>
      <c r="B456" s="8" t="s">
        <v>29</v>
      </c>
      <c r="C456" s="9" t="n">
        <v>46080</v>
      </c>
      <c r="D456" s="8" t="n">
        <v>2026</v>
      </c>
      <c r="E456" s="8" t="n">
        <v>9</v>
      </c>
      <c r="F456" s="18" t="s">
        <v>123</v>
      </c>
      <c r="G456" s="8" t="s">
        <v>120</v>
      </c>
      <c r="H456" s="19" t="n">
        <v>0.333333333333333</v>
      </c>
      <c r="I456" s="19" t="n">
        <v>0.333333333333333</v>
      </c>
      <c r="J456" s="19" t="n">
        <v>0.666666666666667</v>
      </c>
      <c r="K456" s="19" t="n">
        <v>0.666666666666667</v>
      </c>
      <c r="L456" s="19" t="n">
        <v>0.333333333333333</v>
      </c>
      <c r="M456" s="19" t="n">
        <v>0.333333333333333</v>
      </c>
      <c r="N456" s="19" t="n">
        <v>0</v>
      </c>
      <c r="O456" s="19" t="n">
        <v>0</v>
      </c>
      <c r="P456" s="17" t="n">
        <f aca="false">IF(AND(ISNUMBER(H456),ISNUMBER(I456)),MAX(0,ROUND((I456-H456)*1440,0)-'Bilan agents'!$C$4),0)</f>
        <v>0</v>
      </c>
      <c r="Q456" s="8" t="str">
        <f aca="false">IF(H456="Congé","CP",IF(H456="Férié","F",IF(H456="OFF","R",IF(N456&gt;0,"A",IF(ISNUMBER(I456),"P","NR")))))</f>
        <v>P</v>
      </c>
      <c r="R456" s="18"/>
    </row>
    <row r="457" customFormat="false" ht="15" hidden="false" customHeight="false" outlineLevel="0" collapsed="false">
      <c r="A457" s="18" t="s">
        <v>28</v>
      </c>
      <c r="B457" s="8" t="s">
        <v>29</v>
      </c>
      <c r="C457" s="9" t="n">
        <v>46081</v>
      </c>
      <c r="D457" s="8" t="n">
        <v>2026</v>
      </c>
      <c r="E457" s="8" t="n">
        <v>9</v>
      </c>
      <c r="F457" s="18" t="s">
        <v>123</v>
      </c>
      <c r="G457" s="8" t="s">
        <v>121</v>
      </c>
      <c r="H457" s="19" t="s">
        <v>115</v>
      </c>
      <c r="I457" s="19"/>
      <c r="J457" s="19"/>
      <c r="K457" s="19"/>
      <c r="L457" s="19" t="n">
        <v>0</v>
      </c>
      <c r="M457" s="19"/>
      <c r="N457" s="19" t="n">
        <v>0</v>
      </c>
      <c r="O457" s="19" t="n">
        <v>0</v>
      </c>
      <c r="P457" s="17" t="n">
        <f aca="false">IF(AND(ISNUMBER(H457),ISNUMBER(I457)),MAX(0,ROUND((I457-H457)*1440,0)-'Bilan agents'!$C$4),0)</f>
        <v>0</v>
      </c>
      <c r="Q457" s="8" t="str">
        <f aca="false">IF(H457="Congé","CP",IF(H457="Férié","F",IF(H457="OFF","R",IF(N457&gt;0,"A",IF(ISNUMBER(I457),"P","NR")))))</f>
        <v>R</v>
      </c>
      <c r="R457" s="18"/>
    </row>
    <row r="458" customFormat="false" ht="15" hidden="false" customHeight="false" outlineLevel="0" collapsed="false">
      <c r="A458" s="18" t="s">
        <v>28</v>
      </c>
      <c r="B458" s="8" t="s">
        <v>29</v>
      </c>
      <c r="C458" s="9" t="n">
        <v>46082</v>
      </c>
      <c r="D458" s="8" t="n">
        <v>2026</v>
      </c>
      <c r="E458" s="8" t="n">
        <v>9</v>
      </c>
      <c r="F458" s="18" t="s">
        <v>124</v>
      </c>
      <c r="G458" s="8" t="s">
        <v>114</v>
      </c>
      <c r="H458" s="19" t="s">
        <v>115</v>
      </c>
      <c r="I458" s="19"/>
      <c r="J458" s="19"/>
      <c r="K458" s="19"/>
      <c r="L458" s="19" t="n">
        <v>0</v>
      </c>
      <c r="M458" s="19"/>
      <c r="N458" s="19" t="n">
        <v>0</v>
      </c>
      <c r="O458" s="19" t="n">
        <v>0</v>
      </c>
      <c r="P458" s="17" t="n">
        <f aca="false">IF(AND(ISNUMBER(H458),ISNUMBER(I458)),MAX(0,ROUND((I458-H458)*1440,0)-'Bilan agents'!$C$4),0)</f>
        <v>0</v>
      </c>
      <c r="Q458" s="8" t="str">
        <f aca="false">IF(H458="Congé","CP",IF(H458="Férié","F",IF(H458="OFF","R",IF(N458&gt;0,"A",IF(ISNUMBER(I458),"P","NR")))))</f>
        <v>R</v>
      </c>
      <c r="R458" s="18"/>
    </row>
    <row r="459" customFormat="false" ht="15" hidden="false" customHeight="false" outlineLevel="0" collapsed="false">
      <c r="A459" s="18" t="s">
        <v>28</v>
      </c>
      <c r="B459" s="8" t="s">
        <v>29</v>
      </c>
      <c r="C459" s="9" t="n">
        <v>46083</v>
      </c>
      <c r="D459" s="8" t="n">
        <v>2026</v>
      </c>
      <c r="E459" s="8" t="n">
        <v>10</v>
      </c>
      <c r="F459" s="18" t="s">
        <v>124</v>
      </c>
      <c r="G459" s="8" t="s">
        <v>116</v>
      </c>
      <c r="H459" s="19" t="n">
        <v>0.333333333333333</v>
      </c>
      <c r="I459" s="19" t="n">
        <v>0.333333333333333</v>
      </c>
      <c r="J459" s="19" t="n">
        <v>0.708333333333333</v>
      </c>
      <c r="K459" s="19" t="n">
        <v>0.708333333333333</v>
      </c>
      <c r="L459" s="19" t="n">
        <v>0.375</v>
      </c>
      <c r="M459" s="19" t="n">
        <v>0.375</v>
      </c>
      <c r="N459" s="19" t="n">
        <v>0</v>
      </c>
      <c r="O459" s="19" t="n">
        <v>0</v>
      </c>
      <c r="P459" s="17" t="n">
        <f aca="false">IF(AND(ISNUMBER(H459),ISNUMBER(I459)),MAX(0,ROUND((I459-H459)*1440,0)-'Bilan agents'!$C$4),0)</f>
        <v>0</v>
      </c>
      <c r="Q459" s="8" t="str">
        <f aca="false">IF(H459="Congé","CP",IF(H459="Férié","F",IF(H459="OFF","R",IF(N459&gt;0,"A",IF(ISNUMBER(I459),"P","NR")))))</f>
        <v>P</v>
      </c>
      <c r="R459" s="18"/>
    </row>
    <row r="460" customFormat="false" ht="15" hidden="false" customHeight="false" outlineLevel="0" collapsed="false">
      <c r="A460" s="18" t="s">
        <v>28</v>
      </c>
      <c r="B460" s="8" t="s">
        <v>29</v>
      </c>
      <c r="C460" s="9" t="n">
        <v>46084</v>
      </c>
      <c r="D460" s="8" t="n">
        <v>2026</v>
      </c>
      <c r="E460" s="8" t="n">
        <v>10</v>
      </c>
      <c r="F460" s="18" t="s">
        <v>124</v>
      </c>
      <c r="G460" s="8" t="s">
        <v>117</v>
      </c>
      <c r="H460" s="19" t="n">
        <v>0.333333333333333</v>
      </c>
      <c r="I460" s="19" t="n">
        <v>0.331944444444444</v>
      </c>
      <c r="J460" s="19" t="n">
        <v>0.708333333333333</v>
      </c>
      <c r="K460" s="19" t="n">
        <v>0.708333333333333</v>
      </c>
      <c r="L460" s="19" t="n">
        <v>0.375</v>
      </c>
      <c r="M460" s="19" t="n">
        <v>0.375</v>
      </c>
      <c r="N460" s="19" t="n">
        <v>0</v>
      </c>
      <c r="O460" s="19" t="n">
        <v>0.00138888888888889</v>
      </c>
      <c r="P460" s="17" t="n">
        <f aca="false">IF(AND(ISNUMBER(H460),ISNUMBER(I460)),MAX(0,ROUND((I460-H460)*1440,0)-'Bilan agents'!$C$4),0)</f>
        <v>0</v>
      </c>
      <c r="Q460" s="8" t="str">
        <f aca="false">IF(H460="Congé","CP",IF(H460="Férié","F",IF(H460="OFF","R",IF(N460&gt;0,"A",IF(ISNUMBER(I460),"P","NR")))))</f>
        <v>P</v>
      </c>
      <c r="R460" s="18"/>
    </row>
    <row r="461" customFormat="false" ht="15" hidden="false" customHeight="false" outlineLevel="0" collapsed="false">
      <c r="A461" s="18" t="s">
        <v>28</v>
      </c>
      <c r="B461" s="8" t="s">
        <v>29</v>
      </c>
      <c r="C461" s="9" t="n">
        <v>46085</v>
      </c>
      <c r="D461" s="8" t="n">
        <v>2026</v>
      </c>
      <c r="E461" s="8" t="n">
        <v>10</v>
      </c>
      <c r="F461" s="18" t="s">
        <v>124</v>
      </c>
      <c r="G461" s="8" t="s">
        <v>118</v>
      </c>
      <c r="H461" s="19" t="n">
        <v>0.333333333333333</v>
      </c>
      <c r="I461" s="19" t="n">
        <v>0.333333333333333</v>
      </c>
      <c r="J461" s="19" t="n">
        <v>0.708333333333333</v>
      </c>
      <c r="K461" s="19" t="n">
        <v>0.708333333333333</v>
      </c>
      <c r="L461" s="19" t="n">
        <v>0.375</v>
      </c>
      <c r="M461" s="19" t="n">
        <v>0.375</v>
      </c>
      <c r="N461" s="19" t="n">
        <v>0</v>
      </c>
      <c r="O461" s="19" t="n">
        <v>0</v>
      </c>
      <c r="P461" s="17" t="n">
        <f aca="false">IF(AND(ISNUMBER(H461),ISNUMBER(I461)),MAX(0,ROUND((I461-H461)*1440,0)-'Bilan agents'!$C$4),0)</f>
        <v>0</v>
      </c>
      <c r="Q461" s="8" t="str">
        <f aca="false">IF(H461="Congé","CP",IF(H461="Férié","F",IF(H461="OFF","R",IF(N461&gt;0,"A",IF(ISNUMBER(I461),"P","NR")))))</f>
        <v>P</v>
      </c>
      <c r="R461" s="18"/>
    </row>
    <row r="462" customFormat="false" ht="15" hidden="false" customHeight="false" outlineLevel="0" collapsed="false">
      <c r="A462" s="18" t="s">
        <v>28</v>
      </c>
      <c r="B462" s="8" t="s">
        <v>29</v>
      </c>
      <c r="C462" s="9" t="n">
        <v>46086</v>
      </c>
      <c r="D462" s="8" t="n">
        <v>2026</v>
      </c>
      <c r="E462" s="8" t="n">
        <v>10</v>
      </c>
      <c r="F462" s="18" t="s">
        <v>124</v>
      </c>
      <c r="G462" s="8" t="s">
        <v>119</v>
      </c>
      <c r="H462" s="19" t="n">
        <v>0.333333333333333</v>
      </c>
      <c r="I462" s="19" t="n">
        <v>0.333333333333333</v>
      </c>
      <c r="J462" s="19" t="n">
        <v>0.708333333333333</v>
      </c>
      <c r="K462" s="19" t="n">
        <v>0.708333333333333</v>
      </c>
      <c r="L462" s="19" t="n">
        <v>0.375</v>
      </c>
      <c r="M462" s="19" t="n">
        <v>0.375</v>
      </c>
      <c r="N462" s="19" t="n">
        <v>0</v>
      </c>
      <c r="O462" s="19" t="n">
        <v>0</v>
      </c>
      <c r="P462" s="17" t="n">
        <f aca="false">IF(AND(ISNUMBER(H462),ISNUMBER(I462)),MAX(0,ROUND((I462-H462)*1440,0)-'Bilan agents'!$C$4),0)</f>
        <v>0</v>
      </c>
      <c r="Q462" s="8" t="str">
        <f aca="false">IF(H462="Congé","CP",IF(H462="Férié","F",IF(H462="OFF","R",IF(N462&gt;0,"A",IF(ISNUMBER(I462),"P","NR")))))</f>
        <v>P</v>
      </c>
      <c r="R462" s="18"/>
    </row>
    <row r="463" customFormat="false" ht="15" hidden="false" customHeight="false" outlineLevel="0" collapsed="false">
      <c r="A463" s="18" t="s">
        <v>28</v>
      </c>
      <c r="B463" s="8" t="s">
        <v>29</v>
      </c>
      <c r="C463" s="9" t="n">
        <v>46087</v>
      </c>
      <c r="D463" s="8" t="n">
        <v>2026</v>
      </c>
      <c r="E463" s="8" t="n">
        <v>10</v>
      </c>
      <c r="F463" s="18" t="s">
        <v>124</v>
      </c>
      <c r="G463" s="8" t="s">
        <v>120</v>
      </c>
      <c r="H463" s="19" t="n">
        <v>0.333333333333333</v>
      </c>
      <c r="I463" s="19" t="n">
        <v>0.333333333333333</v>
      </c>
      <c r="J463" s="19" t="n">
        <v>0.666666666666667</v>
      </c>
      <c r="K463" s="19" t="n">
        <v>0.666666666666667</v>
      </c>
      <c r="L463" s="19" t="n">
        <v>0.333333333333333</v>
      </c>
      <c r="M463" s="19" t="n">
        <v>0.333333333333333</v>
      </c>
      <c r="N463" s="19" t="n">
        <v>0</v>
      </c>
      <c r="O463" s="19" t="n">
        <v>0</v>
      </c>
      <c r="P463" s="17" t="n">
        <f aca="false">IF(AND(ISNUMBER(H463),ISNUMBER(I463)),MAX(0,ROUND((I463-H463)*1440,0)-'Bilan agents'!$C$4),0)</f>
        <v>0</v>
      </c>
      <c r="Q463" s="8" t="str">
        <f aca="false">IF(H463="Congé","CP",IF(H463="Férié","F",IF(H463="OFF","R",IF(N463&gt;0,"A",IF(ISNUMBER(I463),"P","NR")))))</f>
        <v>P</v>
      </c>
      <c r="R463" s="18"/>
    </row>
    <row r="464" customFormat="false" ht="15" hidden="false" customHeight="false" outlineLevel="0" collapsed="false">
      <c r="A464" s="18" t="s">
        <v>28</v>
      </c>
      <c r="B464" s="8" t="s">
        <v>29</v>
      </c>
      <c r="C464" s="9" t="n">
        <v>46088</v>
      </c>
      <c r="D464" s="8" t="n">
        <v>2026</v>
      </c>
      <c r="E464" s="8" t="n">
        <v>10</v>
      </c>
      <c r="F464" s="18" t="s">
        <v>124</v>
      </c>
      <c r="G464" s="8" t="s">
        <v>121</v>
      </c>
      <c r="H464" s="19" t="s">
        <v>115</v>
      </c>
      <c r="I464" s="19"/>
      <c r="J464" s="19"/>
      <c r="K464" s="19"/>
      <c r="L464" s="19" t="n">
        <v>0</v>
      </c>
      <c r="M464" s="19"/>
      <c r="N464" s="19" t="n">
        <v>0</v>
      </c>
      <c r="O464" s="19" t="n">
        <v>0</v>
      </c>
      <c r="P464" s="17" t="n">
        <f aca="false">IF(AND(ISNUMBER(H464),ISNUMBER(I464)),MAX(0,ROUND((I464-H464)*1440,0)-'Bilan agents'!$C$4),0)</f>
        <v>0</v>
      </c>
      <c r="Q464" s="8" t="str">
        <f aca="false">IF(H464="Congé","CP",IF(H464="Férié","F",IF(H464="OFF","R",IF(N464&gt;0,"A",IF(ISNUMBER(I464),"P","NR")))))</f>
        <v>R</v>
      </c>
      <c r="R464" s="18"/>
    </row>
    <row r="465" customFormat="false" ht="15" hidden="false" customHeight="false" outlineLevel="0" collapsed="false">
      <c r="A465" s="18" t="s">
        <v>28</v>
      </c>
      <c r="B465" s="8" t="s">
        <v>29</v>
      </c>
      <c r="C465" s="9" t="n">
        <v>46089</v>
      </c>
      <c r="D465" s="8" t="n">
        <v>2026</v>
      </c>
      <c r="E465" s="8" t="n">
        <v>10</v>
      </c>
      <c r="F465" s="18" t="s">
        <v>124</v>
      </c>
      <c r="G465" s="8" t="s">
        <v>114</v>
      </c>
      <c r="H465" s="19" t="s">
        <v>115</v>
      </c>
      <c r="I465" s="19"/>
      <c r="J465" s="19"/>
      <c r="K465" s="19"/>
      <c r="L465" s="19" t="n">
        <v>0</v>
      </c>
      <c r="M465" s="19"/>
      <c r="N465" s="19" t="n">
        <v>0</v>
      </c>
      <c r="O465" s="19" t="n">
        <v>0</v>
      </c>
      <c r="P465" s="17" t="n">
        <f aca="false">IF(AND(ISNUMBER(H465),ISNUMBER(I465)),MAX(0,ROUND((I465-H465)*1440,0)-'Bilan agents'!$C$4),0)</f>
        <v>0</v>
      </c>
      <c r="Q465" s="8" t="str">
        <f aca="false">IF(H465="Congé","CP",IF(H465="Férié","F",IF(H465="OFF","R",IF(N465&gt;0,"A",IF(ISNUMBER(I465),"P","NR")))))</f>
        <v>R</v>
      </c>
      <c r="R465" s="18"/>
    </row>
    <row r="466" customFormat="false" ht="15" hidden="false" customHeight="false" outlineLevel="0" collapsed="false">
      <c r="A466" s="18" t="s">
        <v>28</v>
      </c>
      <c r="B466" s="8" t="s">
        <v>29</v>
      </c>
      <c r="C466" s="9" t="n">
        <v>46090</v>
      </c>
      <c r="D466" s="8" t="n">
        <v>2026</v>
      </c>
      <c r="E466" s="8" t="n">
        <v>11</v>
      </c>
      <c r="F466" s="18" t="s">
        <v>124</v>
      </c>
      <c r="G466" s="8" t="s">
        <v>116</v>
      </c>
      <c r="H466" s="19" t="n">
        <v>0.333333333333333</v>
      </c>
      <c r="I466" s="19" t="n">
        <v>0.331944444444444</v>
      </c>
      <c r="J466" s="19" t="n">
        <v>0.708333333333333</v>
      </c>
      <c r="K466" s="19" t="n">
        <v>0.708333333333333</v>
      </c>
      <c r="L466" s="19" t="n">
        <v>0.375</v>
      </c>
      <c r="M466" s="19" t="n">
        <v>0.375</v>
      </c>
      <c r="N466" s="19" t="n">
        <v>0</v>
      </c>
      <c r="O466" s="19" t="n">
        <v>0.00138888888888889</v>
      </c>
      <c r="P466" s="17" t="n">
        <f aca="false">IF(AND(ISNUMBER(H466),ISNUMBER(I466)),MAX(0,ROUND((I466-H466)*1440,0)-'Bilan agents'!$C$4),0)</f>
        <v>0</v>
      </c>
      <c r="Q466" s="8" t="str">
        <f aca="false">IF(H466="Congé","CP",IF(H466="Férié","F",IF(H466="OFF","R",IF(N466&gt;0,"A",IF(ISNUMBER(I466),"P","NR")))))</f>
        <v>P</v>
      </c>
      <c r="R466" s="18"/>
    </row>
    <row r="467" customFormat="false" ht="15" hidden="false" customHeight="false" outlineLevel="0" collapsed="false">
      <c r="A467" s="18" t="s">
        <v>28</v>
      </c>
      <c r="B467" s="8" t="s">
        <v>29</v>
      </c>
      <c r="C467" s="9" t="n">
        <v>46091</v>
      </c>
      <c r="D467" s="8" t="n">
        <v>2026</v>
      </c>
      <c r="E467" s="8" t="n">
        <v>11</v>
      </c>
      <c r="F467" s="18" t="s">
        <v>124</v>
      </c>
      <c r="G467" s="8" t="s">
        <v>117</v>
      </c>
      <c r="H467" s="19" t="n">
        <v>0.333333333333333</v>
      </c>
      <c r="I467" s="19" t="n">
        <v>0.331944444444444</v>
      </c>
      <c r="J467" s="19" t="n">
        <v>0.708333333333333</v>
      </c>
      <c r="K467" s="19" t="n">
        <v>0.708333333333333</v>
      </c>
      <c r="L467" s="19" t="n">
        <v>0.375</v>
      </c>
      <c r="M467" s="19" t="n">
        <v>0.375</v>
      </c>
      <c r="N467" s="19" t="n">
        <v>0</v>
      </c>
      <c r="O467" s="19" t="n">
        <v>0.00138888888888889</v>
      </c>
      <c r="P467" s="17" t="n">
        <f aca="false">IF(AND(ISNUMBER(H467),ISNUMBER(I467)),MAX(0,ROUND((I467-H467)*1440,0)-'Bilan agents'!$C$4),0)</f>
        <v>0</v>
      </c>
      <c r="Q467" s="8" t="str">
        <f aca="false">IF(H467="Congé","CP",IF(H467="Férié","F",IF(H467="OFF","R",IF(N467&gt;0,"A",IF(ISNUMBER(I467),"P","NR")))))</f>
        <v>P</v>
      </c>
      <c r="R467" s="18"/>
    </row>
    <row r="468" customFormat="false" ht="15" hidden="false" customHeight="false" outlineLevel="0" collapsed="false">
      <c r="A468" s="18" t="s">
        <v>28</v>
      </c>
      <c r="B468" s="8" t="s">
        <v>29</v>
      </c>
      <c r="C468" s="9" t="n">
        <v>46092</v>
      </c>
      <c r="D468" s="8" t="n">
        <v>2026</v>
      </c>
      <c r="E468" s="8" t="n">
        <v>11</v>
      </c>
      <c r="F468" s="18" t="s">
        <v>124</v>
      </c>
      <c r="G468" s="8" t="s">
        <v>118</v>
      </c>
      <c r="H468" s="19" t="n">
        <v>0.333333333333333</v>
      </c>
      <c r="I468" s="19" t="n">
        <v>0.333333333333333</v>
      </c>
      <c r="J468" s="19" t="n">
        <v>0.708333333333333</v>
      </c>
      <c r="K468" s="19" t="n">
        <v>0.708333333333333</v>
      </c>
      <c r="L468" s="19" t="n">
        <v>0.375</v>
      </c>
      <c r="M468" s="19" t="n">
        <v>0.375</v>
      </c>
      <c r="N468" s="19" t="n">
        <v>0</v>
      </c>
      <c r="O468" s="19" t="n">
        <v>0</v>
      </c>
      <c r="P468" s="17" t="n">
        <f aca="false">IF(AND(ISNUMBER(H468),ISNUMBER(I468)),MAX(0,ROUND((I468-H468)*1440,0)-'Bilan agents'!$C$4),0)</f>
        <v>0</v>
      </c>
      <c r="Q468" s="8" t="str">
        <f aca="false">IF(H468="Congé","CP",IF(H468="Férié","F",IF(H468="OFF","R",IF(N468&gt;0,"A",IF(ISNUMBER(I468),"P","NR")))))</f>
        <v>P</v>
      </c>
      <c r="R468" s="18"/>
    </row>
    <row r="469" customFormat="false" ht="15" hidden="false" customHeight="false" outlineLevel="0" collapsed="false">
      <c r="A469" s="18" t="s">
        <v>28</v>
      </c>
      <c r="B469" s="8" t="s">
        <v>29</v>
      </c>
      <c r="C469" s="9" t="n">
        <v>46093</v>
      </c>
      <c r="D469" s="8" t="n">
        <v>2026</v>
      </c>
      <c r="E469" s="8" t="n">
        <v>11</v>
      </c>
      <c r="F469" s="18" t="s">
        <v>124</v>
      </c>
      <c r="G469" s="8" t="s">
        <v>119</v>
      </c>
      <c r="H469" s="19" t="n">
        <v>0.333333333333333</v>
      </c>
      <c r="I469" s="19" t="n">
        <v>0.333333333333333</v>
      </c>
      <c r="J469" s="19" t="n">
        <v>0.708333333333333</v>
      </c>
      <c r="K469" s="19" t="n">
        <v>0.708333333333333</v>
      </c>
      <c r="L469" s="19" t="n">
        <v>0.375</v>
      </c>
      <c r="M469" s="19" t="n">
        <v>0.375</v>
      </c>
      <c r="N469" s="19" t="n">
        <v>0</v>
      </c>
      <c r="O469" s="19" t="n">
        <v>0</v>
      </c>
      <c r="P469" s="17" t="n">
        <f aca="false">IF(AND(ISNUMBER(H469),ISNUMBER(I469)),MAX(0,ROUND((I469-H469)*1440,0)-'Bilan agents'!$C$4),0)</f>
        <v>0</v>
      </c>
      <c r="Q469" s="8" t="str">
        <f aca="false">IF(H469="Congé","CP",IF(H469="Férié","F",IF(H469="OFF","R",IF(N469&gt;0,"A",IF(ISNUMBER(I469),"P","NR")))))</f>
        <v>P</v>
      </c>
      <c r="R469" s="18"/>
    </row>
    <row r="470" customFormat="false" ht="15" hidden="false" customHeight="false" outlineLevel="0" collapsed="false">
      <c r="A470" s="18" t="s">
        <v>28</v>
      </c>
      <c r="B470" s="8" t="s">
        <v>29</v>
      </c>
      <c r="C470" s="9" t="n">
        <v>46094</v>
      </c>
      <c r="D470" s="8" t="n">
        <v>2026</v>
      </c>
      <c r="E470" s="8" t="n">
        <v>11</v>
      </c>
      <c r="F470" s="18" t="s">
        <v>124</v>
      </c>
      <c r="G470" s="8" t="s">
        <v>120</v>
      </c>
      <c r="H470" s="19" t="n">
        <v>0.333333333333333</v>
      </c>
      <c r="I470" s="19" t="n">
        <v>0.333333333333333</v>
      </c>
      <c r="J470" s="19" t="n">
        <v>0.666666666666667</v>
      </c>
      <c r="K470" s="19" t="n">
        <v>0.666666666666667</v>
      </c>
      <c r="L470" s="19" t="n">
        <v>0.333333333333333</v>
      </c>
      <c r="M470" s="19" t="n">
        <v>0.333333333333333</v>
      </c>
      <c r="N470" s="19" t="n">
        <v>0</v>
      </c>
      <c r="O470" s="19" t="n">
        <v>0</v>
      </c>
      <c r="P470" s="17" t="n">
        <f aca="false">IF(AND(ISNUMBER(H470),ISNUMBER(I470)),MAX(0,ROUND((I470-H470)*1440,0)-'Bilan agents'!$C$4),0)</f>
        <v>0</v>
      </c>
      <c r="Q470" s="8" t="str">
        <f aca="false">IF(H470="Congé","CP",IF(H470="Férié","F",IF(H470="OFF","R",IF(N470&gt;0,"A",IF(ISNUMBER(I470),"P","NR")))))</f>
        <v>P</v>
      </c>
      <c r="R470" s="18"/>
    </row>
    <row r="471" customFormat="false" ht="15" hidden="false" customHeight="false" outlineLevel="0" collapsed="false">
      <c r="A471" s="18" t="s">
        <v>28</v>
      </c>
      <c r="B471" s="8" t="s">
        <v>29</v>
      </c>
      <c r="C471" s="9" t="n">
        <v>46095</v>
      </c>
      <c r="D471" s="8" t="n">
        <v>2026</v>
      </c>
      <c r="E471" s="8" t="n">
        <v>11</v>
      </c>
      <c r="F471" s="18" t="s">
        <v>124</v>
      </c>
      <c r="G471" s="8" t="s">
        <v>121</v>
      </c>
      <c r="H471" s="19" t="s">
        <v>115</v>
      </c>
      <c r="I471" s="19"/>
      <c r="J471" s="19"/>
      <c r="K471" s="19"/>
      <c r="L471" s="19" t="n">
        <v>0</v>
      </c>
      <c r="M471" s="19"/>
      <c r="N471" s="19" t="n">
        <v>0</v>
      </c>
      <c r="O471" s="19" t="n">
        <v>0</v>
      </c>
      <c r="P471" s="17" t="n">
        <f aca="false">IF(AND(ISNUMBER(H471),ISNUMBER(I471)),MAX(0,ROUND((I471-H471)*1440,0)-'Bilan agents'!$C$4),0)</f>
        <v>0</v>
      </c>
      <c r="Q471" s="8" t="str">
        <f aca="false">IF(H471="Congé","CP",IF(H471="Férié","F",IF(H471="OFF","R",IF(N471&gt;0,"A",IF(ISNUMBER(I471),"P","NR")))))</f>
        <v>R</v>
      </c>
      <c r="R471" s="18"/>
    </row>
    <row r="472" customFormat="false" ht="15" hidden="false" customHeight="false" outlineLevel="0" collapsed="false">
      <c r="A472" s="18" t="s">
        <v>28</v>
      </c>
      <c r="B472" s="8" t="s">
        <v>29</v>
      </c>
      <c r="C472" s="9" t="n">
        <v>46096</v>
      </c>
      <c r="D472" s="8" t="n">
        <v>2026</v>
      </c>
      <c r="E472" s="8" t="n">
        <v>11</v>
      </c>
      <c r="F472" s="18" t="s">
        <v>124</v>
      </c>
      <c r="G472" s="8" t="s">
        <v>114</v>
      </c>
      <c r="H472" s="19" t="s">
        <v>115</v>
      </c>
      <c r="I472" s="19"/>
      <c r="J472" s="19"/>
      <c r="K472" s="19"/>
      <c r="L472" s="19" t="n">
        <v>0</v>
      </c>
      <c r="M472" s="19"/>
      <c r="N472" s="19" t="n">
        <v>0</v>
      </c>
      <c r="O472" s="19" t="n">
        <v>0</v>
      </c>
      <c r="P472" s="17" t="n">
        <f aca="false">IF(AND(ISNUMBER(H472),ISNUMBER(I472)),MAX(0,ROUND((I472-H472)*1440,0)-'Bilan agents'!$C$4),0)</f>
        <v>0</v>
      </c>
      <c r="Q472" s="8" t="str">
        <f aca="false">IF(H472="Congé","CP",IF(H472="Férié","F",IF(H472="OFF","R",IF(N472&gt;0,"A",IF(ISNUMBER(I472),"P","NR")))))</f>
        <v>R</v>
      </c>
      <c r="R472" s="18"/>
    </row>
    <row r="473" customFormat="false" ht="15" hidden="false" customHeight="false" outlineLevel="0" collapsed="false">
      <c r="A473" s="18" t="s">
        <v>28</v>
      </c>
      <c r="B473" s="8" t="s">
        <v>29</v>
      </c>
      <c r="C473" s="9" t="n">
        <v>46102</v>
      </c>
      <c r="D473" s="8" t="n">
        <v>2026</v>
      </c>
      <c r="E473" s="8" t="n">
        <v>12</v>
      </c>
      <c r="F473" s="18" t="s">
        <v>124</v>
      </c>
      <c r="G473" s="8" t="s">
        <v>121</v>
      </c>
      <c r="H473" s="19" t="s">
        <v>115</v>
      </c>
      <c r="I473" s="19"/>
      <c r="J473" s="19"/>
      <c r="K473" s="19"/>
      <c r="L473" s="19" t="n">
        <v>0</v>
      </c>
      <c r="M473" s="19"/>
      <c r="N473" s="19" t="n">
        <v>0</v>
      </c>
      <c r="O473" s="19" t="n">
        <v>0</v>
      </c>
      <c r="P473" s="17" t="n">
        <f aca="false">IF(AND(ISNUMBER(H473),ISNUMBER(I473)),MAX(0,ROUND((I473-H473)*1440,0)-'Bilan agents'!$C$4),0)</f>
        <v>0</v>
      </c>
      <c r="Q473" s="8" t="str">
        <f aca="false">IF(H473="Congé","CP",IF(H473="Férié","F",IF(H473="OFF","R",IF(N473&gt;0,"A",IF(ISNUMBER(I473),"P","NR")))))</f>
        <v>R</v>
      </c>
      <c r="R473" s="18"/>
    </row>
    <row r="474" customFormat="false" ht="15" hidden="false" customHeight="false" outlineLevel="0" collapsed="false">
      <c r="A474" s="18" t="s">
        <v>28</v>
      </c>
      <c r="B474" s="8" t="s">
        <v>29</v>
      </c>
      <c r="C474" s="9" t="n">
        <v>46103</v>
      </c>
      <c r="D474" s="8" t="n">
        <v>2026</v>
      </c>
      <c r="E474" s="8" t="n">
        <v>12</v>
      </c>
      <c r="F474" s="18" t="s">
        <v>124</v>
      </c>
      <c r="G474" s="8" t="s">
        <v>114</v>
      </c>
      <c r="H474" s="19" t="s">
        <v>115</v>
      </c>
      <c r="I474" s="19"/>
      <c r="J474" s="19"/>
      <c r="K474" s="19"/>
      <c r="L474" s="19" t="n">
        <v>0</v>
      </c>
      <c r="M474" s="19"/>
      <c r="N474" s="19" t="n">
        <v>0</v>
      </c>
      <c r="O474" s="19" t="n">
        <v>0</v>
      </c>
      <c r="P474" s="17" t="n">
        <f aca="false">IF(AND(ISNUMBER(H474),ISNUMBER(I474)),MAX(0,ROUND((I474-H474)*1440,0)-'Bilan agents'!$C$4),0)</f>
        <v>0</v>
      </c>
      <c r="Q474" s="8" t="str">
        <f aca="false">IF(H474="Congé","CP",IF(H474="Férié","F",IF(H474="OFF","R",IF(N474&gt;0,"A",IF(ISNUMBER(I474),"P","NR")))))</f>
        <v>R</v>
      </c>
      <c r="R474" s="18"/>
    </row>
    <row r="475" customFormat="false" ht="15" hidden="false" customHeight="false" outlineLevel="0" collapsed="false">
      <c r="A475" s="18" t="s">
        <v>28</v>
      </c>
      <c r="B475" s="8" t="s">
        <v>29</v>
      </c>
      <c r="C475" s="9" t="n">
        <v>46104</v>
      </c>
      <c r="D475" s="8" t="n">
        <v>2026</v>
      </c>
      <c r="E475" s="8" t="n">
        <v>13</v>
      </c>
      <c r="F475" s="18" t="s">
        <v>124</v>
      </c>
      <c r="G475" s="8" t="s">
        <v>116</v>
      </c>
      <c r="H475" s="19" t="n">
        <v>0.333333333333333</v>
      </c>
      <c r="I475" s="19" t="n">
        <v>0.333333333333333</v>
      </c>
      <c r="J475" s="19" t="n">
        <v>0.75</v>
      </c>
      <c r="K475" s="19" t="n">
        <v>0.75</v>
      </c>
      <c r="L475" s="19" t="n">
        <v>0.375</v>
      </c>
      <c r="M475" s="19" t="n">
        <v>0.375</v>
      </c>
      <c r="N475" s="19" t="n">
        <v>0</v>
      </c>
      <c r="O475" s="19" t="n">
        <v>0</v>
      </c>
      <c r="P475" s="17" t="n">
        <f aca="false">IF(AND(ISNUMBER(H475),ISNUMBER(I475)),MAX(0,ROUND((I475-H475)*1440,0)-'Bilan agents'!$C$4),0)</f>
        <v>0</v>
      </c>
      <c r="Q475" s="8" t="str">
        <f aca="false">IF(H475="Congé","CP",IF(H475="Férié","F",IF(H475="OFF","R",IF(N475&gt;0,"A",IF(ISNUMBER(I475),"P","NR")))))</f>
        <v>P</v>
      </c>
      <c r="R475" s="18"/>
    </row>
    <row r="476" customFormat="false" ht="15" hidden="false" customHeight="false" outlineLevel="0" collapsed="false">
      <c r="A476" s="18" t="s">
        <v>28</v>
      </c>
      <c r="B476" s="8" t="s">
        <v>29</v>
      </c>
      <c r="C476" s="9" t="n">
        <v>46105</v>
      </c>
      <c r="D476" s="8" t="n">
        <v>2026</v>
      </c>
      <c r="E476" s="8" t="n">
        <v>13</v>
      </c>
      <c r="F476" s="18" t="s">
        <v>124</v>
      </c>
      <c r="G476" s="8" t="s">
        <v>117</v>
      </c>
      <c r="H476" s="19" t="n">
        <v>0.333333333333333</v>
      </c>
      <c r="I476" s="19" t="n">
        <v>0.33125</v>
      </c>
      <c r="J476" s="19" t="n">
        <v>0.75</v>
      </c>
      <c r="K476" s="19" t="n">
        <v>0.75</v>
      </c>
      <c r="L476" s="19" t="n">
        <v>0.375</v>
      </c>
      <c r="M476" s="19" t="n">
        <v>0.375</v>
      </c>
      <c r="N476" s="19" t="n">
        <v>0</v>
      </c>
      <c r="O476" s="19" t="n">
        <v>0.00208333333333333</v>
      </c>
      <c r="P476" s="17" t="n">
        <f aca="false">IF(AND(ISNUMBER(H476),ISNUMBER(I476)),MAX(0,ROUND((I476-H476)*1440,0)-'Bilan agents'!$C$4),0)</f>
        <v>0</v>
      </c>
      <c r="Q476" s="8" t="str">
        <f aca="false">IF(H476="Congé","CP",IF(H476="Férié","F",IF(H476="OFF","R",IF(N476&gt;0,"A",IF(ISNUMBER(I476),"P","NR")))))</f>
        <v>P</v>
      </c>
      <c r="R476" s="18"/>
    </row>
    <row r="477" customFormat="false" ht="15" hidden="false" customHeight="false" outlineLevel="0" collapsed="false">
      <c r="A477" s="18" t="s">
        <v>28</v>
      </c>
      <c r="B477" s="8" t="s">
        <v>29</v>
      </c>
      <c r="C477" s="9" t="n">
        <v>46106</v>
      </c>
      <c r="D477" s="8" t="n">
        <v>2026</v>
      </c>
      <c r="E477" s="8" t="n">
        <v>13</v>
      </c>
      <c r="F477" s="18" t="s">
        <v>124</v>
      </c>
      <c r="G477" s="8" t="s">
        <v>118</v>
      </c>
      <c r="H477" s="19" t="n">
        <v>0.333333333333333</v>
      </c>
      <c r="I477" s="19" t="n">
        <v>0.332638888888889</v>
      </c>
      <c r="J477" s="19" t="n">
        <v>0.75</v>
      </c>
      <c r="K477" s="19" t="n">
        <v>0.75</v>
      </c>
      <c r="L477" s="19" t="n">
        <v>0.375</v>
      </c>
      <c r="M477" s="19" t="n">
        <v>0.375</v>
      </c>
      <c r="N477" s="19" t="n">
        <v>0</v>
      </c>
      <c r="O477" s="19" t="n">
        <v>0</v>
      </c>
      <c r="P477" s="17" t="n">
        <f aca="false">IF(AND(ISNUMBER(H477),ISNUMBER(I477)),MAX(0,ROUND((I477-H477)*1440,0)-'Bilan agents'!$C$4),0)</f>
        <v>0</v>
      </c>
      <c r="Q477" s="8" t="str">
        <f aca="false">IF(H477="Congé","CP",IF(H477="Férié","F",IF(H477="OFF","R",IF(N477&gt;0,"A",IF(ISNUMBER(I477),"P","NR")))))</f>
        <v>P</v>
      </c>
      <c r="R477" s="18"/>
    </row>
    <row r="478" customFormat="false" ht="15" hidden="false" customHeight="false" outlineLevel="0" collapsed="false">
      <c r="A478" s="18" t="s">
        <v>28</v>
      </c>
      <c r="B478" s="8" t="s">
        <v>29</v>
      </c>
      <c r="C478" s="9" t="n">
        <v>46107</v>
      </c>
      <c r="D478" s="8" t="n">
        <v>2026</v>
      </c>
      <c r="E478" s="8" t="n">
        <v>13</v>
      </c>
      <c r="F478" s="18" t="s">
        <v>124</v>
      </c>
      <c r="G478" s="8" t="s">
        <v>119</v>
      </c>
      <c r="H478" s="19" t="n">
        <v>0.333333333333333</v>
      </c>
      <c r="I478" s="19" t="n">
        <v>0.333333333333333</v>
      </c>
      <c r="J478" s="19" t="n">
        <v>0.75</v>
      </c>
      <c r="K478" s="19" t="n">
        <v>0.75</v>
      </c>
      <c r="L478" s="19" t="n">
        <v>0.375</v>
      </c>
      <c r="M478" s="19" t="n">
        <v>0.375</v>
      </c>
      <c r="N478" s="19" t="n">
        <v>0</v>
      </c>
      <c r="O478" s="19" t="n">
        <v>0</v>
      </c>
      <c r="P478" s="17" t="n">
        <f aca="false">IF(AND(ISNUMBER(H478),ISNUMBER(I478)),MAX(0,ROUND((I478-H478)*1440,0)-'Bilan agents'!$C$4),0)</f>
        <v>0</v>
      </c>
      <c r="Q478" s="8" t="str">
        <f aca="false">IF(H478="Congé","CP",IF(H478="Férié","F",IF(H478="OFF","R",IF(N478&gt;0,"A",IF(ISNUMBER(I478),"P","NR")))))</f>
        <v>P</v>
      </c>
      <c r="R478" s="18"/>
    </row>
    <row r="479" customFormat="false" ht="15" hidden="false" customHeight="false" outlineLevel="0" collapsed="false">
      <c r="A479" s="18" t="s">
        <v>28</v>
      </c>
      <c r="B479" s="8" t="s">
        <v>29</v>
      </c>
      <c r="C479" s="9" t="n">
        <v>46108</v>
      </c>
      <c r="D479" s="8" t="n">
        <v>2026</v>
      </c>
      <c r="E479" s="8" t="n">
        <v>13</v>
      </c>
      <c r="F479" s="18" t="s">
        <v>124</v>
      </c>
      <c r="G479" s="8" t="s">
        <v>120</v>
      </c>
      <c r="H479" s="19" t="n">
        <v>0.333333333333333</v>
      </c>
      <c r="I479" s="19" t="n">
        <v>0.333333333333333</v>
      </c>
      <c r="J479" s="19" t="n">
        <v>0.708333333333333</v>
      </c>
      <c r="K479" s="19" t="n">
        <v>0.708333333333333</v>
      </c>
      <c r="L479" s="19" t="n">
        <v>0.333333333333333</v>
      </c>
      <c r="M479" s="19" t="n">
        <v>0.333333333333333</v>
      </c>
      <c r="N479" s="19" t="n">
        <v>0</v>
      </c>
      <c r="O479" s="19" t="n">
        <v>0</v>
      </c>
      <c r="P479" s="17" t="n">
        <f aca="false">IF(AND(ISNUMBER(H479),ISNUMBER(I479)),MAX(0,ROUND((I479-H479)*1440,0)-'Bilan agents'!$C$4),0)</f>
        <v>0</v>
      </c>
      <c r="Q479" s="8" t="str">
        <f aca="false">IF(H479="Congé","CP",IF(H479="Férié","F",IF(H479="OFF","R",IF(N479&gt;0,"A",IF(ISNUMBER(I479),"P","NR")))))</f>
        <v>P</v>
      </c>
      <c r="R479" s="18"/>
    </row>
    <row r="480" customFormat="false" ht="15" hidden="false" customHeight="false" outlineLevel="0" collapsed="false">
      <c r="A480" s="18" t="s">
        <v>28</v>
      </c>
      <c r="B480" s="8" t="s">
        <v>29</v>
      </c>
      <c r="C480" s="9" t="n">
        <v>46109</v>
      </c>
      <c r="D480" s="8" t="n">
        <v>2026</v>
      </c>
      <c r="E480" s="8" t="n">
        <v>13</v>
      </c>
      <c r="F480" s="18" t="s">
        <v>124</v>
      </c>
      <c r="G480" s="8" t="s">
        <v>121</v>
      </c>
      <c r="H480" s="19" t="s">
        <v>115</v>
      </c>
      <c r="I480" s="19"/>
      <c r="J480" s="19"/>
      <c r="K480" s="19"/>
      <c r="L480" s="19" t="n">
        <v>0</v>
      </c>
      <c r="M480" s="19"/>
      <c r="N480" s="19" t="n">
        <v>0</v>
      </c>
      <c r="O480" s="19" t="n">
        <v>0</v>
      </c>
      <c r="P480" s="17" t="n">
        <f aca="false">IF(AND(ISNUMBER(H480),ISNUMBER(I480)),MAX(0,ROUND((I480-H480)*1440,0)-'Bilan agents'!$C$4),0)</f>
        <v>0</v>
      </c>
      <c r="Q480" s="8" t="str">
        <f aca="false">IF(H480="Congé","CP",IF(H480="Férié","F",IF(H480="OFF","R",IF(N480&gt;0,"A",IF(ISNUMBER(I480),"P","NR")))))</f>
        <v>R</v>
      </c>
      <c r="R480" s="18"/>
    </row>
    <row r="481" customFormat="false" ht="15" hidden="false" customHeight="false" outlineLevel="0" collapsed="false">
      <c r="A481" s="18" t="s">
        <v>28</v>
      </c>
      <c r="B481" s="8" t="s">
        <v>29</v>
      </c>
      <c r="C481" s="9" t="n">
        <v>46110</v>
      </c>
      <c r="D481" s="8" t="n">
        <v>2026</v>
      </c>
      <c r="E481" s="8" t="n">
        <v>13</v>
      </c>
      <c r="F481" s="18" t="s">
        <v>124</v>
      </c>
      <c r="G481" s="8" t="s">
        <v>114</v>
      </c>
      <c r="H481" s="19" t="s">
        <v>115</v>
      </c>
      <c r="I481" s="19"/>
      <c r="J481" s="19"/>
      <c r="K481" s="19"/>
      <c r="L481" s="19" t="n">
        <v>0</v>
      </c>
      <c r="M481" s="19"/>
      <c r="N481" s="19" t="n">
        <v>0</v>
      </c>
      <c r="O481" s="19" t="n">
        <v>0</v>
      </c>
      <c r="P481" s="17" t="n">
        <f aca="false">IF(AND(ISNUMBER(H481),ISNUMBER(I481)),MAX(0,ROUND((I481-H481)*1440,0)-'Bilan agents'!$C$4),0)</f>
        <v>0</v>
      </c>
      <c r="Q481" s="8" t="str">
        <f aca="false">IF(H481="Congé","CP",IF(H481="Férié","F",IF(H481="OFF","R",IF(N481&gt;0,"A",IF(ISNUMBER(I481),"P","NR")))))</f>
        <v>R</v>
      </c>
      <c r="R481" s="18"/>
    </row>
    <row r="482" customFormat="false" ht="15" hidden="false" customHeight="false" outlineLevel="0" collapsed="false">
      <c r="A482" s="18" t="s">
        <v>28</v>
      </c>
      <c r="B482" s="8" t="s">
        <v>29</v>
      </c>
      <c r="C482" s="9" t="n">
        <v>46111</v>
      </c>
      <c r="D482" s="8" t="n">
        <v>2026</v>
      </c>
      <c r="E482" s="8" t="n">
        <v>14</v>
      </c>
      <c r="F482" s="18" t="s">
        <v>124</v>
      </c>
      <c r="G482" s="8" t="s">
        <v>116</v>
      </c>
      <c r="H482" s="19" t="n">
        <v>0.333333333333333</v>
      </c>
      <c r="I482" s="19" t="n">
        <v>0.332638888888889</v>
      </c>
      <c r="J482" s="19" t="n">
        <v>0.75</v>
      </c>
      <c r="K482" s="19" t="n">
        <v>0.75</v>
      </c>
      <c r="L482" s="19" t="n">
        <v>0.375</v>
      </c>
      <c r="M482" s="19" t="n">
        <v>0.375</v>
      </c>
      <c r="N482" s="19" t="n">
        <v>0</v>
      </c>
      <c r="O482" s="19" t="n">
        <v>0</v>
      </c>
      <c r="P482" s="17" t="n">
        <f aca="false">IF(AND(ISNUMBER(H482),ISNUMBER(I482)),MAX(0,ROUND((I482-H482)*1440,0)-'Bilan agents'!$C$4),0)</f>
        <v>0</v>
      </c>
      <c r="Q482" s="8" t="str">
        <f aca="false">IF(H482="Congé","CP",IF(H482="Férié","F",IF(H482="OFF","R",IF(N482&gt;0,"A",IF(ISNUMBER(I482),"P","NR")))))</f>
        <v>P</v>
      </c>
      <c r="R482" s="18"/>
    </row>
    <row r="483" customFormat="false" ht="15" hidden="false" customHeight="false" outlineLevel="0" collapsed="false">
      <c r="A483" s="18" t="s">
        <v>28</v>
      </c>
      <c r="B483" s="8" t="s">
        <v>29</v>
      </c>
      <c r="C483" s="9" t="n">
        <v>46112</v>
      </c>
      <c r="D483" s="8" t="n">
        <v>2026</v>
      </c>
      <c r="E483" s="8" t="n">
        <v>14</v>
      </c>
      <c r="F483" s="18" t="s">
        <v>124</v>
      </c>
      <c r="G483" s="8" t="s">
        <v>117</v>
      </c>
      <c r="H483" s="19" t="n">
        <v>0.333333333333333</v>
      </c>
      <c r="I483" s="19" t="n">
        <v>0.33125</v>
      </c>
      <c r="J483" s="19" t="n">
        <v>0.75</v>
      </c>
      <c r="K483" s="19" t="n">
        <v>0.75</v>
      </c>
      <c r="L483" s="19" t="n">
        <v>0.375</v>
      </c>
      <c r="M483" s="19" t="n">
        <v>0.375</v>
      </c>
      <c r="N483" s="19" t="n">
        <v>0</v>
      </c>
      <c r="O483" s="19" t="n">
        <v>0.00208333333333333</v>
      </c>
      <c r="P483" s="17" t="n">
        <f aca="false">IF(AND(ISNUMBER(H483),ISNUMBER(I483)),MAX(0,ROUND((I483-H483)*1440,0)-'Bilan agents'!$C$4),0)</f>
        <v>0</v>
      </c>
      <c r="Q483" s="8" t="str">
        <f aca="false">IF(H483="Congé","CP",IF(H483="Férié","F",IF(H483="OFF","R",IF(N483&gt;0,"A",IF(ISNUMBER(I483),"P","NR")))))</f>
        <v>P</v>
      </c>
      <c r="R483" s="18"/>
    </row>
    <row r="484" customFormat="false" ht="15" hidden="false" customHeight="false" outlineLevel="0" collapsed="false">
      <c r="A484" s="18" t="s">
        <v>28</v>
      </c>
      <c r="B484" s="8" t="s">
        <v>29</v>
      </c>
      <c r="C484" s="9" t="n">
        <v>46113</v>
      </c>
      <c r="D484" s="8" t="n">
        <v>2026</v>
      </c>
      <c r="E484" s="8" t="n">
        <v>14</v>
      </c>
      <c r="F484" s="18" t="s">
        <v>125</v>
      </c>
      <c r="G484" s="8" t="s">
        <v>118</v>
      </c>
      <c r="H484" s="19" t="n">
        <v>0.333333333333333</v>
      </c>
      <c r="I484" s="19" t="n">
        <v>0.33125</v>
      </c>
      <c r="J484" s="19" t="n">
        <v>0.75</v>
      </c>
      <c r="K484" s="19" t="n">
        <v>0.75</v>
      </c>
      <c r="L484" s="19" t="n">
        <v>0.375</v>
      </c>
      <c r="M484" s="19" t="n">
        <v>0.375</v>
      </c>
      <c r="N484" s="19" t="n">
        <v>0</v>
      </c>
      <c r="O484" s="19" t="n">
        <v>0.00208333333333333</v>
      </c>
      <c r="P484" s="17" t="n">
        <f aca="false">IF(AND(ISNUMBER(H484),ISNUMBER(I484)),MAX(0,ROUND((I484-H484)*1440,0)-'Bilan agents'!$C$4),0)</f>
        <v>0</v>
      </c>
      <c r="Q484" s="8" t="str">
        <f aca="false">IF(H484="Congé","CP",IF(H484="Férié","F",IF(H484="OFF","R",IF(N484&gt;0,"A",IF(ISNUMBER(I484),"P","NR")))))</f>
        <v>P</v>
      </c>
      <c r="R484" s="18"/>
    </row>
    <row r="485" customFormat="false" ht="15" hidden="false" customHeight="false" outlineLevel="0" collapsed="false">
      <c r="A485" s="18" t="s">
        <v>28</v>
      </c>
      <c r="B485" s="8" t="s">
        <v>29</v>
      </c>
      <c r="C485" s="9" t="n">
        <v>46114</v>
      </c>
      <c r="D485" s="8" t="n">
        <v>2026</v>
      </c>
      <c r="E485" s="8" t="n">
        <v>14</v>
      </c>
      <c r="F485" s="18" t="s">
        <v>125</v>
      </c>
      <c r="G485" s="8" t="s">
        <v>119</v>
      </c>
      <c r="H485" s="19" t="n">
        <v>0.333333333333333</v>
      </c>
      <c r="I485" s="19" t="n">
        <v>0.333333333333333</v>
      </c>
      <c r="J485" s="19" t="n">
        <v>0.75</v>
      </c>
      <c r="K485" s="19" t="n">
        <v>0.75</v>
      </c>
      <c r="L485" s="19" t="n">
        <v>0.375</v>
      </c>
      <c r="M485" s="19" t="n">
        <v>0.375</v>
      </c>
      <c r="N485" s="19" t="n">
        <v>0</v>
      </c>
      <c r="O485" s="19" t="n">
        <v>0</v>
      </c>
      <c r="P485" s="17" t="n">
        <f aca="false">IF(AND(ISNUMBER(H485),ISNUMBER(I485)),MAX(0,ROUND((I485-H485)*1440,0)-'Bilan agents'!$C$4),0)</f>
        <v>0</v>
      </c>
      <c r="Q485" s="8" t="str">
        <f aca="false">IF(H485="Congé","CP",IF(H485="Férié","F",IF(H485="OFF","R",IF(N485&gt;0,"A",IF(ISNUMBER(I485),"P","NR")))))</f>
        <v>P</v>
      </c>
      <c r="R485" s="18"/>
    </row>
    <row r="486" customFormat="false" ht="15" hidden="false" customHeight="false" outlineLevel="0" collapsed="false">
      <c r="A486" s="18" t="s">
        <v>28</v>
      </c>
      <c r="B486" s="8" t="s">
        <v>29</v>
      </c>
      <c r="C486" s="9" t="n">
        <v>46115</v>
      </c>
      <c r="D486" s="8" t="n">
        <v>2026</v>
      </c>
      <c r="E486" s="8" t="n">
        <v>14</v>
      </c>
      <c r="F486" s="18" t="s">
        <v>125</v>
      </c>
      <c r="G486" s="8" t="s">
        <v>120</v>
      </c>
      <c r="H486" s="19" t="n">
        <v>0.333333333333333</v>
      </c>
      <c r="I486" s="19" t="n">
        <v>0.333333333333333</v>
      </c>
      <c r="J486" s="19" t="n">
        <v>0.708333333333333</v>
      </c>
      <c r="K486" s="19" t="n">
        <v>0.708333333333333</v>
      </c>
      <c r="L486" s="19" t="n">
        <v>0.333333333333333</v>
      </c>
      <c r="M486" s="19" t="n">
        <v>0.333333333333333</v>
      </c>
      <c r="N486" s="19" t="n">
        <v>0</v>
      </c>
      <c r="O486" s="19" t="n">
        <v>0</v>
      </c>
      <c r="P486" s="17" t="n">
        <f aca="false">IF(AND(ISNUMBER(H486),ISNUMBER(I486)),MAX(0,ROUND((I486-H486)*1440,0)-'Bilan agents'!$C$4),0)</f>
        <v>0</v>
      </c>
      <c r="Q486" s="8" t="str">
        <f aca="false">IF(H486="Congé","CP",IF(H486="Férié","F",IF(H486="OFF","R",IF(N486&gt;0,"A",IF(ISNUMBER(I486),"P","NR")))))</f>
        <v>P</v>
      </c>
      <c r="R486" s="18"/>
    </row>
    <row r="487" customFormat="false" ht="15" hidden="false" customHeight="false" outlineLevel="0" collapsed="false">
      <c r="A487" s="18" t="s">
        <v>28</v>
      </c>
      <c r="B487" s="8" t="s">
        <v>29</v>
      </c>
      <c r="C487" s="9" t="n">
        <v>46116</v>
      </c>
      <c r="D487" s="8" t="n">
        <v>2026</v>
      </c>
      <c r="E487" s="8" t="n">
        <v>14</v>
      </c>
      <c r="F487" s="18" t="s">
        <v>125</v>
      </c>
      <c r="G487" s="8" t="s">
        <v>121</v>
      </c>
      <c r="H487" s="19" t="s">
        <v>115</v>
      </c>
      <c r="I487" s="19"/>
      <c r="J487" s="19"/>
      <c r="K487" s="19"/>
      <c r="L487" s="19" t="n">
        <v>0</v>
      </c>
      <c r="M487" s="19"/>
      <c r="N487" s="19" t="n">
        <v>0</v>
      </c>
      <c r="O487" s="19" t="n">
        <v>0</v>
      </c>
      <c r="P487" s="17" t="n">
        <f aca="false">IF(AND(ISNUMBER(H487),ISNUMBER(I487)),MAX(0,ROUND((I487-H487)*1440,0)-'Bilan agents'!$C$4),0)</f>
        <v>0</v>
      </c>
      <c r="Q487" s="8" t="str">
        <f aca="false">IF(H487="Congé","CP",IF(H487="Férié","F",IF(H487="OFF","R",IF(N487&gt;0,"A",IF(ISNUMBER(I487),"P","NR")))))</f>
        <v>R</v>
      </c>
      <c r="R487" s="18"/>
    </row>
    <row r="488" customFormat="false" ht="15" hidden="false" customHeight="false" outlineLevel="0" collapsed="false">
      <c r="A488" s="18" t="s">
        <v>28</v>
      </c>
      <c r="B488" s="8" t="s">
        <v>29</v>
      </c>
      <c r="C488" s="9" t="n">
        <v>46117</v>
      </c>
      <c r="D488" s="8" t="n">
        <v>2026</v>
      </c>
      <c r="E488" s="8" t="n">
        <v>14</v>
      </c>
      <c r="F488" s="18" t="s">
        <v>125</v>
      </c>
      <c r="G488" s="8" t="s">
        <v>114</v>
      </c>
      <c r="H488" s="19" t="s">
        <v>115</v>
      </c>
      <c r="I488" s="19"/>
      <c r="J488" s="19"/>
      <c r="K488" s="19"/>
      <c r="L488" s="19" t="n">
        <v>0</v>
      </c>
      <c r="M488" s="19"/>
      <c r="N488" s="19" t="n">
        <v>0</v>
      </c>
      <c r="O488" s="19" t="n">
        <v>0</v>
      </c>
      <c r="P488" s="17" t="n">
        <f aca="false">IF(AND(ISNUMBER(H488),ISNUMBER(I488)),MAX(0,ROUND((I488-H488)*1440,0)-'Bilan agents'!$C$4),0)</f>
        <v>0</v>
      </c>
      <c r="Q488" s="8" t="str">
        <f aca="false">IF(H488="Congé","CP",IF(H488="Férié","F",IF(H488="OFF","R",IF(N488&gt;0,"A",IF(ISNUMBER(I488),"P","NR")))))</f>
        <v>R</v>
      </c>
      <c r="R488" s="18"/>
    </row>
    <row r="489" customFormat="false" ht="15" hidden="false" customHeight="false" outlineLevel="0" collapsed="false">
      <c r="A489" s="18" t="s">
        <v>28</v>
      </c>
      <c r="B489" s="8" t="s">
        <v>29</v>
      </c>
      <c r="C489" s="9" t="n">
        <v>46118</v>
      </c>
      <c r="D489" s="8" t="n">
        <v>2026</v>
      </c>
      <c r="E489" s="8" t="n">
        <v>15</v>
      </c>
      <c r="F489" s="18" t="s">
        <v>125</v>
      </c>
      <c r="G489" s="8" t="s">
        <v>116</v>
      </c>
      <c r="H489" s="19" t="s">
        <v>115</v>
      </c>
      <c r="I489" s="19"/>
      <c r="J489" s="19"/>
      <c r="K489" s="19"/>
      <c r="L489" s="19" t="n">
        <v>0</v>
      </c>
      <c r="M489" s="19"/>
      <c r="N489" s="19" t="n">
        <v>0</v>
      </c>
      <c r="O489" s="19" t="n">
        <v>0</v>
      </c>
      <c r="P489" s="17" t="n">
        <f aca="false">IF(AND(ISNUMBER(H489),ISNUMBER(I489)),MAX(0,ROUND((I489-H489)*1440,0)-'Bilan agents'!$C$4),0)</f>
        <v>0</v>
      </c>
      <c r="Q489" s="8" t="str">
        <f aca="false">IF(H489="Congé","CP",IF(H489="Férié","F",IF(H489="OFF","R",IF(N489&gt;0,"A",IF(ISNUMBER(I489),"P","NR")))))</f>
        <v>R</v>
      </c>
      <c r="R489" s="18"/>
    </row>
    <row r="490" customFormat="false" ht="15" hidden="false" customHeight="false" outlineLevel="0" collapsed="false">
      <c r="A490" s="18" t="s">
        <v>28</v>
      </c>
      <c r="B490" s="8" t="s">
        <v>29</v>
      </c>
      <c r="C490" s="9" t="n">
        <v>46119</v>
      </c>
      <c r="D490" s="8" t="n">
        <v>2026</v>
      </c>
      <c r="E490" s="8" t="n">
        <v>15</v>
      </c>
      <c r="F490" s="18" t="s">
        <v>125</v>
      </c>
      <c r="G490" s="8" t="s">
        <v>117</v>
      </c>
      <c r="H490" s="19" t="n">
        <v>0.333333333333333</v>
      </c>
      <c r="I490" s="19"/>
      <c r="J490" s="19" t="n">
        <v>0.75</v>
      </c>
      <c r="K490" s="19"/>
      <c r="L490" s="19" t="n">
        <v>0.375</v>
      </c>
      <c r="M490" s="19"/>
      <c r="N490" s="19" t="n">
        <v>0.375</v>
      </c>
      <c r="O490" s="19" t="n">
        <v>0</v>
      </c>
      <c r="P490" s="17" t="n">
        <f aca="false">IF(AND(ISNUMBER(H490),ISNUMBER(I490)),MAX(0,ROUND((I490-H490)*1440,0)-'Bilan agents'!$C$4),0)</f>
        <v>0</v>
      </c>
      <c r="Q490" s="8" t="str">
        <f aca="false">IF(H490="Congé","CP",IF(H490="Férié","F",IF(H490="OFF","R",IF(N490&gt;0,"A",IF(ISNUMBER(I490),"P","NR")))))</f>
        <v>A</v>
      </c>
      <c r="R490" s="18"/>
    </row>
    <row r="491" customFormat="false" ht="15" hidden="false" customHeight="false" outlineLevel="0" collapsed="false">
      <c r="A491" s="18" t="s">
        <v>28</v>
      </c>
      <c r="B491" s="8" t="s">
        <v>29</v>
      </c>
      <c r="C491" s="9" t="n">
        <v>46120</v>
      </c>
      <c r="D491" s="8" t="n">
        <v>2026</v>
      </c>
      <c r="E491" s="8" t="n">
        <v>15</v>
      </c>
      <c r="F491" s="18" t="s">
        <v>125</v>
      </c>
      <c r="G491" s="8" t="s">
        <v>118</v>
      </c>
      <c r="H491" s="19" t="n">
        <v>0.333333333333333</v>
      </c>
      <c r="I491" s="19"/>
      <c r="J491" s="19" t="n">
        <v>0.75</v>
      </c>
      <c r="K491" s="19"/>
      <c r="L491" s="19" t="n">
        <v>0.375</v>
      </c>
      <c r="M491" s="19"/>
      <c r="N491" s="19" t="n">
        <v>0.375</v>
      </c>
      <c r="O491" s="19" t="n">
        <v>0</v>
      </c>
      <c r="P491" s="17" t="n">
        <f aca="false">IF(AND(ISNUMBER(H491),ISNUMBER(I491)),MAX(0,ROUND((I491-H491)*1440,0)-'Bilan agents'!$C$4),0)</f>
        <v>0</v>
      </c>
      <c r="Q491" s="8" t="str">
        <f aca="false">IF(H491="Congé","CP",IF(H491="Férié","F",IF(H491="OFF","R",IF(N491&gt;0,"A",IF(ISNUMBER(I491),"P","NR")))))</f>
        <v>A</v>
      </c>
      <c r="R491" s="18"/>
    </row>
    <row r="492" customFormat="false" ht="15" hidden="false" customHeight="false" outlineLevel="0" collapsed="false">
      <c r="A492" s="18" t="s">
        <v>28</v>
      </c>
      <c r="B492" s="8" t="s">
        <v>29</v>
      </c>
      <c r="C492" s="9" t="n">
        <v>46121</v>
      </c>
      <c r="D492" s="8" t="n">
        <v>2026</v>
      </c>
      <c r="E492" s="8" t="n">
        <v>15</v>
      </c>
      <c r="F492" s="18" t="s">
        <v>125</v>
      </c>
      <c r="G492" s="8" t="s">
        <v>119</v>
      </c>
      <c r="H492" s="19" t="n">
        <v>0.333333333333333</v>
      </c>
      <c r="I492" s="19"/>
      <c r="J492" s="19" t="n">
        <v>0.75</v>
      </c>
      <c r="K492" s="19"/>
      <c r="L492" s="19" t="n">
        <v>0.375</v>
      </c>
      <c r="M492" s="19"/>
      <c r="N492" s="19" t="n">
        <v>0.375</v>
      </c>
      <c r="O492" s="19" t="n">
        <v>0</v>
      </c>
      <c r="P492" s="17" t="n">
        <f aca="false">IF(AND(ISNUMBER(H492),ISNUMBER(I492)),MAX(0,ROUND((I492-H492)*1440,0)-'Bilan agents'!$C$4),0)</f>
        <v>0</v>
      </c>
      <c r="Q492" s="8" t="str">
        <f aca="false">IF(H492="Congé","CP",IF(H492="Férié","F",IF(H492="OFF","R",IF(N492&gt;0,"A",IF(ISNUMBER(I492),"P","NR")))))</f>
        <v>A</v>
      </c>
      <c r="R492" s="18"/>
    </row>
    <row r="493" customFormat="false" ht="15" hidden="false" customHeight="false" outlineLevel="0" collapsed="false">
      <c r="A493" s="18" t="s">
        <v>28</v>
      </c>
      <c r="B493" s="8" t="s">
        <v>29</v>
      </c>
      <c r="C493" s="9" t="n">
        <v>46122</v>
      </c>
      <c r="D493" s="8" t="n">
        <v>2026</v>
      </c>
      <c r="E493" s="8" t="n">
        <v>15</v>
      </c>
      <c r="F493" s="18" t="s">
        <v>125</v>
      </c>
      <c r="G493" s="8" t="s">
        <v>120</v>
      </c>
      <c r="H493" s="19" t="n">
        <v>0.333333333333333</v>
      </c>
      <c r="I493" s="19"/>
      <c r="J493" s="19" t="n">
        <v>0.708333333333333</v>
      </c>
      <c r="K493" s="19"/>
      <c r="L493" s="19" t="n">
        <v>0.333333333333333</v>
      </c>
      <c r="M493" s="19"/>
      <c r="N493" s="19" t="n">
        <v>0.333333333333333</v>
      </c>
      <c r="O493" s="19" t="n">
        <v>0</v>
      </c>
      <c r="P493" s="17" t="n">
        <f aca="false">IF(AND(ISNUMBER(H493),ISNUMBER(I493)),MAX(0,ROUND((I493-H493)*1440,0)-'Bilan agents'!$C$4),0)</f>
        <v>0</v>
      </c>
      <c r="Q493" s="8" t="str">
        <f aca="false">IF(H493="Congé","CP",IF(H493="Férié","F",IF(H493="OFF","R",IF(N493&gt;0,"A",IF(ISNUMBER(I493),"P","NR")))))</f>
        <v>A</v>
      </c>
      <c r="R493" s="18"/>
    </row>
    <row r="494" customFormat="false" ht="15" hidden="false" customHeight="false" outlineLevel="0" collapsed="false">
      <c r="A494" s="18" t="s">
        <v>28</v>
      </c>
      <c r="B494" s="8" t="s">
        <v>29</v>
      </c>
      <c r="C494" s="9" t="n">
        <v>46123</v>
      </c>
      <c r="D494" s="8" t="n">
        <v>2026</v>
      </c>
      <c r="E494" s="8" t="n">
        <v>15</v>
      </c>
      <c r="F494" s="18" t="s">
        <v>125</v>
      </c>
      <c r="G494" s="8" t="s">
        <v>121</v>
      </c>
      <c r="H494" s="19" t="s">
        <v>115</v>
      </c>
      <c r="I494" s="19"/>
      <c r="J494" s="19"/>
      <c r="K494" s="19"/>
      <c r="L494" s="19" t="n">
        <v>0</v>
      </c>
      <c r="M494" s="19"/>
      <c r="N494" s="19" t="n">
        <v>0</v>
      </c>
      <c r="O494" s="19" t="n">
        <v>0</v>
      </c>
      <c r="P494" s="17" t="n">
        <f aca="false">IF(AND(ISNUMBER(H494),ISNUMBER(I494)),MAX(0,ROUND((I494-H494)*1440,0)-'Bilan agents'!$C$4),0)</f>
        <v>0</v>
      </c>
      <c r="Q494" s="8" t="str">
        <f aca="false">IF(H494="Congé","CP",IF(H494="Férié","F",IF(H494="OFF","R",IF(N494&gt;0,"A",IF(ISNUMBER(I494),"P","NR")))))</f>
        <v>R</v>
      </c>
      <c r="R494" s="18"/>
    </row>
    <row r="495" customFormat="false" ht="15" hidden="false" customHeight="false" outlineLevel="0" collapsed="false">
      <c r="A495" s="18" t="s">
        <v>28</v>
      </c>
      <c r="B495" s="8" t="s">
        <v>29</v>
      </c>
      <c r="C495" s="9" t="n">
        <v>46124</v>
      </c>
      <c r="D495" s="8" t="n">
        <v>2026</v>
      </c>
      <c r="E495" s="8" t="n">
        <v>15</v>
      </c>
      <c r="F495" s="18" t="s">
        <v>125</v>
      </c>
      <c r="G495" s="8" t="s">
        <v>114</v>
      </c>
      <c r="H495" s="19" t="s">
        <v>115</v>
      </c>
      <c r="I495" s="19"/>
      <c r="J495" s="19"/>
      <c r="K495" s="19"/>
      <c r="L495" s="19" t="n">
        <v>0</v>
      </c>
      <c r="M495" s="19"/>
      <c r="N495" s="19" t="n">
        <v>0</v>
      </c>
      <c r="O495" s="19" t="n">
        <v>0</v>
      </c>
      <c r="P495" s="17" t="n">
        <f aca="false">IF(AND(ISNUMBER(H495),ISNUMBER(I495)),MAX(0,ROUND((I495-H495)*1440,0)-'Bilan agents'!$C$4),0)</f>
        <v>0</v>
      </c>
      <c r="Q495" s="8" t="str">
        <f aca="false">IF(H495="Congé","CP",IF(H495="Férié","F",IF(H495="OFF","R",IF(N495&gt;0,"A",IF(ISNUMBER(I495),"P","NR")))))</f>
        <v>R</v>
      </c>
      <c r="R495" s="18"/>
    </row>
    <row r="496" customFormat="false" ht="15" hidden="false" customHeight="false" outlineLevel="0" collapsed="false">
      <c r="A496" s="18" t="s">
        <v>28</v>
      </c>
      <c r="B496" s="8" t="s">
        <v>29</v>
      </c>
      <c r="C496" s="9" t="n">
        <v>46125</v>
      </c>
      <c r="D496" s="8" t="n">
        <v>2026</v>
      </c>
      <c r="E496" s="8" t="n">
        <v>16</v>
      </c>
      <c r="F496" s="18" t="s">
        <v>125</v>
      </c>
      <c r="G496" s="8" t="s">
        <v>116</v>
      </c>
      <c r="H496" s="19" t="n">
        <v>0.333333333333333</v>
      </c>
      <c r="I496" s="19" t="n">
        <v>0.33125</v>
      </c>
      <c r="J496" s="19" t="n">
        <v>0.75</v>
      </c>
      <c r="K496" s="19" t="n">
        <v>0.75</v>
      </c>
      <c r="L496" s="19" t="n">
        <v>0.375</v>
      </c>
      <c r="M496" s="19" t="n">
        <v>0.375</v>
      </c>
      <c r="N496" s="19" t="n">
        <v>0</v>
      </c>
      <c r="O496" s="19" t="n">
        <v>0.00208333333333333</v>
      </c>
      <c r="P496" s="17" t="n">
        <f aca="false">IF(AND(ISNUMBER(H496),ISNUMBER(I496)),MAX(0,ROUND((I496-H496)*1440,0)-'Bilan agents'!$C$4),0)</f>
        <v>0</v>
      </c>
      <c r="Q496" s="8" t="str">
        <f aca="false">IF(H496="Congé","CP",IF(H496="Férié","F",IF(H496="OFF","R",IF(N496&gt;0,"A",IF(ISNUMBER(I496),"P","NR")))))</f>
        <v>P</v>
      </c>
      <c r="R496" s="18"/>
    </row>
    <row r="497" customFormat="false" ht="15" hidden="false" customHeight="false" outlineLevel="0" collapsed="false">
      <c r="A497" s="18" t="s">
        <v>28</v>
      </c>
      <c r="B497" s="8" t="s">
        <v>29</v>
      </c>
      <c r="C497" s="9" t="n">
        <v>46126</v>
      </c>
      <c r="D497" s="8" t="n">
        <v>2026</v>
      </c>
      <c r="E497" s="8" t="n">
        <v>16</v>
      </c>
      <c r="F497" s="18" t="s">
        <v>125</v>
      </c>
      <c r="G497" s="8" t="s">
        <v>117</v>
      </c>
      <c r="H497" s="19" t="n">
        <v>0.333333333333333</v>
      </c>
      <c r="I497" s="19" t="n">
        <v>0.33125</v>
      </c>
      <c r="J497" s="19" t="n">
        <v>0.75</v>
      </c>
      <c r="K497" s="19" t="n">
        <v>0.75</v>
      </c>
      <c r="L497" s="19" t="n">
        <v>0.375</v>
      </c>
      <c r="M497" s="19" t="n">
        <v>0.375</v>
      </c>
      <c r="N497" s="19" t="n">
        <v>0</v>
      </c>
      <c r="O497" s="19" t="n">
        <v>0.00208333333333333</v>
      </c>
      <c r="P497" s="17" t="n">
        <f aca="false">IF(AND(ISNUMBER(H497),ISNUMBER(I497)),MAX(0,ROUND((I497-H497)*1440,0)-'Bilan agents'!$C$4),0)</f>
        <v>0</v>
      </c>
      <c r="Q497" s="8" t="str">
        <f aca="false">IF(H497="Congé","CP",IF(H497="Férié","F",IF(H497="OFF","R",IF(N497&gt;0,"A",IF(ISNUMBER(I497),"P","NR")))))</f>
        <v>P</v>
      </c>
      <c r="R497" s="18"/>
    </row>
    <row r="498" customFormat="false" ht="15" hidden="false" customHeight="false" outlineLevel="0" collapsed="false">
      <c r="A498" s="18" t="s">
        <v>28</v>
      </c>
      <c r="B498" s="8" t="s">
        <v>29</v>
      </c>
      <c r="C498" s="9" t="n">
        <v>46127</v>
      </c>
      <c r="D498" s="8" t="n">
        <v>2026</v>
      </c>
      <c r="E498" s="8" t="n">
        <v>16</v>
      </c>
      <c r="F498" s="18" t="s">
        <v>125</v>
      </c>
      <c r="G498" s="8" t="s">
        <v>118</v>
      </c>
      <c r="H498" s="19" t="n">
        <v>0.333333333333333</v>
      </c>
      <c r="I498" s="19" t="n">
        <v>0.333333333333333</v>
      </c>
      <c r="J498" s="19" t="n">
        <v>0.75</v>
      </c>
      <c r="K498" s="19" t="n">
        <v>0.75</v>
      </c>
      <c r="L498" s="19" t="n">
        <v>0.375</v>
      </c>
      <c r="M498" s="19" t="n">
        <v>0.375</v>
      </c>
      <c r="N498" s="19" t="n">
        <v>0</v>
      </c>
      <c r="O498" s="19" t="n">
        <v>0</v>
      </c>
      <c r="P498" s="17" t="n">
        <f aca="false">IF(AND(ISNUMBER(H498),ISNUMBER(I498)),MAX(0,ROUND((I498-H498)*1440,0)-'Bilan agents'!$C$4),0)</f>
        <v>0</v>
      </c>
      <c r="Q498" s="8" t="str">
        <f aca="false">IF(H498="Congé","CP",IF(H498="Férié","F",IF(H498="OFF","R",IF(N498&gt;0,"A",IF(ISNUMBER(I498),"P","NR")))))</f>
        <v>P</v>
      </c>
      <c r="R498" s="18"/>
    </row>
    <row r="499" customFormat="false" ht="15" hidden="false" customHeight="false" outlineLevel="0" collapsed="false">
      <c r="A499" s="18" t="s">
        <v>28</v>
      </c>
      <c r="B499" s="8" t="s">
        <v>29</v>
      </c>
      <c r="C499" s="9" t="n">
        <v>46128</v>
      </c>
      <c r="D499" s="8" t="n">
        <v>2026</v>
      </c>
      <c r="E499" s="8" t="n">
        <v>16</v>
      </c>
      <c r="F499" s="18" t="s">
        <v>125</v>
      </c>
      <c r="G499" s="8" t="s">
        <v>119</v>
      </c>
      <c r="H499" s="19" t="n">
        <v>0.333333333333333</v>
      </c>
      <c r="I499" s="19" t="n">
        <v>0.331944444444444</v>
      </c>
      <c r="J499" s="19" t="n">
        <v>0.75</v>
      </c>
      <c r="K499" s="19" t="n">
        <v>0.75</v>
      </c>
      <c r="L499" s="19" t="n">
        <v>0.375</v>
      </c>
      <c r="M499" s="19" t="n">
        <v>0.375</v>
      </c>
      <c r="N499" s="19" t="n">
        <v>0</v>
      </c>
      <c r="O499" s="19" t="n">
        <v>0.00138888888888889</v>
      </c>
      <c r="P499" s="17" t="n">
        <f aca="false">IF(AND(ISNUMBER(H499),ISNUMBER(I499)),MAX(0,ROUND((I499-H499)*1440,0)-'Bilan agents'!$C$4),0)</f>
        <v>0</v>
      </c>
      <c r="Q499" s="8" t="str">
        <f aca="false">IF(H499="Congé","CP",IF(H499="Férié","F",IF(H499="OFF","R",IF(N499&gt;0,"A",IF(ISNUMBER(I499),"P","NR")))))</f>
        <v>P</v>
      </c>
      <c r="R499" s="18"/>
    </row>
    <row r="500" customFormat="false" ht="15" hidden="false" customHeight="false" outlineLevel="0" collapsed="false">
      <c r="A500" s="18" t="s">
        <v>28</v>
      </c>
      <c r="B500" s="8" t="s">
        <v>29</v>
      </c>
      <c r="C500" s="9" t="n">
        <v>46129</v>
      </c>
      <c r="D500" s="8" t="n">
        <v>2026</v>
      </c>
      <c r="E500" s="8" t="n">
        <v>16</v>
      </c>
      <c r="F500" s="18" t="s">
        <v>125</v>
      </c>
      <c r="G500" s="8" t="s">
        <v>120</v>
      </c>
      <c r="H500" s="19" t="n">
        <v>0.333333333333333</v>
      </c>
      <c r="I500" s="19" t="n">
        <v>0.333333333333333</v>
      </c>
      <c r="J500" s="19" t="n">
        <v>0.708333333333333</v>
      </c>
      <c r="K500" s="19" t="n">
        <v>0.708333333333333</v>
      </c>
      <c r="L500" s="19" t="n">
        <v>0.333333333333333</v>
      </c>
      <c r="M500" s="19" t="n">
        <v>0.333333333333333</v>
      </c>
      <c r="N500" s="19" t="n">
        <v>0</v>
      </c>
      <c r="O500" s="19" t="n">
        <v>0</v>
      </c>
      <c r="P500" s="17" t="n">
        <f aca="false">IF(AND(ISNUMBER(H500),ISNUMBER(I500)),MAX(0,ROUND((I500-H500)*1440,0)-'Bilan agents'!$C$4),0)</f>
        <v>0</v>
      </c>
      <c r="Q500" s="8" t="str">
        <f aca="false">IF(H500="Congé","CP",IF(H500="Férié","F",IF(H500="OFF","R",IF(N500&gt;0,"A",IF(ISNUMBER(I500),"P","NR")))))</f>
        <v>P</v>
      </c>
      <c r="R500" s="18"/>
    </row>
    <row r="501" customFormat="false" ht="15" hidden="false" customHeight="false" outlineLevel="0" collapsed="false">
      <c r="A501" s="18" t="s">
        <v>28</v>
      </c>
      <c r="B501" s="8" t="s">
        <v>29</v>
      </c>
      <c r="C501" s="9" t="n">
        <v>46130</v>
      </c>
      <c r="D501" s="8" t="n">
        <v>2026</v>
      </c>
      <c r="E501" s="8" t="n">
        <v>16</v>
      </c>
      <c r="F501" s="18" t="s">
        <v>125</v>
      </c>
      <c r="G501" s="8" t="s">
        <v>121</v>
      </c>
      <c r="H501" s="19" t="s">
        <v>115</v>
      </c>
      <c r="I501" s="19"/>
      <c r="J501" s="19"/>
      <c r="K501" s="19"/>
      <c r="L501" s="19" t="n">
        <v>0</v>
      </c>
      <c r="M501" s="19"/>
      <c r="N501" s="19" t="n">
        <v>0</v>
      </c>
      <c r="O501" s="19" t="n">
        <v>0</v>
      </c>
      <c r="P501" s="17" t="n">
        <f aca="false">IF(AND(ISNUMBER(H501),ISNUMBER(I501)),MAX(0,ROUND((I501-H501)*1440,0)-'Bilan agents'!$C$4),0)</f>
        <v>0</v>
      </c>
      <c r="Q501" s="8" t="str">
        <f aca="false">IF(H501="Congé","CP",IF(H501="Férié","F",IF(H501="OFF","R",IF(N501&gt;0,"A",IF(ISNUMBER(I501),"P","NR")))))</f>
        <v>R</v>
      </c>
      <c r="R501" s="18"/>
    </row>
    <row r="502" customFormat="false" ht="15" hidden="false" customHeight="false" outlineLevel="0" collapsed="false">
      <c r="A502" s="18" t="s">
        <v>28</v>
      </c>
      <c r="B502" s="8" t="s">
        <v>29</v>
      </c>
      <c r="C502" s="9" t="n">
        <v>46131</v>
      </c>
      <c r="D502" s="8" t="n">
        <v>2026</v>
      </c>
      <c r="E502" s="8" t="n">
        <v>16</v>
      </c>
      <c r="F502" s="18" t="s">
        <v>125</v>
      </c>
      <c r="G502" s="8" t="s">
        <v>114</v>
      </c>
      <c r="H502" s="19" t="s">
        <v>115</v>
      </c>
      <c r="I502" s="19"/>
      <c r="J502" s="19"/>
      <c r="K502" s="19"/>
      <c r="L502" s="19" t="n">
        <v>0</v>
      </c>
      <c r="M502" s="19"/>
      <c r="N502" s="19" t="n">
        <v>0</v>
      </c>
      <c r="O502" s="19" t="n">
        <v>0</v>
      </c>
      <c r="P502" s="17" t="n">
        <f aca="false">IF(AND(ISNUMBER(H502),ISNUMBER(I502)),MAX(0,ROUND((I502-H502)*1440,0)-'Bilan agents'!$C$4),0)</f>
        <v>0</v>
      </c>
      <c r="Q502" s="8" t="str">
        <f aca="false">IF(H502="Congé","CP",IF(H502="Férié","F",IF(H502="OFF","R",IF(N502&gt;0,"A",IF(ISNUMBER(I502),"P","NR")))))</f>
        <v>R</v>
      </c>
      <c r="R502" s="18"/>
    </row>
    <row r="503" customFormat="false" ht="15" hidden="false" customHeight="false" outlineLevel="0" collapsed="false">
      <c r="A503" s="18" t="s">
        <v>28</v>
      </c>
      <c r="B503" s="8" t="s">
        <v>29</v>
      </c>
      <c r="C503" s="9" t="n">
        <v>46132</v>
      </c>
      <c r="D503" s="8" t="n">
        <v>2026</v>
      </c>
      <c r="E503" s="8" t="n">
        <v>17</v>
      </c>
      <c r="F503" s="18" t="s">
        <v>125</v>
      </c>
      <c r="G503" s="8" t="s">
        <v>116</v>
      </c>
      <c r="H503" s="19" t="s">
        <v>43</v>
      </c>
      <c r="I503" s="19"/>
      <c r="J503" s="19"/>
      <c r="K503" s="19"/>
      <c r="L503" s="19" t="n">
        <v>0</v>
      </c>
      <c r="M503" s="19"/>
      <c r="N503" s="19" t="n">
        <v>0</v>
      </c>
      <c r="O503" s="19" t="n">
        <v>0</v>
      </c>
      <c r="P503" s="17" t="n">
        <f aca="false">IF(AND(ISNUMBER(H503),ISNUMBER(I503)),MAX(0,ROUND((I503-H503)*1440,0)-'Bilan agents'!$C$4),0)</f>
        <v>0</v>
      </c>
      <c r="Q503" s="8" t="str">
        <f aca="false">IF(H503="Congé","CP",IF(H503="Férié","F",IF(H503="OFF","R",IF(N503&gt;0,"A",IF(ISNUMBER(I503),"P","NR")))))</f>
        <v>CP</v>
      </c>
      <c r="R503" s="18"/>
    </row>
    <row r="504" customFormat="false" ht="15" hidden="false" customHeight="false" outlineLevel="0" collapsed="false">
      <c r="A504" s="18" t="s">
        <v>28</v>
      </c>
      <c r="B504" s="8" t="s">
        <v>29</v>
      </c>
      <c r="C504" s="9" t="n">
        <v>46133</v>
      </c>
      <c r="D504" s="8" t="n">
        <v>2026</v>
      </c>
      <c r="E504" s="8" t="n">
        <v>17</v>
      </c>
      <c r="F504" s="18" t="s">
        <v>125</v>
      </c>
      <c r="G504" s="8" t="s">
        <v>117</v>
      </c>
      <c r="H504" s="19" t="n">
        <v>0.333333333333333</v>
      </c>
      <c r="I504" s="19" t="n">
        <v>0.33125</v>
      </c>
      <c r="J504" s="19" t="n">
        <v>0.75</v>
      </c>
      <c r="K504" s="19" t="n">
        <v>0.75</v>
      </c>
      <c r="L504" s="19" t="n">
        <v>0.375</v>
      </c>
      <c r="M504" s="19" t="n">
        <v>0.375</v>
      </c>
      <c r="N504" s="19" t="n">
        <v>0</v>
      </c>
      <c r="O504" s="19" t="n">
        <v>0.00208333333333333</v>
      </c>
      <c r="P504" s="17" t="n">
        <f aca="false">IF(AND(ISNUMBER(H504),ISNUMBER(I504)),MAX(0,ROUND((I504-H504)*1440,0)-'Bilan agents'!$C$4),0)</f>
        <v>0</v>
      </c>
      <c r="Q504" s="8" t="str">
        <f aca="false">IF(H504="Congé","CP",IF(H504="Férié","F",IF(H504="OFF","R",IF(N504&gt;0,"A",IF(ISNUMBER(I504),"P","NR")))))</f>
        <v>P</v>
      </c>
      <c r="R504" s="18"/>
    </row>
    <row r="505" customFormat="false" ht="15" hidden="false" customHeight="false" outlineLevel="0" collapsed="false">
      <c r="A505" s="18" t="s">
        <v>28</v>
      </c>
      <c r="B505" s="8" t="s">
        <v>29</v>
      </c>
      <c r="C505" s="9" t="n">
        <v>46134</v>
      </c>
      <c r="D505" s="8" t="n">
        <v>2026</v>
      </c>
      <c r="E505" s="8" t="n">
        <v>17</v>
      </c>
      <c r="F505" s="18" t="s">
        <v>125</v>
      </c>
      <c r="G505" s="8" t="s">
        <v>118</v>
      </c>
      <c r="H505" s="19" t="n">
        <v>0.333333333333333</v>
      </c>
      <c r="I505" s="19" t="n">
        <v>0.331944444444444</v>
      </c>
      <c r="J505" s="19" t="n">
        <v>0.75</v>
      </c>
      <c r="K505" s="19" t="n">
        <v>0.75</v>
      </c>
      <c r="L505" s="19" t="n">
        <v>0.375</v>
      </c>
      <c r="M505" s="19" t="n">
        <v>0.375</v>
      </c>
      <c r="N505" s="19" t="n">
        <v>0</v>
      </c>
      <c r="O505" s="19" t="n">
        <v>0.00138888888888889</v>
      </c>
      <c r="P505" s="17" t="n">
        <f aca="false">IF(AND(ISNUMBER(H505),ISNUMBER(I505)),MAX(0,ROUND((I505-H505)*1440,0)-'Bilan agents'!$C$4),0)</f>
        <v>0</v>
      </c>
      <c r="Q505" s="8" t="str">
        <f aca="false">IF(H505="Congé","CP",IF(H505="Férié","F",IF(H505="OFF","R",IF(N505&gt;0,"A",IF(ISNUMBER(I505),"P","NR")))))</f>
        <v>P</v>
      </c>
      <c r="R505" s="18"/>
    </row>
    <row r="506" customFormat="false" ht="15" hidden="false" customHeight="false" outlineLevel="0" collapsed="false">
      <c r="A506" s="18" t="s">
        <v>28</v>
      </c>
      <c r="B506" s="8" t="s">
        <v>29</v>
      </c>
      <c r="C506" s="9" t="n">
        <v>46135</v>
      </c>
      <c r="D506" s="8" t="n">
        <v>2026</v>
      </c>
      <c r="E506" s="8" t="n">
        <v>17</v>
      </c>
      <c r="F506" s="18" t="s">
        <v>125</v>
      </c>
      <c r="G506" s="8" t="s">
        <v>119</v>
      </c>
      <c r="H506" s="19" t="n">
        <v>0.333333333333333</v>
      </c>
      <c r="I506" s="19"/>
      <c r="J506" s="19" t="n">
        <v>0.75</v>
      </c>
      <c r="K506" s="19"/>
      <c r="L506" s="19" t="n">
        <v>0.375</v>
      </c>
      <c r="M506" s="19"/>
      <c r="N506" s="19" t="n">
        <v>0.375</v>
      </c>
      <c r="O506" s="19" t="n">
        <v>0</v>
      </c>
      <c r="P506" s="17" t="n">
        <f aca="false">IF(AND(ISNUMBER(H506),ISNUMBER(I506)),MAX(0,ROUND((I506-H506)*1440,0)-'Bilan agents'!$C$4),0)</f>
        <v>0</v>
      </c>
      <c r="Q506" s="8" t="str">
        <f aca="false">IF(H506="Congé","CP",IF(H506="Férié","F",IF(H506="OFF","R",IF(N506&gt;0,"A",IF(ISNUMBER(I506),"P","NR")))))</f>
        <v>A</v>
      </c>
      <c r="R506" s="18"/>
    </row>
    <row r="507" customFormat="false" ht="15" hidden="false" customHeight="false" outlineLevel="0" collapsed="false">
      <c r="A507" s="18" t="s">
        <v>28</v>
      </c>
      <c r="B507" s="8" t="s">
        <v>29</v>
      </c>
      <c r="C507" s="9" t="n">
        <v>46136</v>
      </c>
      <c r="D507" s="8" t="n">
        <v>2026</v>
      </c>
      <c r="E507" s="8" t="n">
        <v>17</v>
      </c>
      <c r="F507" s="18" t="s">
        <v>125</v>
      </c>
      <c r="G507" s="8" t="s">
        <v>120</v>
      </c>
      <c r="H507" s="19" t="n">
        <v>0.333333333333333</v>
      </c>
      <c r="I507" s="19" t="n">
        <v>0.333333333333333</v>
      </c>
      <c r="J507" s="19" t="n">
        <v>0.708333333333333</v>
      </c>
      <c r="K507" s="19" t="n">
        <v>0.708333333333333</v>
      </c>
      <c r="L507" s="19" t="n">
        <v>0.333333333333333</v>
      </c>
      <c r="M507" s="19" t="n">
        <v>0.333333333333333</v>
      </c>
      <c r="N507" s="19" t="n">
        <v>0</v>
      </c>
      <c r="O507" s="19" t="n">
        <v>0</v>
      </c>
      <c r="P507" s="17" t="n">
        <f aca="false">IF(AND(ISNUMBER(H507),ISNUMBER(I507)),MAX(0,ROUND((I507-H507)*1440,0)-'Bilan agents'!$C$4),0)</f>
        <v>0</v>
      </c>
      <c r="Q507" s="8" t="str">
        <f aca="false">IF(H507="Congé","CP",IF(H507="Férié","F",IF(H507="OFF","R",IF(N507&gt;0,"A",IF(ISNUMBER(I507),"P","NR")))))</f>
        <v>P</v>
      </c>
      <c r="R507" s="18"/>
    </row>
    <row r="508" customFormat="false" ht="15" hidden="false" customHeight="false" outlineLevel="0" collapsed="false">
      <c r="A508" s="18" t="s">
        <v>28</v>
      </c>
      <c r="B508" s="8" t="s">
        <v>29</v>
      </c>
      <c r="C508" s="9" t="n">
        <v>46137</v>
      </c>
      <c r="D508" s="8" t="n">
        <v>2026</v>
      </c>
      <c r="E508" s="8" t="n">
        <v>17</v>
      </c>
      <c r="F508" s="18" t="s">
        <v>125</v>
      </c>
      <c r="G508" s="8" t="s">
        <v>121</v>
      </c>
      <c r="H508" s="19" t="s">
        <v>115</v>
      </c>
      <c r="I508" s="19"/>
      <c r="J508" s="19"/>
      <c r="K508" s="19"/>
      <c r="L508" s="19" t="n">
        <v>0</v>
      </c>
      <c r="M508" s="19"/>
      <c r="N508" s="19" t="n">
        <v>0</v>
      </c>
      <c r="O508" s="19" t="n">
        <v>0</v>
      </c>
      <c r="P508" s="17" t="n">
        <f aca="false">IF(AND(ISNUMBER(H508),ISNUMBER(I508)),MAX(0,ROUND((I508-H508)*1440,0)-'Bilan agents'!$C$4),0)</f>
        <v>0</v>
      </c>
      <c r="Q508" s="8" t="str">
        <f aca="false">IF(H508="Congé","CP",IF(H508="Férié","F",IF(H508="OFF","R",IF(N508&gt;0,"A",IF(ISNUMBER(I508),"P","NR")))))</f>
        <v>R</v>
      </c>
      <c r="R508" s="18"/>
    </row>
    <row r="509" customFormat="false" ht="15" hidden="false" customHeight="false" outlineLevel="0" collapsed="false">
      <c r="A509" s="18" t="s">
        <v>28</v>
      </c>
      <c r="B509" s="8" t="s">
        <v>29</v>
      </c>
      <c r="C509" s="9" t="n">
        <v>46138</v>
      </c>
      <c r="D509" s="8" t="n">
        <v>2026</v>
      </c>
      <c r="E509" s="8" t="n">
        <v>17</v>
      </c>
      <c r="F509" s="18" t="s">
        <v>125</v>
      </c>
      <c r="G509" s="8" t="s">
        <v>114</v>
      </c>
      <c r="H509" s="19" t="s">
        <v>115</v>
      </c>
      <c r="I509" s="19"/>
      <c r="J509" s="19"/>
      <c r="K509" s="19"/>
      <c r="L509" s="19" t="n">
        <v>0</v>
      </c>
      <c r="M509" s="19"/>
      <c r="N509" s="19" t="n">
        <v>0</v>
      </c>
      <c r="O509" s="19" t="n">
        <v>0</v>
      </c>
      <c r="P509" s="17" t="n">
        <f aca="false">IF(AND(ISNUMBER(H509),ISNUMBER(I509)),MAX(0,ROUND((I509-H509)*1440,0)-'Bilan agents'!$C$4),0)</f>
        <v>0</v>
      </c>
      <c r="Q509" s="8" t="str">
        <f aca="false">IF(H509="Congé","CP",IF(H509="Férié","F",IF(H509="OFF","R",IF(N509&gt;0,"A",IF(ISNUMBER(I509),"P","NR")))))</f>
        <v>R</v>
      </c>
      <c r="R509" s="18"/>
    </row>
    <row r="510" customFormat="false" ht="15" hidden="false" customHeight="false" outlineLevel="0" collapsed="false">
      <c r="A510" s="18" t="s">
        <v>28</v>
      </c>
      <c r="B510" s="8" t="s">
        <v>29</v>
      </c>
      <c r="C510" s="9" t="n">
        <v>46139</v>
      </c>
      <c r="D510" s="8" t="n">
        <v>2026</v>
      </c>
      <c r="E510" s="8" t="n">
        <v>18</v>
      </c>
      <c r="F510" s="18" t="s">
        <v>125</v>
      </c>
      <c r="G510" s="8" t="s">
        <v>116</v>
      </c>
      <c r="H510" s="19" t="n">
        <v>0.333333333333333</v>
      </c>
      <c r="I510" s="19" t="n">
        <v>0.331944444444444</v>
      </c>
      <c r="J510" s="19" t="n">
        <v>0.75</v>
      </c>
      <c r="K510" s="19" t="n">
        <v>0.75</v>
      </c>
      <c r="L510" s="19" t="n">
        <v>0.375</v>
      </c>
      <c r="M510" s="19" t="n">
        <v>0.375</v>
      </c>
      <c r="N510" s="19" t="n">
        <v>0</v>
      </c>
      <c r="O510" s="19" t="n">
        <v>0.00138888888888889</v>
      </c>
      <c r="P510" s="17" t="n">
        <f aca="false">IF(AND(ISNUMBER(H510),ISNUMBER(I510)),MAX(0,ROUND((I510-H510)*1440,0)-'Bilan agents'!$C$4),0)</f>
        <v>0</v>
      </c>
      <c r="Q510" s="8" t="str">
        <f aca="false">IF(H510="Congé","CP",IF(H510="Férié","F",IF(H510="OFF","R",IF(N510&gt;0,"A",IF(ISNUMBER(I510),"P","NR")))))</f>
        <v>P</v>
      </c>
      <c r="R510" s="18"/>
    </row>
    <row r="511" customFormat="false" ht="15" hidden="false" customHeight="false" outlineLevel="0" collapsed="false">
      <c r="A511" s="18" t="s">
        <v>28</v>
      </c>
      <c r="B511" s="8" t="s">
        <v>29</v>
      </c>
      <c r="C511" s="9" t="n">
        <v>46140</v>
      </c>
      <c r="D511" s="8" t="n">
        <v>2026</v>
      </c>
      <c r="E511" s="8" t="n">
        <v>18</v>
      </c>
      <c r="F511" s="18" t="s">
        <v>125</v>
      </c>
      <c r="G511" s="8" t="s">
        <v>117</v>
      </c>
      <c r="H511" s="19" t="n">
        <v>0.333333333333333</v>
      </c>
      <c r="I511" s="19" t="n">
        <v>0.332638888888889</v>
      </c>
      <c r="J511" s="19" t="n">
        <v>0.75</v>
      </c>
      <c r="K511" s="19" t="n">
        <v>0.75</v>
      </c>
      <c r="L511" s="19" t="n">
        <v>0.375</v>
      </c>
      <c r="M511" s="19" t="n">
        <v>0.375</v>
      </c>
      <c r="N511" s="19" t="n">
        <v>0</v>
      </c>
      <c r="O511" s="19" t="n">
        <v>0</v>
      </c>
      <c r="P511" s="17" t="n">
        <f aca="false">IF(AND(ISNUMBER(H511),ISNUMBER(I511)),MAX(0,ROUND((I511-H511)*1440,0)-'Bilan agents'!$C$4),0)</f>
        <v>0</v>
      </c>
      <c r="Q511" s="8" t="str">
        <f aca="false">IF(H511="Congé","CP",IF(H511="Férié","F",IF(H511="OFF","R",IF(N511&gt;0,"A",IF(ISNUMBER(I511),"P","NR")))))</f>
        <v>P</v>
      </c>
      <c r="R511" s="18"/>
    </row>
    <row r="512" customFormat="false" ht="15" hidden="false" customHeight="false" outlineLevel="0" collapsed="false">
      <c r="A512" s="18" t="s">
        <v>28</v>
      </c>
      <c r="B512" s="8" t="s">
        <v>29</v>
      </c>
      <c r="C512" s="9" t="n">
        <v>46141</v>
      </c>
      <c r="D512" s="8" t="n">
        <v>2026</v>
      </c>
      <c r="E512" s="8" t="n">
        <v>18</v>
      </c>
      <c r="F512" s="18" t="s">
        <v>125</v>
      </c>
      <c r="G512" s="8" t="s">
        <v>118</v>
      </c>
      <c r="H512" s="19" t="n">
        <v>0.333333333333333</v>
      </c>
      <c r="I512" s="19" t="n">
        <v>0.333333333333333</v>
      </c>
      <c r="J512" s="19" t="n">
        <v>0.75</v>
      </c>
      <c r="K512" s="19" t="n">
        <v>0.75</v>
      </c>
      <c r="L512" s="19" t="n">
        <v>0.375</v>
      </c>
      <c r="M512" s="19" t="n">
        <v>0.375</v>
      </c>
      <c r="N512" s="19" t="n">
        <v>0</v>
      </c>
      <c r="O512" s="19" t="n">
        <v>0</v>
      </c>
      <c r="P512" s="17" t="n">
        <f aca="false">IF(AND(ISNUMBER(H512),ISNUMBER(I512)),MAX(0,ROUND((I512-H512)*1440,0)-'Bilan agents'!$C$4),0)</f>
        <v>0</v>
      </c>
      <c r="Q512" s="8" t="str">
        <f aca="false">IF(H512="Congé","CP",IF(H512="Férié","F",IF(H512="OFF","R",IF(N512&gt;0,"A",IF(ISNUMBER(I512),"P","NR")))))</f>
        <v>P</v>
      </c>
      <c r="R512" s="18"/>
    </row>
    <row r="513" customFormat="false" ht="15" hidden="false" customHeight="false" outlineLevel="0" collapsed="false">
      <c r="A513" s="18" t="s">
        <v>28</v>
      </c>
      <c r="B513" s="8" t="s">
        <v>29</v>
      </c>
      <c r="C513" s="9" t="n">
        <v>46142</v>
      </c>
      <c r="D513" s="8" t="n">
        <v>2026</v>
      </c>
      <c r="E513" s="8" t="n">
        <v>18</v>
      </c>
      <c r="F513" s="18" t="s">
        <v>125</v>
      </c>
      <c r="G513" s="8" t="s">
        <v>119</v>
      </c>
      <c r="H513" s="19" t="n">
        <v>0.333333333333333</v>
      </c>
      <c r="I513" s="19" t="n">
        <v>0.331944444444444</v>
      </c>
      <c r="J513" s="19" t="n">
        <v>0.75</v>
      </c>
      <c r="K513" s="19" t="n">
        <v>0.75</v>
      </c>
      <c r="L513" s="19" t="n">
        <v>0.375</v>
      </c>
      <c r="M513" s="19" t="n">
        <v>0.375</v>
      </c>
      <c r="N513" s="19" t="n">
        <v>0</v>
      </c>
      <c r="O513" s="19" t="n">
        <v>0.00138888888888889</v>
      </c>
      <c r="P513" s="17" t="n">
        <f aca="false">IF(AND(ISNUMBER(H513),ISNUMBER(I513)),MAX(0,ROUND((I513-H513)*1440,0)-'Bilan agents'!$C$4),0)</f>
        <v>0</v>
      </c>
      <c r="Q513" s="8" t="str">
        <f aca="false">IF(H513="Congé","CP",IF(H513="Férié","F",IF(H513="OFF","R",IF(N513&gt;0,"A",IF(ISNUMBER(I513),"P","NR")))))</f>
        <v>P</v>
      </c>
      <c r="R513" s="18"/>
    </row>
    <row r="514" customFormat="false" ht="15" hidden="false" customHeight="false" outlineLevel="0" collapsed="false">
      <c r="A514" s="18" t="s">
        <v>28</v>
      </c>
      <c r="B514" s="8" t="s">
        <v>29</v>
      </c>
      <c r="C514" s="9" t="n">
        <v>46143</v>
      </c>
      <c r="D514" s="8" t="n">
        <v>2026</v>
      </c>
      <c r="E514" s="8" t="n">
        <v>18</v>
      </c>
      <c r="F514" s="18" t="s">
        <v>126</v>
      </c>
      <c r="G514" s="8" t="s">
        <v>120</v>
      </c>
      <c r="H514" s="19" t="s">
        <v>45</v>
      </c>
      <c r="I514" s="19"/>
      <c r="J514" s="19"/>
      <c r="K514" s="19"/>
      <c r="L514" s="19" t="n">
        <v>0</v>
      </c>
      <c r="M514" s="19"/>
      <c r="N514" s="19" t="n">
        <v>0</v>
      </c>
      <c r="O514" s="19" t="n">
        <v>0</v>
      </c>
      <c r="P514" s="17" t="n">
        <f aca="false">IF(AND(ISNUMBER(H514),ISNUMBER(I514)),MAX(0,ROUND((I514-H514)*1440,0)-'Bilan agents'!$C$4),0)</f>
        <v>0</v>
      </c>
      <c r="Q514" s="8" t="str">
        <f aca="false">IF(H514="Congé","CP",IF(H514="Férié","F",IF(H514="OFF","R",IF(N514&gt;0,"A",IF(ISNUMBER(I514),"P","NR")))))</f>
        <v>F</v>
      </c>
      <c r="R514" s="18"/>
    </row>
    <row r="515" customFormat="false" ht="15" hidden="false" customHeight="false" outlineLevel="0" collapsed="false">
      <c r="A515" s="18" t="s">
        <v>28</v>
      </c>
      <c r="B515" s="8" t="s">
        <v>29</v>
      </c>
      <c r="C515" s="9" t="n">
        <v>46144</v>
      </c>
      <c r="D515" s="8" t="n">
        <v>2026</v>
      </c>
      <c r="E515" s="8" t="n">
        <v>18</v>
      </c>
      <c r="F515" s="18" t="s">
        <v>126</v>
      </c>
      <c r="G515" s="8" t="s">
        <v>121</v>
      </c>
      <c r="H515" s="19" t="s">
        <v>115</v>
      </c>
      <c r="I515" s="19"/>
      <c r="J515" s="19"/>
      <c r="K515" s="19"/>
      <c r="L515" s="19" t="n">
        <v>0</v>
      </c>
      <c r="M515" s="19"/>
      <c r="N515" s="19" t="n">
        <v>0</v>
      </c>
      <c r="O515" s="19" t="n">
        <v>0</v>
      </c>
      <c r="P515" s="17" t="n">
        <f aca="false">IF(AND(ISNUMBER(H515),ISNUMBER(I515)),MAX(0,ROUND((I515-H515)*1440,0)-'Bilan agents'!$C$4),0)</f>
        <v>0</v>
      </c>
      <c r="Q515" s="8" t="str">
        <f aca="false">IF(H515="Congé","CP",IF(H515="Férié","F",IF(H515="OFF","R",IF(N515&gt;0,"A",IF(ISNUMBER(I515),"P","NR")))))</f>
        <v>R</v>
      </c>
      <c r="R515" s="18"/>
    </row>
    <row r="516" customFormat="false" ht="15" hidden="false" customHeight="false" outlineLevel="0" collapsed="false">
      <c r="A516" s="18" t="s">
        <v>28</v>
      </c>
      <c r="B516" s="8" t="s">
        <v>29</v>
      </c>
      <c r="C516" s="9" t="n">
        <v>46145</v>
      </c>
      <c r="D516" s="8" t="n">
        <v>2026</v>
      </c>
      <c r="E516" s="8" t="n">
        <v>18</v>
      </c>
      <c r="F516" s="18" t="s">
        <v>126</v>
      </c>
      <c r="G516" s="8" t="s">
        <v>114</v>
      </c>
      <c r="H516" s="19" t="s">
        <v>115</v>
      </c>
      <c r="I516" s="19"/>
      <c r="J516" s="19"/>
      <c r="K516" s="19"/>
      <c r="L516" s="19" t="n">
        <v>0</v>
      </c>
      <c r="M516" s="19"/>
      <c r="N516" s="19" t="n">
        <v>0</v>
      </c>
      <c r="O516" s="19" t="n">
        <v>0</v>
      </c>
      <c r="P516" s="17" t="n">
        <f aca="false">IF(AND(ISNUMBER(H516),ISNUMBER(I516)),MAX(0,ROUND((I516-H516)*1440,0)-'Bilan agents'!$C$4),0)</f>
        <v>0</v>
      </c>
      <c r="Q516" s="8" t="str">
        <f aca="false">IF(H516="Congé","CP",IF(H516="Férié","F",IF(H516="OFF","R",IF(N516&gt;0,"A",IF(ISNUMBER(I516),"P","NR")))))</f>
        <v>R</v>
      </c>
      <c r="R516" s="18"/>
    </row>
    <row r="517" customFormat="false" ht="15" hidden="false" customHeight="false" outlineLevel="0" collapsed="false">
      <c r="A517" s="18" t="s">
        <v>28</v>
      </c>
      <c r="B517" s="8" t="s">
        <v>29</v>
      </c>
      <c r="C517" s="9" t="n">
        <v>46146</v>
      </c>
      <c r="D517" s="8" t="n">
        <v>2026</v>
      </c>
      <c r="E517" s="8" t="n">
        <v>19</v>
      </c>
      <c r="F517" s="18" t="s">
        <v>126</v>
      </c>
      <c r="G517" s="8" t="s">
        <v>116</v>
      </c>
      <c r="H517" s="19" t="n">
        <v>0.333333333333333</v>
      </c>
      <c r="I517" s="19" t="n">
        <v>0.333333333333333</v>
      </c>
      <c r="J517" s="19" t="n">
        <v>0.75</v>
      </c>
      <c r="K517" s="19" t="n">
        <v>0.75</v>
      </c>
      <c r="L517" s="19" t="n">
        <v>0.375</v>
      </c>
      <c r="M517" s="19" t="n">
        <v>0.375</v>
      </c>
      <c r="N517" s="19" t="n">
        <v>0</v>
      </c>
      <c r="O517" s="19" t="n">
        <v>0</v>
      </c>
      <c r="P517" s="17" t="n">
        <f aca="false">IF(AND(ISNUMBER(H517),ISNUMBER(I517)),MAX(0,ROUND((I517-H517)*1440,0)-'Bilan agents'!$C$4),0)</f>
        <v>0</v>
      </c>
      <c r="Q517" s="8" t="str">
        <f aca="false">IF(H517="Congé","CP",IF(H517="Férié","F",IF(H517="OFF","R",IF(N517&gt;0,"A",IF(ISNUMBER(I517),"P","NR")))))</f>
        <v>P</v>
      </c>
      <c r="R517" s="18"/>
    </row>
    <row r="518" customFormat="false" ht="15" hidden="false" customHeight="false" outlineLevel="0" collapsed="false">
      <c r="A518" s="18" t="s">
        <v>28</v>
      </c>
      <c r="B518" s="8" t="s">
        <v>29</v>
      </c>
      <c r="C518" s="9" t="n">
        <v>46147</v>
      </c>
      <c r="D518" s="8" t="n">
        <v>2026</v>
      </c>
      <c r="E518" s="8" t="n">
        <v>19</v>
      </c>
      <c r="F518" s="18" t="s">
        <v>126</v>
      </c>
      <c r="G518" s="8" t="s">
        <v>117</v>
      </c>
      <c r="H518" s="19" t="n">
        <v>0.333333333333333</v>
      </c>
      <c r="I518" s="19" t="n">
        <v>0.331944444444444</v>
      </c>
      <c r="J518" s="19" t="n">
        <v>0.75</v>
      </c>
      <c r="K518" s="19" t="n">
        <v>0.75</v>
      </c>
      <c r="L518" s="19" t="n">
        <v>0.375</v>
      </c>
      <c r="M518" s="19" t="n">
        <v>0.375</v>
      </c>
      <c r="N518" s="19" t="n">
        <v>0</v>
      </c>
      <c r="O518" s="19" t="n">
        <v>0.00138888888888889</v>
      </c>
      <c r="P518" s="17" t="n">
        <f aca="false">IF(AND(ISNUMBER(H518),ISNUMBER(I518)),MAX(0,ROUND((I518-H518)*1440,0)-'Bilan agents'!$C$4),0)</f>
        <v>0</v>
      </c>
      <c r="Q518" s="8" t="str">
        <f aca="false">IF(H518="Congé","CP",IF(H518="Férié","F",IF(H518="OFF","R",IF(N518&gt;0,"A",IF(ISNUMBER(I518),"P","NR")))))</f>
        <v>P</v>
      </c>
      <c r="R518" s="18"/>
    </row>
    <row r="519" customFormat="false" ht="15" hidden="false" customHeight="false" outlineLevel="0" collapsed="false">
      <c r="A519" s="18" t="s">
        <v>28</v>
      </c>
      <c r="B519" s="8" t="s">
        <v>29</v>
      </c>
      <c r="C519" s="9" t="n">
        <v>46148</v>
      </c>
      <c r="D519" s="8" t="n">
        <v>2026</v>
      </c>
      <c r="E519" s="8" t="n">
        <v>19</v>
      </c>
      <c r="F519" s="18" t="s">
        <v>126</v>
      </c>
      <c r="G519" s="8" t="s">
        <v>118</v>
      </c>
      <c r="H519" s="19" t="n">
        <v>0.333333333333333</v>
      </c>
      <c r="I519" s="19" t="n">
        <v>0.333333333333333</v>
      </c>
      <c r="J519" s="19" t="n">
        <v>0.75</v>
      </c>
      <c r="K519" s="19" t="n">
        <v>0.75</v>
      </c>
      <c r="L519" s="19" t="n">
        <v>0.375</v>
      </c>
      <c r="M519" s="19" t="n">
        <v>0.375</v>
      </c>
      <c r="N519" s="19" t="n">
        <v>0</v>
      </c>
      <c r="O519" s="19" t="n">
        <v>0</v>
      </c>
      <c r="P519" s="17" t="n">
        <f aca="false">IF(AND(ISNUMBER(H519),ISNUMBER(I519)),MAX(0,ROUND((I519-H519)*1440,0)-'Bilan agents'!$C$4),0)</f>
        <v>0</v>
      </c>
      <c r="Q519" s="8" t="str">
        <f aca="false">IF(H519="Congé","CP",IF(H519="Férié","F",IF(H519="OFF","R",IF(N519&gt;0,"A",IF(ISNUMBER(I519),"P","NR")))))</f>
        <v>P</v>
      </c>
      <c r="R519" s="18"/>
    </row>
    <row r="520" customFormat="false" ht="15" hidden="false" customHeight="false" outlineLevel="0" collapsed="false">
      <c r="A520" s="18" t="s">
        <v>28</v>
      </c>
      <c r="B520" s="8" t="s">
        <v>29</v>
      </c>
      <c r="C520" s="9" t="n">
        <v>46149</v>
      </c>
      <c r="D520" s="8" t="n">
        <v>2026</v>
      </c>
      <c r="E520" s="8" t="n">
        <v>19</v>
      </c>
      <c r="F520" s="18" t="s">
        <v>126</v>
      </c>
      <c r="G520" s="8" t="s">
        <v>119</v>
      </c>
      <c r="H520" s="19" t="n">
        <v>0.333333333333333</v>
      </c>
      <c r="I520" s="19" t="n">
        <v>0.33125</v>
      </c>
      <c r="J520" s="19" t="n">
        <v>0.75</v>
      </c>
      <c r="K520" s="19" t="n">
        <v>0.75</v>
      </c>
      <c r="L520" s="19" t="n">
        <v>0.375</v>
      </c>
      <c r="M520" s="19" t="n">
        <v>0.375</v>
      </c>
      <c r="N520" s="19" t="n">
        <v>0</v>
      </c>
      <c r="O520" s="19" t="n">
        <v>0.00208333333333333</v>
      </c>
      <c r="P520" s="17" t="n">
        <f aca="false">IF(AND(ISNUMBER(H520),ISNUMBER(I520)),MAX(0,ROUND((I520-H520)*1440,0)-'Bilan agents'!$C$4),0)</f>
        <v>0</v>
      </c>
      <c r="Q520" s="8" t="str">
        <f aca="false">IF(H520="Congé","CP",IF(H520="Férié","F",IF(H520="OFF","R",IF(N520&gt;0,"A",IF(ISNUMBER(I520),"P","NR")))))</f>
        <v>P</v>
      </c>
      <c r="R520" s="18"/>
    </row>
    <row r="521" customFormat="false" ht="15" hidden="false" customHeight="false" outlineLevel="0" collapsed="false">
      <c r="A521" s="18" t="s">
        <v>28</v>
      </c>
      <c r="B521" s="8" t="s">
        <v>29</v>
      </c>
      <c r="C521" s="9" t="n">
        <v>46150</v>
      </c>
      <c r="D521" s="8" t="n">
        <v>2026</v>
      </c>
      <c r="E521" s="8" t="n">
        <v>19</v>
      </c>
      <c r="F521" s="18" t="s">
        <v>126</v>
      </c>
      <c r="G521" s="8" t="s">
        <v>120</v>
      </c>
      <c r="H521" s="19" t="s">
        <v>115</v>
      </c>
      <c r="I521" s="19"/>
      <c r="J521" s="19"/>
      <c r="K521" s="19"/>
      <c r="L521" s="19" t="n">
        <v>0</v>
      </c>
      <c r="M521" s="19"/>
      <c r="N521" s="19" t="n">
        <v>0</v>
      </c>
      <c r="O521" s="19" t="n">
        <v>0</v>
      </c>
      <c r="P521" s="17" t="n">
        <f aca="false">IF(AND(ISNUMBER(H521),ISNUMBER(I521)),MAX(0,ROUND((I521-H521)*1440,0)-'Bilan agents'!$C$4),0)</f>
        <v>0</v>
      </c>
      <c r="Q521" s="8" t="str">
        <f aca="false">IF(H521="Congé","CP",IF(H521="Férié","F",IF(H521="OFF","R",IF(N521&gt;0,"A",IF(ISNUMBER(I521),"P","NR")))))</f>
        <v>R</v>
      </c>
      <c r="R521" s="18"/>
    </row>
    <row r="522" customFormat="false" ht="15" hidden="false" customHeight="false" outlineLevel="0" collapsed="false">
      <c r="A522" s="18" t="s">
        <v>28</v>
      </c>
      <c r="B522" s="8" t="s">
        <v>29</v>
      </c>
      <c r="C522" s="9" t="n">
        <v>46151</v>
      </c>
      <c r="D522" s="8" t="n">
        <v>2026</v>
      </c>
      <c r="E522" s="8" t="n">
        <v>19</v>
      </c>
      <c r="F522" s="18" t="s">
        <v>126</v>
      </c>
      <c r="G522" s="8" t="s">
        <v>121</v>
      </c>
      <c r="H522" s="19" t="s">
        <v>115</v>
      </c>
      <c r="I522" s="19"/>
      <c r="J522" s="19"/>
      <c r="K522" s="19"/>
      <c r="L522" s="19" t="n">
        <v>0</v>
      </c>
      <c r="M522" s="19"/>
      <c r="N522" s="19" t="n">
        <v>0</v>
      </c>
      <c r="O522" s="19" t="n">
        <v>0</v>
      </c>
      <c r="P522" s="17" t="n">
        <f aca="false">IF(AND(ISNUMBER(H522),ISNUMBER(I522)),MAX(0,ROUND((I522-H522)*1440,0)-'Bilan agents'!$C$4),0)</f>
        <v>0</v>
      </c>
      <c r="Q522" s="8" t="str">
        <f aca="false">IF(H522="Congé","CP",IF(H522="Férié","F",IF(H522="OFF","R",IF(N522&gt;0,"A",IF(ISNUMBER(I522),"P","NR")))))</f>
        <v>R</v>
      </c>
      <c r="R522" s="18"/>
    </row>
    <row r="523" customFormat="false" ht="15" hidden="false" customHeight="false" outlineLevel="0" collapsed="false">
      <c r="A523" s="18" t="s">
        <v>28</v>
      </c>
      <c r="B523" s="8" t="s">
        <v>29</v>
      </c>
      <c r="C523" s="9" t="n">
        <v>46152</v>
      </c>
      <c r="D523" s="8" t="n">
        <v>2026</v>
      </c>
      <c r="E523" s="8" t="n">
        <v>19</v>
      </c>
      <c r="F523" s="18" t="s">
        <v>126</v>
      </c>
      <c r="G523" s="8" t="s">
        <v>114</v>
      </c>
      <c r="H523" s="19" t="s">
        <v>115</v>
      </c>
      <c r="I523" s="19"/>
      <c r="J523" s="19"/>
      <c r="K523" s="19"/>
      <c r="L523" s="19" t="n">
        <v>0</v>
      </c>
      <c r="M523" s="19"/>
      <c r="N523" s="19" t="n">
        <v>0</v>
      </c>
      <c r="O523" s="19" t="n">
        <v>0</v>
      </c>
      <c r="P523" s="17" t="n">
        <f aca="false">IF(AND(ISNUMBER(H523),ISNUMBER(I523)),MAX(0,ROUND((I523-H523)*1440,0)-'Bilan agents'!$C$4),0)</f>
        <v>0</v>
      </c>
      <c r="Q523" s="8" t="str">
        <f aca="false">IF(H523="Congé","CP",IF(H523="Férié","F",IF(H523="OFF","R",IF(N523&gt;0,"A",IF(ISNUMBER(I523),"P","NR")))))</f>
        <v>R</v>
      </c>
      <c r="R523" s="18"/>
    </row>
    <row r="524" customFormat="false" ht="15" hidden="false" customHeight="false" outlineLevel="0" collapsed="false">
      <c r="A524" s="18" t="s">
        <v>28</v>
      </c>
      <c r="B524" s="8" t="s">
        <v>29</v>
      </c>
      <c r="C524" s="9" t="n">
        <v>46153</v>
      </c>
      <c r="D524" s="8" t="n">
        <v>2026</v>
      </c>
      <c r="E524" s="8" t="n">
        <v>20</v>
      </c>
      <c r="F524" s="18" t="s">
        <v>126</v>
      </c>
      <c r="G524" s="8" t="s">
        <v>116</v>
      </c>
      <c r="H524" s="19" t="n">
        <v>0.333333333333333</v>
      </c>
      <c r="I524" s="19" t="n">
        <v>0.332638888888889</v>
      </c>
      <c r="J524" s="19" t="n">
        <v>0.75</v>
      </c>
      <c r="K524" s="19" t="n">
        <v>0.75</v>
      </c>
      <c r="L524" s="19" t="n">
        <v>0.375</v>
      </c>
      <c r="M524" s="19" t="n">
        <v>0.375</v>
      </c>
      <c r="N524" s="19" t="n">
        <v>0</v>
      </c>
      <c r="O524" s="19" t="n">
        <v>0</v>
      </c>
      <c r="P524" s="17" t="n">
        <f aca="false">IF(AND(ISNUMBER(H524),ISNUMBER(I524)),MAX(0,ROUND((I524-H524)*1440,0)-'Bilan agents'!$C$4),0)</f>
        <v>0</v>
      </c>
      <c r="Q524" s="8" t="str">
        <f aca="false">IF(H524="Congé","CP",IF(H524="Férié","F",IF(H524="OFF","R",IF(N524&gt;0,"A",IF(ISNUMBER(I524),"P","NR")))))</f>
        <v>P</v>
      </c>
      <c r="R524" s="18"/>
    </row>
    <row r="525" customFormat="false" ht="15" hidden="false" customHeight="false" outlineLevel="0" collapsed="false">
      <c r="A525" s="18" t="s">
        <v>28</v>
      </c>
      <c r="B525" s="8" t="s">
        <v>29</v>
      </c>
      <c r="C525" s="9" t="n">
        <v>46154</v>
      </c>
      <c r="D525" s="8" t="n">
        <v>2026</v>
      </c>
      <c r="E525" s="8" t="n">
        <v>20</v>
      </c>
      <c r="F525" s="18" t="s">
        <v>126</v>
      </c>
      <c r="G525" s="8" t="s">
        <v>117</v>
      </c>
      <c r="H525" s="19" t="n">
        <v>0.333333333333333</v>
      </c>
      <c r="I525" s="19" t="n">
        <v>0.332638888888889</v>
      </c>
      <c r="J525" s="19" t="n">
        <v>0.75</v>
      </c>
      <c r="K525" s="19" t="n">
        <v>0.75</v>
      </c>
      <c r="L525" s="19" t="n">
        <v>0.375</v>
      </c>
      <c r="M525" s="19" t="n">
        <v>0.375</v>
      </c>
      <c r="N525" s="19" t="n">
        <v>0</v>
      </c>
      <c r="O525" s="19" t="n">
        <v>0</v>
      </c>
      <c r="P525" s="17" t="n">
        <f aca="false">IF(AND(ISNUMBER(H525),ISNUMBER(I525)),MAX(0,ROUND((I525-H525)*1440,0)-'Bilan agents'!$C$4),0)</f>
        <v>0</v>
      </c>
      <c r="Q525" s="8" t="str">
        <f aca="false">IF(H525="Congé","CP",IF(H525="Férié","F",IF(H525="OFF","R",IF(N525&gt;0,"A",IF(ISNUMBER(I525),"P","NR")))))</f>
        <v>P</v>
      </c>
      <c r="R525" s="18"/>
    </row>
    <row r="526" customFormat="false" ht="15" hidden="false" customHeight="false" outlineLevel="0" collapsed="false">
      <c r="A526" s="18" t="s">
        <v>28</v>
      </c>
      <c r="B526" s="8" t="s">
        <v>29</v>
      </c>
      <c r="C526" s="9" t="n">
        <v>46155</v>
      </c>
      <c r="D526" s="8" t="n">
        <v>2026</v>
      </c>
      <c r="E526" s="8" t="n">
        <v>20</v>
      </c>
      <c r="F526" s="18" t="s">
        <v>126</v>
      </c>
      <c r="G526" s="8" t="s">
        <v>118</v>
      </c>
      <c r="H526" s="19" t="s">
        <v>43</v>
      </c>
      <c r="I526" s="19"/>
      <c r="J526" s="19"/>
      <c r="K526" s="19"/>
      <c r="L526" s="19" t="n">
        <v>0</v>
      </c>
      <c r="M526" s="19"/>
      <c r="N526" s="19" t="n">
        <v>0</v>
      </c>
      <c r="O526" s="19" t="n">
        <v>0</v>
      </c>
      <c r="P526" s="17" t="n">
        <f aca="false">IF(AND(ISNUMBER(H526),ISNUMBER(I526)),MAX(0,ROUND((I526-H526)*1440,0)-'Bilan agents'!$C$4),0)</f>
        <v>0</v>
      </c>
      <c r="Q526" s="8" t="str">
        <f aca="false">IF(H526="Congé","CP",IF(H526="Férié","F",IF(H526="OFF","R",IF(N526&gt;0,"A",IF(ISNUMBER(I526),"P","NR")))))</f>
        <v>CP</v>
      </c>
      <c r="R526" s="18"/>
    </row>
    <row r="527" customFormat="false" ht="15" hidden="false" customHeight="false" outlineLevel="0" collapsed="false">
      <c r="A527" s="18" t="s">
        <v>28</v>
      </c>
      <c r="B527" s="8" t="s">
        <v>29</v>
      </c>
      <c r="C527" s="9" t="n">
        <v>46156</v>
      </c>
      <c r="D527" s="8" t="n">
        <v>2026</v>
      </c>
      <c r="E527" s="8" t="n">
        <v>20</v>
      </c>
      <c r="F527" s="18" t="s">
        <v>126</v>
      </c>
      <c r="G527" s="8" t="s">
        <v>119</v>
      </c>
      <c r="H527" s="19" t="s">
        <v>115</v>
      </c>
      <c r="I527" s="19"/>
      <c r="J527" s="19"/>
      <c r="K527" s="19"/>
      <c r="L527" s="19" t="n">
        <v>0</v>
      </c>
      <c r="M527" s="19"/>
      <c r="N527" s="19" t="n">
        <v>0</v>
      </c>
      <c r="O527" s="19" t="n">
        <v>0</v>
      </c>
      <c r="P527" s="17" t="n">
        <f aca="false">IF(AND(ISNUMBER(H527),ISNUMBER(I527)),MAX(0,ROUND((I527-H527)*1440,0)-'Bilan agents'!$C$4),0)</f>
        <v>0</v>
      </c>
      <c r="Q527" s="8" t="str">
        <f aca="false">IF(H527="Congé","CP",IF(H527="Férié","F",IF(H527="OFF","R",IF(N527&gt;0,"A",IF(ISNUMBER(I527),"P","NR")))))</f>
        <v>R</v>
      </c>
      <c r="R527" s="18"/>
    </row>
    <row r="528" customFormat="false" ht="15" hidden="false" customHeight="false" outlineLevel="0" collapsed="false">
      <c r="A528" s="18" t="s">
        <v>28</v>
      </c>
      <c r="B528" s="8" t="s">
        <v>29</v>
      </c>
      <c r="C528" s="9" t="n">
        <v>46157</v>
      </c>
      <c r="D528" s="8" t="n">
        <v>2026</v>
      </c>
      <c r="E528" s="8" t="n">
        <v>20</v>
      </c>
      <c r="F528" s="18" t="s">
        <v>126</v>
      </c>
      <c r="G528" s="8" t="s">
        <v>120</v>
      </c>
      <c r="H528" s="19" t="s">
        <v>43</v>
      </c>
      <c r="I528" s="19"/>
      <c r="J528" s="19"/>
      <c r="K528" s="19"/>
      <c r="L528" s="19" t="n">
        <v>0</v>
      </c>
      <c r="M528" s="19"/>
      <c r="N528" s="19" t="n">
        <v>0</v>
      </c>
      <c r="O528" s="19" t="n">
        <v>0</v>
      </c>
      <c r="P528" s="17" t="n">
        <f aca="false">IF(AND(ISNUMBER(H528),ISNUMBER(I528)),MAX(0,ROUND((I528-H528)*1440,0)-'Bilan agents'!$C$4),0)</f>
        <v>0</v>
      </c>
      <c r="Q528" s="8" t="str">
        <f aca="false">IF(H528="Congé","CP",IF(H528="Férié","F",IF(H528="OFF","R",IF(N528&gt;0,"A",IF(ISNUMBER(I528),"P","NR")))))</f>
        <v>CP</v>
      </c>
      <c r="R528" s="18"/>
    </row>
    <row r="529" customFormat="false" ht="15" hidden="false" customHeight="false" outlineLevel="0" collapsed="false">
      <c r="A529" s="18" t="s">
        <v>28</v>
      </c>
      <c r="B529" s="8" t="s">
        <v>29</v>
      </c>
      <c r="C529" s="9" t="n">
        <v>46158</v>
      </c>
      <c r="D529" s="8" t="n">
        <v>2026</v>
      </c>
      <c r="E529" s="8" t="n">
        <v>20</v>
      </c>
      <c r="F529" s="18" t="s">
        <v>126</v>
      </c>
      <c r="G529" s="8" t="s">
        <v>121</v>
      </c>
      <c r="H529" s="19" t="s">
        <v>115</v>
      </c>
      <c r="I529" s="19"/>
      <c r="J529" s="19"/>
      <c r="K529" s="19"/>
      <c r="L529" s="19" t="n">
        <v>0</v>
      </c>
      <c r="M529" s="19"/>
      <c r="N529" s="19" t="n">
        <v>0</v>
      </c>
      <c r="O529" s="19" t="n">
        <v>0</v>
      </c>
      <c r="P529" s="17" t="n">
        <f aca="false">IF(AND(ISNUMBER(H529),ISNUMBER(I529)),MAX(0,ROUND((I529-H529)*1440,0)-'Bilan agents'!$C$4),0)</f>
        <v>0</v>
      </c>
      <c r="Q529" s="8" t="str">
        <f aca="false">IF(H529="Congé","CP",IF(H529="Férié","F",IF(H529="OFF","R",IF(N529&gt;0,"A",IF(ISNUMBER(I529),"P","NR")))))</f>
        <v>R</v>
      </c>
      <c r="R529" s="18"/>
    </row>
    <row r="530" customFormat="false" ht="15" hidden="false" customHeight="false" outlineLevel="0" collapsed="false">
      <c r="A530" s="18" t="s">
        <v>28</v>
      </c>
      <c r="B530" s="8" t="s">
        <v>29</v>
      </c>
      <c r="C530" s="9" t="n">
        <v>46159</v>
      </c>
      <c r="D530" s="8" t="n">
        <v>2026</v>
      </c>
      <c r="E530" s="8" t="n">
        <v>20</v>
      </c>
      <c r="F530" s="18" t="s">
        <v>126</v>
      </c>
      <c r="G530" s="8" t="s">
        <v>114</v>
      </c>
      <c r="H530" s="19" t="s">
        <v>115</v>
      </c>
      <c r="I530" s="19"/>
      <c r="J530" s="19"/>
      <c r="K530" s="19"/>
      <c r="L530" s="19" t="n">
        <v>0</v>
      </c>
      <c r="M530" s="19"/>
      <c r="N530" s="19" t="n">
        <v>0</v>
      </c>
      <c r="O530" s="19" t="n">
        <v>0</v>
      </c>
      <c r="P530" s="17" t="n">
        <f aca="false">IF(AND(ISNUMBER(H530),ISNUMBER(I530)),MAX(0,ROUND((I530-H530)*1440,0)-'Bilan agents'!$C$4),0)</f>
        <v>0</v>
      </c>
      <c r="Q530" s="8" t="str">
        <f aca="false">IF(H530="Congé","CP",IF(H530="Férié","F",IF(H530="OFF","R",IF(N530&gt;0,"A",IF(ISNUMBER(I530),"P","NR")))))</f>
        <v>R</v>
      </c>
      <c r="R530" s="18"/>
    </row>
    <row r="531" customFormat="false" ht="15" hidden="false" customHeight="false" outlineLevel="0" collapsed="false">
      <c r="A531" s="18" t="s">
        <v>28</v>
      </c>
      <c r="B531" s="8" t="s">
        <v>29</v>
      </c>
      <c r="C531" s="9" t="n">
        <v>46160</v>
      </c>
      <c r="D531" s="8" t="n">
        <v>2026</v>
      </c>
      <c r="E531" s="8" t="n">
        <v>21</v>
      </c>
      <c r="F531" s="18" t="s">
        <v>126</v>
      </c>
      <c r="G531" s="8" t="s">
        <v>116</v>
      </c>
      <c r="H531" s="19" t="n">
        <v>0.333333333333333</v>
      </c>
      <c r="I531" s="19" t="n">
        <v>0.331944444444444</v>
      </c>
      <c r="J531" s="19" t="n">
        <v>0.75</v>
      </c>
      <c r="K531" s="19" t="n">
        <v>0.75</v>
      </c>
      <c r="L531" s="19" t="n">
        <v>0.375</v>
      </c>
      <c r="M531" s="19" t="n">
        <v>0.375</v>
      </c>
      <c r="N531" s="19" t="n">
        <v>0</v>
      </c>
      <c r="O531" s="19" t="n">
        <v>0.00138888888888889</v>
      </c>
      <c r="P531" s="17" t="n">
        <f aca="false">IF(AND(ISNUMBER(H531),ISNUMBER(I531)),MAX(0,ROUND((I531-H531)*1440,0)-'Bilan agents'!$C$4),0)</f>
        <v>0</v>
      </c>
      <c r="Q531" s="8" t="str">
        <f aca="false">IF(H531="Congé","CP",IF(H531="Férié","F",IF(H531="OFF","R",IF(N531&gt;0,"A",IF(ISNUMBER(I531),"P","NR")))))</f>
        <v>P</v>
      </c>
      <c r="R531" s="18"/>
    </row>
    <row r="532" customFormat="false" ht="15" hidden="false" customHeight="false" outlineLevel="0" collapsed="false">
      <c r="A532" s="18" t="s">
        <v>28</v>
      </c>
      <c r="B532" s="8" t="s">
        <v>29</v>
      </c>
      <c r="C532" s="9" t="n">
        <v>46161</v>
      </c>
      <c r="D532" s="8" t="n">
        <v>2026</v>
      </c>
      <c r="E532" s="8" t="n">
        <v>21</v>
      </c>
      <c r="F532" s="18" t="s">
        <v>126</v>
      </c>
      <c r="G532" s="8" t="s">
        <v>117</v>
      </c>
      <c r="H532" s="19" t="n">
        <v>0.333333333333333</v>
      </c>
      <c r="I532" s="19" t="n">
        <v>0.333333333333333</v>
      </c>
      <c r="J532" s="19" t="n">
        <v>0.75</v>
      </c>
      <c r="K532" s="19" t="n">
        <v>0.75</v>
      </c>
      <c r="L532" s="19" t="n">
        <v>0.375</v>
      </c>
      <c r="M532" s="19" t="n">
        <v>0.375</v>
      </c>
      <c r="N532" s="19" t="n">
        <v>0</v>
      </c>
      <c r="O532" s="19" t="n">
        <v>0</v>
      </c>
      <c r="P532" s="17" t="n">
        <f aca="false">IF(AND(ISNUMBER(H532),ISNUMBER(I532)),MAX(0,ROUND((I532-H532)*1440,0)-'Bilan agents'!$C$4),0)</f>
        <v>0</v>
      </c>
      <c r="Q532" s="8" t="str">
        <f aca="false">IF(H532="Congé","CP",IF(H532="Férié","F",IF(H532="OFF","R",IF(N532&gt;0,"A",IF(ISNUMBER(I532),"P","NR")))))</f>
        <v>P</v>
      </c>
      <c r="R532" s="18"/>
    </row>
    <row r="533" customFormat="false" ht="15" hidden="false" customHeight="false" outlineLevel="0" collapsed="false">
      <c r="A533" s="18" t="s">
        <v>28</v>
      </c>
      <c r="B533" s="8" t="s">
        <v>29</v>
      </c>
      <c r="C533" s="9" t="n">
        <v>46162</v>
      </c>
      <c r="D533" s="8" t="n">
        <v>2026</v>
      </c>
      <c r="E533" s="8" t="n">
        <v>21</v>
      </c>
      <c r="F533" s="18" t="s">
        <v>126</v>
      </c>
      <c r="G533" s="8" t="s">
        <v>118</v>
      </c>
      <c r="H533" s="19" t="n">
        <v>0.333333333333333</v>
      </c>
      <c r="I533" s="19" t="n">
        <v>0.333333333333333</v>
      </c>
      <c r="J533" s="19" t="n">
        <v>0.75</v>
      </c>
      <c r="K533" s="19" t="n">
        <v>0.75</v>
      </c>
      <c r="L533" s="19" t="n">
        <v>0.375</v>
      </c>
      <c r="M533" s="19" t="n">
        <v>0.375</v>
      </c>
      <c r="N533" s="19" t="n">
        <v>0</v>
      </c>
      <c r="O533" s="19" t="n">
        <v>0</v>
      </c>
      <c r="P533" s="17" t="n">
        <f aca="false">IF(AND(ISNUMBER(H533),ISNUMBER(I533)),MAX(0,ROUND((I533-H533)*1440,0)-'Bilan agents'!$C$4),0)</f>
        <v>0</v>
      </c>
      <c r="Q533" s="8" t="str">
        <f aca="false">IF(H533="Congé","CP",IF(H533="Férié","F",IF(H533="OFF","R",IF(N533&gt;0,"A",IF(ISNUMBER(I533),"P","NR")))))</f>
        <v>P</v>
      </c>
      <c r="R533" s="18"/>
    </row>
    <row r="534" customFormat="false" ht="15" hidden="false" customHeight="false" outlineLevel="0" collapsed="false">
      <c r="A534" s="18" t="s">
        <v>28</v>
      </c>
      <c r="B534" s="8" t="s">
        <v>29</v>
      </c>
      <c r="C534" s="9" t="n">
        <v>46163</v>
      </c>
      <c r="D534" s="8" t="n">
        <v>2026</v>
      </c>
      <c r="E534" s="8" t="n">
        <v>21</v>
      </c>
      <c r="F534" s="18" t="s">
        <v>126</v>
      </c>
      <c r="G534" s="8" t="s">
        <v>119</v>
      </c>
      <c r="H534" s="19" t="n">
        <v>0.333333333333333</v>
      </c>
      <c r="I534" s="19" t="n">
        <v>0.333333333333333</v>
      </c>
      <c r="J534" s="19" t="n">
        <v>0.75</v>
      </c>
      <c r="K534" s="19" t="n">
        <v>0.75</v>
      </c>
      <c r="L534" s="19" t="n">
        <v>0.375</v>
      </c>
      <c r="M534" s="19" t="n">
        <v>0.375</v>
      </c>
      <c r="N534" s="19" t="n">
        <v>0</v>
      </c>
      <c r="O534" s="19" t="n">
        <v>0</v>
      </c>
      <c r="P534" s="17" t="n">
        <f aca="false">IF(AND(ISNUMBER(H534),ISNUMBER(I534)),MAX(0,ROUND((I534-H534)*1440,0)-'Bilan agents'!$C$4),0)</f>
        <v>0</v>
      </c>
      <c r="Q534" s="8" t="str">
        <f aca="false">IF(H534="Congé","CP",IF(H534="Férié","F",IF(H534="OFF","R",IF(N534&gt;0,"A",IF(ISNUMBER(I534),"P","NR")))))</f>
        <v>P</v>
      </c>
      <c r="R534" s="18"/>
    </row>
    <row r="535" customFormat="false" ht="15" hidden="false" customHeight="false" outlineLevel="0" collapsed="false">
      <c r="A535" s="18" t="s">
        <v>28</v>
      </c>
      <c r="B535" s="8" t="s">
        <v>29</v>
      </c>
      <c r="C535" s="9" t="n">
        <v>46164</v>
      </c>
      <c r="D535" s="8" t="n">
        <v>2026</v>
      </c>
      <c r="E535" s="8" t="n">
        <v>21</v>
      </c>
      <c r="F535" s="18" t="s">
        <v>126</v>
      </c>
      <c r="G535" s="8" t="s">
        <v>120</v>
      </c>
      <c r="H535" s="19" t="n">
        <v>0.333333333333333</v>
      </c>
      <c r="I535" s="19" t="n">
        <v>0.333333333333333</v>
      </c>
      <c r="J535" s="19" t="n">
        <v>0.708333333333333</v>
      </c>
      <c r="K535" s="19" t="n">
        <v>0.708333333333333</v>
      </c>
      <c r="L535" s="19" t="n">
        <v>0.333333333333333</v>
      </c>
      <c r="M535" s="19" t="n">
        <v>0.333333333333333</v>
      </c>
      <c r="N535" s="19" t="n">
        <v>0</v>
      </c>
      <c r="O535" s="19" t="n">
        <v>0</v>
      </c>
      <c r="P535" s="17" t="n">
        <f aca="false">IF(AND(ISNUMBER(H535),ISNUMBER(I535)),MAX(0,ROUND((I535-H535)*1440,0)-'Bilan agents'!$C$4),0)</f>
        <v>0</v>
      </c>
      <c r="Q535" s="8" t="str">
        <f aca="false">IF(H535="Congé","CP",IF(H535="Férié","F",IF(H535="OFF","R",IF(N535&gt;0,"A",IF(ISNUMBER(I535),"P","NR")))))</f>
        <v>P</v>
      </c>
      <c r="R535" s="18"/>
    </row>
    <row r="536" customFormat="false" ht="15" hidden="false" customHeight="false" outlineLevel="0" collapsed="false">
      <c r="A536" s="18" t="s">
        <v>28</v>
      </c>
      <c r="B536" s="8" t="s">
        <v>29</v>
      </c>
      <c r="C536" s="9" t="n">
        <v>46165</v>
      </c>
      <c r="D536" s="8" t="n">
        <v>2026</v>
      </c>
      <c r="E536" s="8" t="n">
        <v>21</v>
      </c>
      <c r="F536" s="18" t="s">
        <v>126</v>
      </c>
      <c r="G536" s="8" t="s">
        <v>121</v>
      </c>
      <c r="H536" s="19" t="s">
        <v>115</v>
      </c>
      <c r="I536" s="19"/>
      <c r="J536" s="19"/>
      <c r="K536" s="19"/>
      <c r="L536" s="19" t="n">
        <v>0</v>
      </c>
      <c r="M536" s="19"/>
      <c r="N536" s="19" t="n">
        <v>0</v>
      </c>
      <c r="O536" s="19" t="n">
        <v>0</v>
      </c>
      <c r="P536" s="17" t="n">
        <f aca="false">IF(AND(ISNUMBER(H536),ISNUMBER(I536)),MAX(0,ROUND((I536-H536)*1440,0)-'Bilan agents'!$C$4),0)</f>
        <v>0</v>
      </c>
      <c r="Q536" s="8" t="str">
        <f aca="false">IF(H536="Congé","CP",IF(H536="Férié","F",IF(H536="OFF","R",IF(N536&gt;0,"A",IF(ISNUMBER(I536),"P","NR")))))</f>
        <v>R</v>
      </c>
      <c r="R536" s="18"/>
    </row>
    <row r="537" customFormat="false" ht="15" hidden="false" customHeight="false" outlineLevel="0" collapsed="false">
      <c r="A537" s="18" t="s">
        <v>28</v>
      </c>
      <c r="B537" s="8" t="s">
        <v>29</v>
      </c>
      <c r="C537" s="9" t="n">
        <v>46166</v>
      </c>
      <c r="D537" s="8" t="n">
        <v>2026</v>
      </c>
      <c r="E537" s="8" t="n">
        <v>21</v>
      </c>
      <c r="F537" s="18" t="s">
        <v>126</v>
      </c>
      <c r="G537" s="8" t="s">
        <v>114</v>
      </c>
      <c r="H537" s="19" t="s">
        <v>115</v>
      </c>
      <c r="I537" s="19"/>
      <c r="J537" s="19"/>
      <c r="K537" s="19"/>
      <c r="L537" s="19" t="n">
        <v>0</v>
      </c>
      <c r="M537" s="19"/>
      <c r="N537" s="19" t="n">
        <v>0</v>
      </c>
      <c r="O537" s="19" t="n">
        <v>0</v>
      </c>
      <c r="P537" s="17" t="n">
        <f aca="false">IF(AND(ISNUMBER(H537),ISNUMBER(I537)),MAX(0,ROUND((I537-H537)*1440,0)-'Bilan agents'!$C$4),0)</f>
        <v>0</v>
      </c>
      <c r="Q537" s="8" t="str">
        <f aca="false">IF(H537="Congé","CP",IF(H537="Férié","F",IF(H537="OFF","R",IF(N537&gt;0,"A",IF(ISNUMBER(I537),"P","NR")))))</f>
        <v>R</v>
      </c>
      <c r="R537" s="18"/>
    </row>
    <row r="538" customFormat="false" ht="15" hidden="false" customHeight="false" outlineLevel="0" collapsed="false">
      <c r="A538" s="18" t="s">
        <v>28</v>
      </c>
      <c r="B538" s="8" t="s">
        <v>29</v>
      </c>
      <c r="C538" s="9" t="n">
        <v>46167</v>
      </c>
      <c r="D538" s="8" t="n">
        <v>2026</v>
      </c>
      <c r="E538" s="8" t="n">
        <v>22</v>
      </c>
      <c r="F538" s="18" t="s">
        <v>126</v>
      </c>
      <c r="G538" s="8" t="s">
        <v>116</v>
      </c>
      <c r="H538" s="19" t="s">
        <v>115</v>
      </c>
      <c r="I538" s="19"/>
      <c r="J538" s="19"/>
      <c r="K538" s="19"/>
      <c r="L538" s="19" t="n">
        <v>0</v>
      </c>
      <c r="M538" s="19"/>
      <c r="N538" s="19" t="n">
        <v>0</v>
      </c>
      <c r="O538" s="19" t="n">
        <v>0</v>
      </c>
      <c r="P538" s="17" t="n">
        <f aca="false">IF(AND(ISNUMBER(H538),ISNUMBER(I538)),MAX(0,ROUND((I538-H538)*1440,0)-'Bilan agents'!$C$4),0)</f>
        <v>0</v>
      </c>
      <c r="Q538" s="8" t="str">
        <f aca="false">IF(H538="Congé","CP",IF(H538="Férié","F",IF(H538="OFF","R",IF(N538&gt;0,"A",IF(ISNUMBER(I538),"P","NR")))))</f>
        <v>R</v>
      </c>
      <c r="R538" s="18"/>
    </row>
    <row r="539" customFormat="false" ht="15" hidden="false" customHeight="false" outlineLevel="0" collapsed="false">
      <c r="A539" s="18" t="s">
        <v>28</v>
      </c>
      <c r="B539" s="8" t="s">
        <v>29</v>
      </c>
      <c r="C539" s="9" t="n">
        <v>46168</v>
      </c>
      <c r="D539" s="8" t="n">
        <v>2026</v>
      </c>
      <c r="E539" s="8" t="n">
        <v>22</v>
      </c>
      <c r="F539" s="18" t="s">
        <v>126</v>
      </c>
      <c r="G539" s="8" t="s">
        <v>117</v>
      </c>
      <c r="H539" s="19" t="n">
        <v>0.333333333333333</v>
      </c>
      <c r="I539" s="19" t="n">
        <v>0.332638888888889</v>
      </c>
      <c r="J539" s="19" t="n">
        <v>0.75</v>
      </c>
      <c r="K539" s="19" t="n">
        <v>0.75</v>
      </c>
      <c r="L539" s="19" t="n">
        <v>0.375</v>
      </c>
      <c r="M539" s="19" t="n">
        <v>0.375</v>
      </c>
      <c r="N539" s="19" t="n">
        <v>0</v>
      </c>
      <c r="O539" s="19" t="n">
        <v>0</v>
      </c>
      <c r="P539" s="17" t="n">
        <f aca="false">IF(AND(ISNUMBER(H539),ISNUMBER(I539)),MAX(0,ROUND((I539-H539)*1440,0)-'Bilan agents'!$C$4),0)</f>
        <v>0</v>
      </c>
      <c r="Q539" s="8" t="str">
        <f aca="false">IF(H539="Congé","CP",IF(H539="Férié","F",IF(H539="OFF","R",IF(N539&gt;0,"A",IF(ISNUMBER(I539),"P","NR")))))</f>
        <v>P</v>
      </c>
      <c r="R539" s="18"/>
    </row>
    <row r="540" customFormat="false" ht="15" hidden="false" customHeight="false" outlineLevel="0" collapsed="false">
      <c r="A540" s="18" t="s">
        <v>28</v>
      </c>
      <c r="B540" s="8" t="s">
        <v>29</v>
      </c>
      <c r="C540" s="9" t="n">
        <v>46169</v>
      </c>
      <c r="D540" s="8" t="n">
        <v>2026</v>
      </c>
      <c r="E540" s="8" t="n">
        <v>22</v>
      </c>
      <c r="F540" s="18" t="s">
        <v>126</v>
      </c>
      <c r="G540" s="8" t="s">
        <v>118</v>
      </c>
      <c r="H540" s="19" t="n">
        <v>0.333333333333333</v>
      </c>
      <c r="I540" s="19" t="n">
        <v>0.334722222222222</v>
      </c>
      <c r="J540" s="19" t="n">
        <v>0.75</v>
      </c>
      <c r="K540" s="19" t="n">
        <v>0.75</v>
      </c>
      <c r="L540" s="19" t="n">
        <v>0.375</v>
      </c>
      <c r="M540" s="19" t="n">
        <v>0.375</v>
      </c>
      <c r="N540" s="19" t="n">
        <v>0</v>
      </c>
      <c r="O540" s="19" t="n">
        <v>0</v>
      </c>
      <c r="P540" s="17" t="n">
        <f aca="false">IF(AND(ISNUMBER(H540),ISNUMBER(I540)),MAX(0,ROUND((I540-H540)*1440,0)-'Bilan agents'!$C$4),0)</f>
        <v>2</v>
      </c>
      <c r="Q540" s="8" t="str">
        <f aca="false">IF(H540="Congé","CP",IF(H540="Férié","F",IF(H540="OFF","R",IF(N540&gt;0,"A",IF(ISNUMBER(I540),"P","NR")))))</f>
        <v>P</v>
      </c>
      <c r="R540" s="18"/>
    </row>
    <row r="541" customFormat="false" ht="15" hidden="false" customHeight="false" outlineLevel="0" collapsed="false">
      <c r="A541" s="18" t="s">
        <v>28</v>
      </c>
      <c r="B541" s="8" t="s">
        <v>29</v>
      </c>
      <c r="C541" s="9" t="n">
        <v>46170</v>
      </c>
      <c r="D541" s="8" t="n">
        <v>2026</v>
      </c>
      <c r="E541" s="8" t="n">
        <v>22</v>
      </c>
      <c r="F541" s="18" t="s">
        <v>126</v>
      </c>
      <c r="G541" s="8" t="s">
        <v>119</v>
      </c>
      <c r="H541" s="19" t="n">
        <v>0.333333333333333</v>
      </c>
      <c r="I541" s="19" t="n">
        <v>0.333333333333333</v>
      </c>
      <c r="J541" s="19" t="n">
        <v>0.75</v>
      </c>
      <c r="K541" s="19" t="n">
        <v>0.75</v>
      </c>
      <c r="L541" s="19" t="n">
        <v>0.375</v>
      </c>
      <c r="M541" s="19" t="n">
        <v>0.375</v>
      </c>
      <c r="N541" s="19" t="n">
        <v>0</v>
      </c>
      <c r="O541" s="19" t="n">
        <v>0</v>
      </c>
      <c r="P541" s="17" t="n">
        <f aca="false">IF(AND(ISNUMBER(H541),ISNUMBER(I541)),MAX(0,ROUND((I541-H541)*1440,0)-'Bilan agents'!$C$4),0)</f>
        <v>0</v>
      </c>
      <c r="Q541" s="8" t="str">
        <f aca="false">IF(H541="Congé","CP",IF(H541="Férié","F",IF(H541="OFF","R",IF(N541&gt;0,"A",IF(ISNUMBER(I541),"P","NR")))))</f>
        <v>P</v>
      </c>
      <c r="R541" s="18"/>
    </row>
    <row r="542" customFormat="false" ht="15" hidden="false" customHeight="false" outlineLevel="0" collapsed="false">
      <c r="A542" s="18" t="s">
        <v>28</v>
      </c>
      <c r="B542" s="8" t="s">
        <v>29</v>
      </c>
      <c r="C542" s="9" t="n">
        <v>46171</v>
      </c>
      <c r="D542" s="8" t="n">
        <v>2026</v>
      </c>
      <c r="E542" s="8" t="n">
        <v>22</v>
      </c>
      <c r="F542" s="18" t="s">
        <v>126</v>
      </c>
      <c r="G542" s="8" t="s">
        <v>120</v>
      </c>
      <c r="H542" s="19" t="n">
        <v>0.333333333333333</v>
      </c>
      <c r="I542" s="19" t="n">
        <v>0.333333333333333</v>
      </c>
      <c r="J542" s="19" t="n">
        <v>0.708333333333333</v>
      </c>
      <c r="K542" s="19" t="n">
        <v>0.708333333333333</v>
      </c>
      <c r="L542" s="19" t="n">
        <v>0.333333333333333</v>
      </c>
      <c r="M542" s="19" t="n">
        <v>0.333333333333333</v>
      </c>
      <c r="N542" s="19" t="n">
        <v>0</v>
      </c>
      <c r="O542" s="19" t="n">
        <v>0</v>
      </c>
      <c r="P542" s="17" t="n">
        <f aca="false">IF(AND(ISNUMBER(H542),ISNUMBER(I542)),MAX(0,ROUND((I542-H542)*1440,0)-'Bilan agents'!$C$4),0)</f>
        <v>0</v>
      </c>
      <c r="Q542" s="8" t="str">
        <f aca="false">IF(H542="Congé","CP",IF(H542="Férié","F",IF(H542="OFF","R",IF(N542&gt;0,"A",IF(ISNUMBER(I542),"P","NR")))))</f>
        <v>P</v>
      </c>
      <c r="R542" s="18"/>
    </row>
    <row r="543" customFormat="false" ht="15" hidden="false" customHeight="false" outlineLevel="0" collapsed="false">
      <c r="A543" s="18" t="s">
        <v>28</v>
      </c>
      <c r="B543" s="8" t="s">
        <v>29</v>
      </c>
      <c r="C543" s="9" t="n">
        <v>46172</v>
      </c>
      <c r="D543" s="8" t="n">
        <v>2026</v>
      </c>
      <c r="E543" s="8" t="n">
        <v>22</v>
      </c>
      <c r="F543" s="18" t="s">
        <v>126</v>
      </c>
      <c r="G543" s="8" t="s">
        <v>121</v>
      </c>
      <c r="H543" s="19" t="s">
        <v>115</v>
      </c>
      <c r="I543" s="19"/>
      <c r="J543" s="19"/>
      <c r="K543" s="19"/>
      <c r="L543" s="19" t="n">
        <v>0</v>
      </c>
      <c r="M543" s="19"/>
      <c r="N543" s="19" t="n">
        <v>0</v>
      </c>
      <c r="O543" s="19" t="n">
        <v>0</v>
      </c>
      <c r="P543" s="17" t="n">
        <f aca="false">IF(AND(ISNUMBER(H543),ISNUMBER(I543)),MAX(0,ROUND((I543-H543)*1440,0)-'Bilan agents'!$C$4),0)</f>
        <v>0</v>
      </c>
      <c r="Q543" s="8" t="str">
        <f aca="false">IF(H543="Congé","CP",IF(H543="Férié","F",IF(H543="OFF","R",IF(N543&gt;0,"A",IF(ISNUMBER(I543),"P","NR")))))</f>
        <v>R</v>
      </c>
      <c r="R543" s="18"/>
    </row>
    <row r="544" customFormat="false" ht="15" hidden="false" customHeight="false" outlineLevel="0" collapsed="false">
      <c r="A544" s="18" t="s">
        <v>28</v>
      </c>
      <c r="B544" s="8" t="s">
        <v>29</v>
      </c>
      <c r="C544" s="9" t="n">
        <v>46173</v>
      </c>
      <c r="D544" s="8" t="n">
        <v>2026</v>
      </c>
      <c r="E544" s="8" t="n">
        <v>22</v>
      </c>
      <c r="F544" s="18" t="s">
        <v>126</v>
      </c>
      <c r="G544" s="8" t="s">
        <v>114</v>
      </c>
      <c r="H544" s="19" t="s">
        <v>115</v>
      </c>
      <c r="I544" s="19"/>
      <c r="J544" s="19"/>
      <c r="K544" s="19"/>
      <c r="L544" s="19" t="n">
        <v>0</v>
      </c>
      <c r="M544" s="19"/>
      <c r="N544" s="19" t="n">
        <v>0</v>
      </c>
      <c r="O544" s="19" t="n">
        <v>0</v>
      </c>
      <c r="P544" s="17" t="n">
        <f aca="false">IF(AND(ISNUMBER(H544),ISNUMBER(I544)),MAX(0,ROUND((I544-H544)*1440,0)-'Bilan agents'!$C$4),0)</f>
        <v>0</v>
      </c>
      <c r="Q544" s="8" t="str">
        <f aca="false">IF(H544="Congé","CP",IF(H544="Férié","F",IF(H544="OFF","R",IF(N544&gt;0,"A",IF(ISNUMBER(I544),"P","NR")))))</f>
        <v>R</v>
      </c>
      <c r="R544" s="18"/>
    </row>
    <row r="545" customFormat="false" ht="15" hidden="false" customHeight="false" outlineLevel="0" collapsed="false">
      <c r="A545" s="18" t="s">
        <v>28</v>
      </c>
      <c r="B545" s="8" t="s">
        <v>29</v>
      </c>
      <c r="C545" s="9" t="n">
        <v>46174</v>
      </c>
      <c r="D545" s="8" t="n">
        <v>2026</v>
      </c>
      <c r="E545" s="8" t="n">
        <v>23</v>
      </c>
      <c r="F545" s="18" t="s">
        <v>127</v>
      </c>
      <c r="G545" s="8" t="s">
        <v>116</v>
      </c>
      <c r="H545" s="19" t="n">
        <v>0.333333333333333</v>
      </c>
      <c r="I545" s="19" t="n">
        <v>0.3375</v>
      </c>
      <c r="J545" s="19" t="n">
        <v>0.75</v>
      </c>
      <c r="K545" s="19" t="n">
        <v>0.75</v>
      </c>
      <c r="L545" s="19" t="n">
        <v>0.375</v>
      </c>
      <c r="M545" s="19" t="n">
        <v>0.375</v>
      </c>
      <c r="N545" s="19" t="n">
        <v>0</v>
      </c>
      <c r="O545" s="19" t="n">
        <v>0</v>
      </c>
      <c r="P545" s="17" t="n">
        <f aca="false">IF(AND(ISNUMBER(H545),ISNUMBER(I545)),MAX(0,ROUND((I545-H545)*1440,0)-'Bilan agents'!$C$4),0)</f>
        <v>6</v>
      </c>
      <c r="Q545" s="8" t="str">
        <f aca="false">IF(H545="Congé","CP",IF(H545="Férié","F",IF(H545="OFF","R",IF(N545&gt;0,"A",IF(ISNUMBER(I545),"P","NR")))))</f>
        <v>P</v>
      </c>
      <c r="R545" s="18"/>
    </row>
    <row r="546" customFormat="false" ht="15" hidden="false" customHeight="false" outlineLevel="0" collapsed="false">
      <c r="A546" s="18" t="s">
        <v>28</v>
      </c>
      <c r="B546" s="8" t="s">
        <v>29</v>
      </c>
      <c r="C546" s="9" t="n">
        <v>46175</v>
      </c>
      <c r="D546" s="8" t="n">
        <v>2026</v>
      </c>
      <c r="E546" s="8" t="n">
        <v>23</v>
      </c>
      <c r="F546" s="18" t="s">
        <v>127</v>
      </c>
      <c r="G546" s="8" t="s">
        <v>117</v>
      </c>
      <c r="H546" s="19" t="n">
        <v>0.333333333333333</v>
      </c>
      <c r="I546" s="19" t="n">
        <v>0.331944444444444</v>
      </c>
      <c r="J546" s="19" t="n">
        <v>0.75</v>
      </c>
      <c r="K546" s="19" t="n">
        <v>0.75</v>
      </c>
      <c r="L546" s="19" t="n">
        <v>0.375</v>
      </c>
      <c r="M546" s="19" t="n">
        <v>0.375</v>
      </c>
      <c r="N546" s="19" t="n">
        <v>0</v>
      </c>
      <c r="O546" s="19" t="n">
        <v>0.00138888888888889</v>
      </c>
      <c r="P546" s="17" t="n">
        <f aca="false">IF(AND(ISNUMBER(H546),ISNUMBER(I546)),MAX(0,ROUND((I546-H546)*1440,0)-'Bilan agents'!$C$4),0)</f>
        <v>0</v>
      </c>
      <c r="Q546" s="8" t="str">
        <f aca="false">IF(H546="Congé","CP",IF(H546="Férié","F",IF(H546="OFF","R",IF(N546&gt;0,"A",IF(ISNUMBER(I546),"P","NR")))))</f>
        <v>P</v>
      </c>
      <c r="R546" s="18"/>
    </row>
    <row r="547" customFormat="false" ht="15" hidden="false" customHeight="false" outlineLevel="0" collapsed="false">
      <c r="A547" s="18" t="s">
        <v>28</v>
      </c>
      <c r="B547" s="8" t="s">
        <v>29</v>
      </c>
      <c r="C547" s="9" t="n">
        <v>46176</v>
      </c>
      <c r="D547" s="8" t="n">
        <v>2026</v>
      </c>
      <c r="E547" s="8" t="n">
        <v>23</v>
      </c>
      <c r="F547" s="18" t="s">
        <v>127</v>
      </c>
      <c r="G547" s="8" t="s">
        <v>118</v>
      </c>
      <c r="H547" s="19" t="n">
        <v>0.333333333333333</v>
      </c>
      <c r="I547" s="19" t="n">
        <v>0.330555555555556</v>
      </c>
      <c r="J547" s="19" t="n">
        <v>0.75</v>
      </c>
      <c r="K547" s="19" t="n">
        <v>0.75</v>
      </c>
      <c r="L547" s="19" t="n">
        <v>0.375</v>
      </c>
      <c r="M547" s="19" t="n">
        <v>0.375</v>
      </c>
      <c r="N547" s="19" t="n">
        <v>0</v>
      </c>
      <c r="O547" s="19" t="n">
        <v>0.00277777777777778</v>
      </c>
      <c r="P547" s="17" t="n">
        <f aca="false">IF(AND(ISNUMBER(H547),ISNUMBER(I547)),MAX(0,ROUND((I547-H547)*1440,0)-'Bilan agents'!$C$4),0)</f>
        <v>0</v>
      </c>
      <c r="Q547" s="8" t="str">
        <f aca="false">IF(H547="Congé","CP",IF(H547="Férié","F",IF(H547="OFF","R",IF(N547&gt;0,"A",IF(ISNUMBER(I547),"P","NR")))))</f>
        <v>P</v>
      </c>
      <c r="R547" s="18"/>
    </row>
    <row r="548" customFormat="false" ht="15" hidden="false" customHeight="false" outlineLevel="0" collapsed="false">
      <c r="A548" s="18" t="s">
        <v>28</v>
      </c>
      <c r="B548" s="8" t="s">
        <v>29</v>
      </c>
      <c r="C548" s="9" t="n">
        <v>46177</v>
      </c>
      <c r="D548" s="8" t="n">
        <v>2026</v>
      </c>
      <c r="E548" s="8" t="n">
        <v>23</v>
      </c>
      <c r="F548" s="18" t="s">
        <v>127</v>
      </c>
      <c r="G548" s="8" t="s">
        <v>119</v>
      </c>
      <c r="H548" s="19" t="n">
        <v>0.333333333333333</v>
      </c>
      <c r="I548" s="19" t="n">
        <v>0.331944444444444</v>
      </c>
      <c r="J548" s="19" t="n">
        <v>0.75</v>
      </c>
      <c r="K548" s="19" t="n">
        <v>0.75</v>
      </c>
      <c r="L548" s="19" t="n">
        <v>0.375</v>
      </c>
      <c r="M548" s="19" t="n">
        <v>0.375</v>
      </c>
      <c r="N548" s="19" t="n">
        <v>0</v>
      </c>
      <c r="O548" s="19" t="n">
        <v>0.00138888888888889</v>
      </c>
      <c r="P548" s="17" t="n">
        <f aca="false">IF(AND(ISNUMBER(H548),ISNUMBER(I548)),MAX(0,ROUND((I548-H548)*1440,0)-'Bilan agents'!$C$4),0)</f>
        <v>0</v>
      </c>
      <c r="Q548" s="8" t="str">
        <f aca="false">IF(H548="Congé","CP",IF(H548="Férié","F",IF(H548="OFF","R",IF(N548&gt;0,"A",IF(ISNUMBER(I548),"P","NR")))))</f>
        <v>P</v>
      </c>
      <c r="R548" s="18"/>
    </row>
    <row r="549" customFormat="false" ht="15" hidden="false" customHeight="false" outlineLevel="0" collapsed="false">
      <c r="A549" s="18" t="s">
        <v>28</v>
      </c>
      <c r="B549" s="8" t="s">
        <v>29</v>
      </c>
      <c r="C549" s="9" t="n">
        <v>46178</v>
      </c>
      <c r="D549" s="8" t="n">
        <v>2026</v>
      </c>
      <c r="E549" s="8" t="n">
        <v>23</v>
      </c>
      <c r="F549" s="18" t="s">
        <v>127</v>
      </c>
      <c r="G549" s="8" t="s">
        <v>120</v>
      </c>
      <c r="H549" s="19" t="n">
        <v>0.333333333333333</v>
      </c>
      <c r="I549" s="19" t="n">
        <v>0.332638888888889</v>
      </c>
      <c r="J549" s="19" t="n">
        <v>0.708333333333333</v>
      </c>
      <c r="K549" s="19" t="n">
        <v>0.708333333333333</v>
      </c>
      <c r="L549" s="19" t="n">
        <v>0.333333333333333</v>
      </c>
      <c r="M549" s="19" t="n">
        <v>0.333333333333333</v>
      </c>
      <c r="N549" s="19" t="n">
        <v>0</v>
      </c>
      <c r="O549" s="19" t="n">
        <v>0</v>
      </c>
      <c r="P549" s="17" t="n">
        <f aca="false">IF(AND(ISNUMBER(H549),ISNUMBER(I549)),MAX(0,ROUND((I549-H549)*1440,0)-'Bilan agents'!$C$4),0)</f>
        <v>0</v>
      </c>
      <c r="Q549" s="8" t="str">
        <f aca="false">IF(H549="Congé","CP",IF(H549="Férié","F",IF(H549="OFF","R",IF(N549&gt;0,"A",IF(ISNUMBER(I549),"P","NR")))))</f>
        <v>P</v>
      </c>
      <c r="R549" s="18"/>
    </row>
    <row r="550" customFormat="false" ht="15" hidden="false" customHeight="false" outlineLevel="0" collapsed="false">
      <c r="A550" s="18" t="s">
        <v>28</v>
      </c>
      <c r="B550" s="8" t="s">
        <v>29</v>
      </c>
      <c r="C550" s="9" t="n">
        <v>46179</v>
      </c>
      <c r="D550" s="8" t="n">
        <v>2026</v>
      </c>
      <c r="E550" s="8" t="n">
        <v>23</v>
      </c>
      <c r="F550" s="18" t="s">
        <v>127</v>
      </c>
      <c r="G550" s="8" t="s">
        <v>121</v>
      </c>
      <c r="H550" s="19" t="s">
        <v>115</v>
      </c>
      <c r="I550" s="19"/>
      <c r="J550" s="19"/>
      <c r="K550" s="19"/>
      <c r="L550" s="19" t="n">
        <v>0</v>
      </c>
      <c r="M550" s="19"/>
      <c r="N550" s="19" t="n">
        <v>0</v>
      </c>
      <c r="O550" s="19" t="n">
        <v>0</v>
      </c>
      <c r="P550" s="17" t="n">
        <f aca="false">IF(AND(ISNUMBER(H550),ISNUMBER(I550)),MAX(0,ROUND((I550-H550)*1440,0)-'Bilan agents'!$C$4),0)</f>
        <v>0</v>
      </c>
      <c r="Q550" s="8" t="str">
        <f aca="false">IF(H550="Congé","CP",IF(H550="Férié","F",IF(H550="OFF","R",IF(N550&gt;0,"A",IF(ISNUMBER(I550),"P","NR")))))</f>
        <v>R</v>
      </c>
      <c r="R550" s="18"/>
    </row>
    <row r="551" customFormat="false" ht="15" hidden="false" customHeight="false" outlineLevel="0" collapsed="false">
      <c r="A551" s="18" t="s">
        <v>28</v>
      </c>
      <c r="B551" s="8" t="s">
        <v>29</v>
      </c>
      <c r="C551" s="9" t="n">
        <v>46180</v>
      </c>
      <c r="D551" s="8" t="n">
        <v>2026</v>
      </c>
      <c r="E551" s="8" t="n">
        <v>23</v>
      </c>
      <c r="F551" s="18" t="s">
        <v>127</v>
      </c>
      <c r="G551" s="8" t="s">
        <v>114</v>
      </c>
      <c r="H551" s="19" t="s">
        <v>115</v>
      </c>
      <c r="I551" s="19"/>
      <c r="J551" s="19"/>
      <c r="K551" s="19"/>
      <c r="L551" s="19" t="n">
        <v>0</v>
      </c>
      <c r="M551" s="19"/>
      <c r="N551" s="19" t="n">
        <v>0</v>
      </c>
      <c r="O551" s="19" t="n">
        <v>0</v>
      </c>
      <c r="P551" s="17" t="n">
        <f aca="false">IF(AND(ISNUMBER(H551),ISNUMBER(I551)),MAX(0,ROUND((I551-H551)*1440,0)-'Bilan agents'!$C$4),0)</f>
        <v>0</v>
      </c>
      <c r="Q551" s="8" t="str">
        <f aca="false">IF(H551="Congé","CP",IF(H551="Férié","F",IF(H551="OFF","R",IF(N551&gt;0,"A",IF(ISNUMBER(I551),"P","NR")))))</f>
        <v>R</v>
      </c>
      <c r="R551" s="18"/>
    </row>
    <row r="552" customFormat="false" ht="15" hidden="false" customHeight="false" outlineLevel="0" collapsed="false">
      <c r="A552" s="18" t="s">
        <v>28</v>
      </c>
      <c r="B552" s="8" t="s">
        <v>29</v>
      </c>
      <c r="C552" s="9" t="n">
        <v>46181</v>
      </c>
      <c r="D552" s="8" t="n">
        <v>2026</v>
      </c>
      <c r="E552" s="8" t="n">
        <v>24</v>
      </c>
      <c r="F552" s="18" t="s">
        <v>127</v>
      </c>
      <c r="G552" s="8" t="s">
        <v>116</v>
      </c>
      <c r="H552" s="19" t="n">
        <v>0.333333333333333</v>
      </c>
      <c r="I552" s="19" t="n">
        <v>0.331944444444444</v>
      </c>
      <c r="J552" s="19" t="n">
        <v>0.75</v>
      </c>
      <c r="K552" s="19" t="n">
        <v>0.75</v>
      </c>
      <c r="L552" s="19" t="n">
        <v>0.375</v>
      </c>
      <c r="M552" s="19" t="n">
        <v>0.375</v>
      </c>
      <c r="N552" s="19" t="n">
        <v>0</v>
      </c>
      <c r="O552" s="19" t="n">
        <v>0.00138888888888889</v>
      </c>
      <c r="P552" s="17" t="n">
        <f aca="false">IF(AND(ISNUMBER(H552),ISNUMBER(I552)),MAX(0,ROUND((I552-H552)*1440,0)-'Bilan agents'!$C$4),0)</f>
        <v>0</v>
      </c>
      <c r="Q552" s="8" t="str">
        <f aca="false">IF(H552="Congé","CP",IF(H552="Férié","F",IF(H552="OFF","R",IF(N552&gt;0,"A",IF(ISNUMBER(I552),"P","NR")))))</f>
        <v>P</v>
      </c>
      <c r="R552" s="18"/>
    </row>
    <row r="553" customFormat="false" ht="15" hidden="false" customHeight="false" outlineLevel="0" collapsed="false">
      <c r="A553" s="18" t="s">
        <v>28</v>
      </c>
      <c r="B553" s="8" t="s">
        <v>29</v>
      </c>
      <c r="C553" s="9" t="n">
        <v>46182</v>
      </c>
      <c r="D553" s="8" t="n">
        <v>2026</v>
      </c>
      <c r="E553" s="8" t="n">
        <v>24</v>
      </c>
      <c r="F553" s="18" t="s">
        <v>127</v>
      </c>
      <c r="G553" s="8" t="s">
        <v>117</v>
      </c>
      <c r="H553" s="19" t="n">
        <v>0.333333333333333</v>
      </c>
      <c r="I553" s="19" t="n">
        <v>0.333333333333333</v>
      </c>
      <c r="J553" s="19" t="n">
        <v>0.75</v>
      </c>
      <c r="K553" s="19" t="n">
        <v>0.75</v>
      </c>
      <c r="L553" s="19" t="n">
        <v>0.375</v>
      </c>
      <c r="M553" s="19" t="n">
        <v>0.375</v>
      </c>
      <c r="N553" s="19" t="n">
        <v>0</v>
      </c>
      <c r="O553" s="19" t="n">
        <v>0</v>
      </c>
      <c r="P553" s="17" t="n">
        <f aca="false">IF(AND(ISNUMBER(H553),ISNUMBER(I553)),MAX(0,ROUND((I553-H553)*1440,0)-'Bilan agents'!$C$4),0)</f>
        <v>0</v>
      </c>
      <c r="Q553" s="8" t="str">
        <f aca="false">IF(H553="Congé","CP",IF(H553="Férié","F",IF(H553="OFF","R",IF(N553&gt;0,"A",IF(ISNUMBER(I553),"P","NR")))))</f>
        <v>P</v>
      </c>
      <c r="R553" s="18"/>
    </row>
    <row r="554" customFormat="false" ht="15" hidden="false" customHeight="false" outlineLevel="0" collapsed="false">
      <c r="A554" s="18" t="s">
        <v>28</v>
      </c>
      <c r="B554" s="8" t="s">
        <v>29</v>
      </c>
      <c r="C554" s="9" t="n">
        <v>46183</v>
      </c>
      <c r="D554" s="8" t="n">
        <v>2026</v>
      </c>
      <c r="E554" s="8" t="n">
        <v>24</v>
      </c>
      <c r="F554" s="18" t="s">
        <v>127</v>
      </c>
      <c r="G554" s="8" t="s">
        <v>118</v>
      </c>
      <c r="H554" s="19" t="n">
        <v>0.333333333333333</v>
      </c>
      <c r="I554" s="19" t="n">
        <v>0.333333333333333</v>
      </c>
      <c r="J554" s="19" t="n">
        <v>0.75</v>
      </c>
      <c r="K554" s="19" t="n">
        <v>0.75</v>
      </c>
      <c r="L554" s="19" t="n">
        <v>0.375</v>
      </c>
      <c r="M554" s="19" t="n">
        <v>0.375</v>
      </c>
      <c r="N554" s="19" t="n">
        <v>0</v>
      </c>
      <c r="O554" s="19" t="n">
        <v>0</v>
      </c>
      <c r="P554" s="17" t="n">
        <f aca="false">IF(AND(ISNUMBER(H554),ISNUMBER(I554)),MAX(0,ROUND((I554-H554)*1440,0)-'Bilan agents'!$C$4),0)</f>
        <v>0</v>
      </c>
      <c r="Q554" s="8" t="str">
        <f aca="false">IF(H554="Congé","CP",IF(H554="Férié","F",IF(H554="OFF","R",IF(N554&gt;0,"A",IF(ISNUMBER(I554),"P","NR")))))</f>
        <v>P</v>
      </c>
      <c r="R554" s="18"/>
    </row>
    <row r="555" customFormat="false" ht="15" hidden="false" customHeight="false" outlineLevel="0" collapsed="false">
      <c r="A555" s="18" t="s">
        <v>28</v>
      </c>
      <c r="B555" s="8" t="s">
        <v>29</v>
      </c>
      <c r="C555" s="9" t="n">
        <v>46184</v>
      </c>
      <c r="D555" s="8" t="n">
        <v>2026</v>
      </c>
      <c r="E555" s="8" t="n">
        <v>24</v>
      </c>
      <c r="F555" s="18" t="s">
        <v>127</v>
      </c>
      <c r="G555" s="8" t="s">
        <v>119</v>
      </c>
      <c r="H555" s="19" t="n">
        <v>0.333333333333333</v>
      </c>
      <c r="I555" s="19" t="n">
        <v>0.332638888888889</v>
      </c>
      <c r="J555" s="19" t="n">
        <v>0.75</v>
      </c>
      <c r="K555" s="19" t="n">
        <v>0.75</v>
      </c>
      <c r="L555" s="19" t="n">
        <v>0.375</v>
      </c>
      <c r="M555" s="19" t="n">
        <v>0.375</v>
      </c>
      <c r="N555" s="19" t="n">
        <v>0</v>
      </c>
      <c r="O555" s="19" t="n">
        <v>0</v>
      </c>
      <c r="P555" s="17" t="n">
        <f aca="false">IF(AND(ISNUMBER(H555),ISNUMBER(I555)),MAX(0,ROUND((I555-H555)*1440,0)-'Bilan agents'!$C$4),0)</f>
        <v>0</v>
      </c>
      <c r="Q555" s="8" t="str">
        <f aca="false">IF(H555="Congé","CP",IF(H555="Férié","F",IF(H555="OFF","R",IF(N555&gt;0,"A",IF(ISNUMBER(I555),"P","NR")))))</f>
        <v>P</v>
      </c>
      <c r="R555" s="18"/>
    </row>
    <row r="556" customFormat="false" ht="15" hidden="false" customHeight="false" outlineLevel="0" collapsed="false">
      <c r="A556" s="18" t="s">
        <v>28</v>
      </c>
      <c r="B556" s="8" t="s">
        <v>29</v>
      </c>
      <c r="C556" s="9" t="n">
        <v>46185</v>
      </c>
      <c r="D556" s="8" t="n">
        <v>2026</v>
      </c>
      <c r="E556" s="8" t="n">
        <v>24</v>
      </c>
      <c r="F556" s="18" t="s">
        <v>127</v>
      </c>
      <c r="G556" s="8" t="s">
        <v>120</v>
      </c>
      <c r="H556" s="19" t="n">
        <v>0.333333333333333</v>
      </c>
      <c r="I556" s="19" t="n">
        <v>0.333333333333333</v>
      </c>
      <c r="J556" s="19" t="n">
        <v>0.708333333333333</v>
      </c>
      <c r="K556" s="19" t="n">
        <v>0.708333333333333</v>
      </c>
      <c r="L556" s="19" t="n">
        <v>0.333333333333333</v>
      </c>
      <c r="M556" s="19" t="n">
        <v>0.333333333333333</v>
      </c>
      <c r="N556" s="19" t="n">
        <v>0</v>
      </c>
      <c r="O556" s="19" t="n">
        <v>0</v>
      </c>
      <c r="P556" s="17" t="n">
        <f aca="false">IF(AND(ISNUMBER(H556),ISNUMBER(I556)),MAX(0,ROUND((I556-H556)*1440,0)-'Bilan agents'!$C$4),0)</f>
        <v>0</v>
      </c>
      <c r="Q556" s="8" t="str">
        <f aca="false">IF(H556="Congé","CP",IF(H556="Férié","F",IF(H556="OFF","R",IF(N556&gt;0,"A",IF(ISNUMBER(I556),"P","NR")))))</f>
        <v>P</v>
      </c>
      <c r="R556" s="18"/>
    </row>
    <row r="557" customFormat="false" ht="15" hidden="false" customHeight="false" outlineLevel="0" collapsed="false">
      <c r="A557" s="18" t="s">
        <v>28</v>
      </c>
      <c r="B557" s="8" t="s">
        <v>29</v>
      </c>
      <c r="C557" s="9" t="n">
        <v>46186</v>
      </c>
      <c r="D557" s="8" t="n">
        <v>2026</v>
      </c>
      <c r="E557" s="8" t="n">
        <v>24</v>
      </c>
      <c r="F557" s="18" t="s">
        <v>127</v>
      </c>
      <c r="G557" s="8" t="s">
        <v>121</v>
      </c>
      <c r="H557" s="19" t="s">
        <v>115</v>
      </c>
      <c r="I557" s="19"/>
      <c r="J557" s="19"/>
      <c r="K557" s="19"/>
      <c r="L557" s="19" t="n">
        <v>0</v>
      </c>
      <c r="M557" s="19"/>
      <c r="N557" s="19" t="n">
        <v>0</v>
      </c>
      <c r="O557" s="19" t="n">
        <v>0</v>
      </c>
      <c r="P557" s="17" t="n">
        <f aca="false">IF(AND(ISNUMBER(H557),ISNUMBER(I557)),MAX(0,ROUND((I557-H557)*1440,0)-'Bilan agents'!$C$4),0)</f>
        <v>0</v>
      </c>
      <c r="Q557" s="8" t="str">
        <f aca="false">IF(H557="Congé","CP",IF(H557="Férié","F",IF(H557="OFF","R",IF(N557&gt;0,"A",IF(ISNUMBER(I557),"P","NR")))))</f>
        <v>R</v>
      </c>
      <c r="R557" s="18"/>
    </row>
    <row r="558" customFormat="false" ht="15" hidden="false" customHeight="false" outlineLevel="0" collapsed="false">
      <c r="A558" s="18" t="s">
        <v>28</v>
      </c>
      <c r="B558" s="8" t="s">
        <v>29</v>
      </c>
      <c r="C558" s="9" t="n">
        <v>46187</v>
      </c>
      <c r="D558" s="8" t="n">
        <v>2026</v>
      </c>
      <c r="E558" s="8" t="n">
        <v>24</v>
      </c>
      <c r="F558" s="18" t="s">
        <v>127</v>
      </c>
      <c r="G558" s="8" t="s">
        <v>114</v>
      </c>
      <c r="H558" s="19" t="s">
        <v>115</v>
      </c>
      <c r="I558" s="19"/>
      <c r="J558" s="19"/>
      <c r="K558" s="19"/>
      <c r="L558" s="19" t="n">
        <v>0</v>
      </c>
      <c r="M558" s="19"/>
      <c r="N558" s="19" t="n">
        <v>0</v>
      </c>
      <c r="O558" s="19" t="n">
        <v>0</v>
      </c>
      <c r="P558" s="17" t="n">
        <f aca="false">IF(AND(ISNUMBER(H558),ISNUMBER(I558)),MAX(0,ROUND((I558-H558)*1440,0)-'Bilan agents'!$C$4),0)</f>
        <v>0</v>
      </c>
      <c r="Q558" s="8" t="str">
        <f aca="false">IF(H558="Congé","CP",IF(H558="Férié","F",IF(H558="OFF","R",IF(N558&gt;0,"A",IF(ISNUMBER(I558),"P","NR")))))</f>
        <v>R</v>
      </c>
      <c r="R558" s="18"/>
    </row>
    <row r="559" customFormat="false" ht="15" hidden="false" customHeight="false" outlineLevel="0" collapsed="false">
      <c r="A559" s="18" t="s">
        <v>28</v>
      </c>
      <c r="B559" s="8" t="s">
        <v>29</v>
      </c>
      <c r="C559" s="9" t="n">
        <v>46188</v>
      </c>
      <c r="D559" s="8" t="n">
        <v>2026</v>
      </c>
      <c r="E559" s="8" t="n">
        <v>25</v>
      </c>
      <c r="F559" s="18" t="s">
        <v>127</v>
      </c>
      <c r="G559" s="8" t="s">
        <v>116</v>
      </c>
      <c r="H559" s="19" t="n">
        <v>0.333333333333333</v>
      </c>
      <c r="I559" s="19" t="n">
        <v>0.331944444444444</v>
      </c>
      <c r="J559" s="19" t="n">
        <v>0.75</v>
      </c>
      <c r="K559" s="19" t="n">
        <v>0.75</v>
      </c>
      <c r="L559" s="19" t="n">
        <v>0.375</v>
      </c>
      <c r="M559" s="19" t="n">
        <v>0.375</v>
      </c>
      <c r="N559" s="19" t="n">
        <v>0</v>
      </c>
      <c r="O559" s="19" t="n">
        <v>0.00138888888888889</v>
      </c>
      <c r="P559" s="17" t="n">
        <f aca="false">IF(AND(ISNUMBER(H559),ISNUMBER(I559)),MAX(0,ROUND((I559-H559)*1440,0)-'Bilan agents'!$C$4),0)</f>
        <v>0</v>
      </c>
      <c r="Q559" s="8" t="str">
        <f aca="false">IF(H559="Congé","CP",IF(H559="Férié","F",IF(H559="OFF","R",IF(N559&gt;0,"A",IF(ISNUMBER(I559),"P","NR")))))</f>
        <v>P</v>
      </c>
      <c r="R559" s="18"/>
    </row>
    <row r="560" customFormat="false" ht="15" hidden="false" customHeight="false" outlineLevel="0" collapsed="false">
      <c r="A560" s="18" t="s">
        <v>28</v>
      </c>
      <c r="B560" s="8" t="s">
        <v>29</v>
      </c>
      <c r="C560" s="9" t="n">
        <v>46189</v>
      </c>
      <c r="D560" s="8" t="n">
        <v>2026</v>
      </c>
      <c r="E560" s="8" t="n">
        <v>25</v>
      </c>
      <c r="F560" s="18" t="s">
        <v>127</v>
      </c>
      <c r="G560" s="8" t="s">
        <v>117</v>
      </c>
      <c r="H560" s="19" t="n">
        <v>0.333333333333333</v>
      </c>
      <c r="I560" s="19" t="n">
        <v>0.332638888888889</v>
      </c>
      <c r="J560" s="19" t="n">
        <v>0.75</v>
      </c>
      <c r="K560" s="19" t="n">
        <v>0.75</v>
      </c>
      <c r="L560" s="19" t="n">
        <v>0.375</v>
      </c>
      <c r="M560" s="19" t="n">
        <v>0.375</v>
      </c>
      <c r="N560" s="19" t="n">
        <v>0</v>
      </c>
      <c r="O560" s="19" t="n">
        <v>0</v>
      </c>
      <c r="P560" s="17" t="n">
        <f aca="false">IF(AND(ISNUMBER(H560),ISNUMBER(I560)),MAX(0,ROUND((I560-H560)*1440,0)-'Bilan agents'!$C$4),0)</f>
        <v>0</v>
      </c>
      <c r="Q560" s="8" t="str">
        <f aca="false">IF(H560="Congé","CP",IF(H560="Férié","F",IF(H560="OFF","R",IF(N560&gt;0,"A",IF(ISNUMBER(I560),"P","NR")))))</f>
        <v>P</v>
      </c>
      <c r="R560" s="18"/>
    </row>
    <row r="561" customFormat="false" ht="15" hidden="false" customHeight="false" outlineLevel="0" collapsed="false">
      <c r="A561" s="18" t="s">
        <v>28</v>
      </c>
      <c r="B561" s="8" t="s">
        <v>29</v>
      </c>
      <c r="C561" s="9" t="n">
        <v>46190</v>
      </c>
      <c r="D561" s="8" t="n">
        <v>2026</v>
      </c>
      <c r="E561" s="8" t="n">
        <v>25</v>
      </c>
      <c r="F561" s="18" t="s">
        <v>127</v>
      </c>
      <c r="G561" s="8" t="s">
        <v>118</v>
      </c>
      <c r="H561" s="19" t="n">
        <v>0.333333333333333</v>
      </c>
      <c r="I561" s="19" t="n">
        <v>0.331944444444444</v>
      </c>
      <c r="J561" s="19" t="n">
        <v>0.75</v>
      </c>
      <c r="K561" s="19" t="n">
        <v>0.75</v>
      </c>
      <c r="L561" s="19" t="n">
        <v>0.375</v>
      </c>
      <c r="M561" s="19" t="n">
        <v>0.375</v>
      </c>
      <c r="N561" s="19" t="n">
        <v>0</v>
      </c>
      <c r="O561" s="19" t="n">
        <v>0.00138888888888889</v>
      </c>
      <c r="P561" s="17" t="n">
        <f aca="false">IF(AND(ISNUMBER(H561),ISNUMBER(I561)),MAX(0,ROUND((I561-H561)*1440,0)-'Bilan agents'!$C$4),0)</f>
        <v>0</v>
      </c>
      <c r="Q561" s="8" t="str">
        <f aca="false">IF(H561="Congé","CP",IF(H561="Férié","F",IF(H561="OFF","R",IF(N561&gt;0,"A",IF(ISNUMBER(I561),"P","NR")))))</f>
        <v>P</v>
      </c>
      <c r="R561" s="18"/>
    </row>
    <row r="562" customFormat="false" ht="15" hidden="false" customHeight="false" outlineLevel="0" collapsed="false">
      <c r="A562" s="18" t="s">
        <v>28</v>
      </c>
      <c r="B562" s="8" t="s">
        <v>29</v>
      </c>
      <c r="C562" s="9" t="n">
        <v>46191</v>
      </c>
      <c r="D562" s="8" t="n">
        <v>2026</v>
      </c>
      <c r="E562" s="8" t="n">
        <v>25</v>
      </c>
      <c r="F562" s="18" t="s">
        <v>127</v>
      </c>
      <c r="G562" s="8" t="s">
        <v>119</v>
      </c>
      <c r="H562" s="19" t="n">
        <v>0.333333333333333</v>
      </c>
      <c r="I562" s="19" t="n">
        <v>0.333333333333333</v>
      </c>
      <c r="J562" s="19" t="n">
        <v>0.75</v>
      </c>
      <c r="K562" s="19" t="n">
        <v>0.75</v>
      </c>
      <c r="L562" s="19" t="n">
        <v>0.375</v>
      </c>
      <c r="M562" s="19" t="n">
        <v>0.375</v>
      </c>
      <c r="N562" s="19" t="n">
        <v>0</v>
      </c>
      <c r="O562" s="19" t="n">
        <v>0</v>
      </c>
      <c r="P562" s="17" t="n">
        <f aca="false">IF(AND(ISNUMBER(H562),ISNUMBER(I562)),MAX(0,ROUND((I562-H562)*1440,0)-'Bilan agents'!$C$4),0)</f>
        <v>0</v>
      </c>
      <c r="Q562" s="8" t="str">
        <f aca="false">IF(H562="Congé","CP",IF(H562="Férié","F",IF(H562="OFF","R",IF(N562&gt;0,"A",IF(ISNUMBER(I562),"P","NR")))))</f>
        <v>P</v>
      </c>
      <c r="R562" s="18"/>
    </row>
    <row r="563" customFormat="false" ht="15" hidden="false" customHeight="false" outlineLevel="0" collapsed="false">
      <c r="A563" s="18" t="s">
        <v>28</v>
      </c>
      <c r="B563" s="8" t="s">
        <v>29</v>
      </c>
      <c r="C563" s="9" t="n">
        <v>46192</v>
      </c>
      <c r="D563" s="8" t="n">
        <v>2026</v>
      </c>
      <c r="E563" s="8" t="n">
        <v>25</v>
      </c>
      <c r="F563" s="18" t="s">
        <v>127</v>
      </c>
      <c r="G563" s="8" t="s">
        <v>120</v>
      </c>
      <c r="H563" s="19" t="s">
        <v>43</v>
      </c>
      <c r="I563" s="19"/>
      <c r="J563" s="19"/>
      <c r="K563" s="19"/>
      <c r="L563" s="19" t="n">
        <v>0</v>
      </c>
      <c r="M563" s="19"/>
      <c r="N563" s="19" t="n">
        <v>0</v>
      </c>
      <c r="O563" s="19" t="n">
        <v>0</v>
      </c>
      <c r="P563" s="17" t="n">
        <f aca="false">IF(AND(ISNUMBER(H563),ISNUMBER(I563)),MAX(0,ROUND((I563-H563)*1440,0)-'Bilan agents'!$C$4),0)</f>
        <v>0</v>
      </c>
      <c r="Q563" s="8" t="str">
        <f aca="false">IF(H563="Congé","CP",IF(H563="Férié","F",IF(H563="OFF","R",IF(N563&gt;0,"A",IF(ISNUMBER(I563),"P","NR")))))</f>
        <v>CP</v>
      </c>
      <c r="R563" s="18"/>
    </row>
    <row r="564" customFormat="false" ht="15" hidden="false" customHeight="false" outlineLevel="0" collapsed="false">
      <c r="A564" s="18" t="s">
        <v>28</v>
      </c>
      <c r="B564" s="8" t="s">
        <v>29</v>
      </c>
      <c r="C564" s="9" t="n">
        <v>46193</v>
      </c>
      <c r="D564" s="8" t="n">
        <v>2026</v>
      </c>
      <c r="E564" s="8" t="n">
        <v>25</v>
      </c>
      <c r="F564" s="18" t="s">
        <v>127</v>
      </c>
      <c r="G564" s="8" t="s">
        <v>121</v>
      </c>
      <c r="H564" s="19" t="s">
        <v>115</v>
      </c>
      <c r="I564" s="19"/>
      <c r="J564" s="19"/>
      <c r="K564" s="19"/>
      <c r="L564" s="19" t="n">
        <v>0</v>
      </c>
      <c r="M564" s="19"/>
      <c r="N564" s="19" t="n">
        <v>0</v>
      </c>
      <c r="O564" s="19" t="n">
        <v>0</v>
      </c>
      <c r="P564" s="17" t="n">
        <f aca="false">IF(AND(ISNUMBER(H564),ISNUMBER(I564)),MAX(0,ROUND((I564-H564)*1440,0)-'Bilan agents'!$C$4),0)</f>
        <v>0</v>
      </c>
      <c r="Q564" s="8" t="str">
        <f aca="false">IF(H564="Congé","CP",IF(H564="Férié","F",IF(H564="OFF","R",IF(N564&gt;0,"A",IF(ISNUMBER(I564),"P","NR")))))</f>
        <v>R</v>
      </c>
      <c r="R564" s="18"/>
    </row>
    <row r="565" customFormat="false" ht="15" hidden="false" customHeight="false" outlineLevel="0" collapsed="false">
      <c r="A565" s="18" t="s">
        <v>28</v>
      </c>
      <c r="B565" s="8" t="s">
        <v>29</v>
      </c>
      <c r="C565" s="9" t="n">
        <v>46194</v>
      </c>
      <c r="D565" s="8" t="n">
        <v>2026</v>
      </c>
      <c r="E565" s="8" t="n">
        <v>25</v>
      </c>
      <c r="F565" s="18" t="s">
        <v>127</v>
      </c>
      <c r="G565" s="8" t="s">
        <v>114</v>
      </c>
      <c r="H565" s="19" t="s">
        <v>115</v>
      </c>
      <c r="I565" s="19"/>
      <c r="J565" s="19"/>
      <c r="K565" s="19"/>
      <c r="L565" s="19" t="n">
        <v>0</v>
      </c>
      <c r="M565" s="19"/>
      <c r="N565" s="19" t="n">
        <v>0</v>
      </c>
      <c r="O565" s="19" t="n">
        <v>0</v>
      </c>
      <c r="P565" s="17" t="n">
        <f aca="false">IF(AND(ISNUMBER(H565),ISNUMBER(I565)),MAX(0,ROUND((I565-H565)*1440,0)-'Bilan agents'!$C$4),0)</f>
        <v>0</v>
      </c>
      <c r="Q565" s="8" t="str">
        <f aca="false">IF(H565="Congé","CP",IF(H565="Férié","F",IF(H565="OFF","R",IF(N565&gt;0,"A",IF(ISNUMBER(I565),"P","NR")))))</f>
        <v>R</v>
      </c>
      <c r="R565" s="18"/>
    </row>
    <row r="566" customFormat="false" ht="15" hidden="false" customHeight="false" outlineLevel="0" collapsed="false">
      <c r="A566" s="18" t="s">
        <v>28</v>
      </c>
      <c r="B566" s="8" t="s">
        <v>29</v>
      </c>
      <c r="C566" s="9" t="n">
        <v>46195</v>
      </c>
      <c r="D566" s="8" t="n">
        <v>2026</v>
      </c>
      <c r="E566" s="8" t="n">
        <v>26</v>
      </c>
      <c r="F566" s="18" t="s">
        <v>127</v>
      </c>
      <c r="G566" s="8" t="s">
        <v>116</v>
      </c>
      <c r="H566" s="19" t="n">
        <v>0.333333333333333</v>
      </c>
      <c r="I566" s="19" t="n">
        <v>0.332638888888889</v>
      </c>
      <c r="J566" s="19" t="n">
        <v>0.75</v>
      </c>
      <c r="K566" s="19" t="n">
        <v>0.75</v>
      </c>
      <c r="L566" s="19" t="n">
        <v>0.375</v>
      </c>
      <c r="M566" s="19" t="n">
        <v>0.375</v>
      </c>
      <c r="N566" s="19" t="n">
        <v>0</v>
      </c>
      <c r="O566" s="19" t="n">
        <v>0</v>
      </c>
      <c r="P566" s="17" t="n">
        <f aca="false">IF(AND(ISNUMBER(H566),ISNUMBER(I566)),MAX(0,ROUND((I566-H566)*1440,0)-'Bilan agents'!$C$4),0)</f>
        <v>0</v>
      </c>
      <c r="Q566" s="8" t="str">
        <f aca="false">IF(H566="Congé","CP",IF(H566="Férié","F",IF(H566="OFF","R",IF(N566&gt;0,"A",IF(ISNUMBER(I566),"P","NR")))))</f>
        <v>P</v>
      </c>
      <c r="R566" s="18"/>
    </row>
    <row r="567" customFormat="false" ht="15" hidden="false" customHeight="false" outlineLevel="0" collapsed="false">
      <c r="A567" s="18" t="s">
        <v>28</v>
      </c>
      <c r="B567" s="8" t="s">
        <v>29</v>
      </c>
      <c r="C567" s="9" t="n">
        <v>46196</v>
      </c>
      <c r="D567" s="8" t="n">
        <v>2026</v>
      </c>
      <c r="E567" s="8" t="n">
        <v>26</v>
      </c>
      <c r="F567" s="18" t="s">
        <v>127</v>
      </c>
      <c r="G567" s="8" t="s">
        <v>117</v>
      </c>
      <c r="H567" s="19" t="n">
        <v>0.333333333333333</v>
      </c>
      <c r="I567" s="19" t="n">
        <v>0.332638888888889</v>
      </c>
      <c r="J567" s="19" t="n">
        <v>0.75</v>
      </c>
      <c r="K567" s="19" t="n">
        <v>0.75</v>
      </c>
      <c r="L567" s="19" t="n">
        <v>0.375</v>
      </c>
      <c r="M567" s="19" t="n">
        <v>0.375</v>
      </c>
      <c r="N567" s="19" t="n">
        <v>0</v>
      </c>
      <c r="O567" s="19" t="n">
        <v>0</v>
      </c>
      <c r="P567" s="17" t="n">
        <f aca="false">IF(AND(ISNUMBER(H567),ISNUMBER(I567)),MAX(0,ROUND((I567-H567)*1440,0)-'Bilan agents'!$C$4),0)</f>
        <v>0</v>
      </c>
      <c r="Q567" s="8" t="str">
        <f aca="false">IF(H567="Congé","CP",IF(H567="Férié","F",IF(H567="OFF","R",IF(N567&gt;0,"A",IF(ISNUMBER(I567),"P","NR")))))</f>
        <v>P</v>
      </c>
      <c r="R567" s="18"/>
    </row>
    <row r="568" customFormat="false" ht="15" hidden="false" customHeight="false" outlineLevel="0" collapsed="false">
      <c r="A568" s="18" t="s">
        <v>28</v>
      </c>
      <c r="B568" s="8" t="s">
        <v>29</v>
      </c>
      <c r="C568" s="9" t="n">
        <v>46197</v>
      </c>
      <c r="D568" s="8" t="n">
        <v>2026</v>
      </c>
      <c r="E568" s="8" t="n">
        <v>26</v>
      </c>
      <c r="F568" s="18" t="s">
        <v>127</v>
      </c>
      <c r="G568" s="8" t="s">
        <v>118</v>
      </c>
      <c r="H568" s="19" t="n">
        <v>0.333333333333333</v>
      </c>
      <c r="I568" s="19" t="n">
        <v>0.331944444444444</v>
      </c>
      <c r="J568" s="19" t="n">
        <v>0.75</v>
      </c>
      <c r="K568" s="19" t="n">
        <v>0.75</v>
      </c>
      <c r="L568" s="19" t="n">
        <v>0.375</v>
      </c>
      <c r="M568" s="19" t="n">
        <v>0.375</v>
      </c>
      <c r="N568" s="19" t="n">
        <v>0</v>
      </c>
      <c r="O568" s="19" t="n">
        <v>0.00138888888888889</v>
      </c>
      <c r="P568" s="17" t="n">
        <f aca="false">IF(AND(ISNUMBER(H568),ISNUMBER(I568)),MAX(0,ROUND((I568-H568)*1440,0)-'Bilan agents'!$C$4),0)</f>
        <v>0</v>
      </c>
      <c r="Q568" s="8" t="str">
        <f aca="false">IF(H568="Congé","CP",IF(H568="Férié","F",IF(H568="OFF","R",IF(N568&gt;0,"A",IF(ISNUMBER(I568),"P","NR")))))</f>
        <v>P</v>
      </c>
      <c r="R568" s="18"/>
    </row>
    <row r="569" customFormat="false" ht="15" hidden="false" customHeight="false" outlineLevel="0" collapsed="false">
      <c r="A569" s="18" t="s">
        <v>28</v>
      </c>
      <c r="B569" s="8" t="s">
        <v>29</v>
      </c>
      <c r="C569" s="9" t="n">
        <v>46198</v>
      </c>
      <c r="D569" s="8" t="n">
        <v>2026</v>
      </c>
      <c r="E569" s="8" t="n">
        <v>26</v>
      </c>
      <c r="F569" s="18" t="s">
        <v>127</v>
      </c>
      <c r="G569" s="8" t="s">
        <v>119</v>
      </c>
      <c r="H569" s="19" t="n">
        <v>0.333333333333333</v>
      </c>
      <c r="I569" s="19" t="n">
        <v>0.333333333333333</v>
      </c>
      <c r="J569" s="19" t="n">
        <v>0.75</v>
      </c>
      <c r="K569" s="19" t="n">
        <v>0.75</v>
      </c>
      <c r="L569" s="19" t="n">
        <v>0.375</v>
      </c>
      <c r="M569" s="19" t="n">
        <v>0.375</v>
      </c>
      <c r="N569" s="19" t="n">
        <v>0</v>
      </c>
      <c r="O569" s="19" t="n">
        <v>0</v>
      </c>
      <c r="P569" s="17" t="n">
        <f aca="false">IF(AND(ISNUMBER(H569),ISNUMBER(I569)),MAX(0,ROUND((I569-H569)*1440,0)-'Bilan agents'!$C$4),0)</f>
        <v>0</v>
      </c>
      <c r="Q569" s="8" t="str">
        <f aca="false">IF(H569="Congé","CP",IF(H569="Férié","F",IF(H569="OFF","R",IF(N569&gt;0,"A",IF(ISNUMBER(I569),"P","NR")))))</f>
        <v>P</v>
      </c>
      <c r="R569" s="18"/>
    </row>
    <row r="570" customFormat="false" ht="15" hidden="false" customHeight="false" outlineLevel="0" collapsed="false">
      <c r="A570" s="18" t="s">
        <v>28</v>
      </c>
      <c r="B570" s="8" t="s">
        <v>29</v>
      </c>
      <c r="C570" s="9" t="n">
        <v>46199</v>
      </c>
      <c r="D570" s="8" t="n">
        <v>2026</v>
      </c>
      <c r="E570" s="8" t="n">
        <v>26</v>
      </c>
      <c r="F570" s="18" t="s">
        <v>127</v>
      </c>
      <c r="G570" s="8" t="s">
        <v>120</v>
      </c>
      <c r="H570" s="19" t="n">
        <v>0.333333333333333</v>
      </c>
      <c r="I570" s="19" t="n">
        <v>0.333333333333333</v>
      </c>
      <c r="J570" s="19" t="n">
        <v>0.708333333333333</v>
      </c>
      <c r="K570" s="19" t="n">
        <v>0.708333333333333</v>
      </c>
      <c r="L570" s="19" t="n">
        <v>0.333333333333333</v>
      </c>
      <c r="M570" s="19" t="n">
        <v>0.333333333333333</v>
      </c>
      <c r="N570" s="19" t="n">
        <v>0</v>
      </c>
      <c r="O570" s="19" t="n">
        <v>0</v>
      </c>
      <c r="P570" s="17" t="n">
        <f aca="false">IF(AND(ISNUMBER(H570),ISNUMBER(I570)),MAX(0,ROUND((I570-H570)*1440,0)-'Bilan agents'!$C$4),0)</f>
        <v>0</v>
      </c>
      <c r="Q570" s="8" t="str">
        <f aca="false">IF(H570="Congé","CP",IF(H570="Férié","F",IF(H570="OFF","R",IF(N570&gt;0,"A",IF(ISNUMBER(I570),"P","NR")))))</f>
        <v>P</v>
      </c>
      <c r="R570" s="18"/>
    </row>
    <row r="571" customFormat="false" ht="15" hidden="false" customHeight="false" outlineLevel="0" collapsed="false">
      <c r="A571" s="18" t="s">
        <v>28</v>
      </c>
      <c r="B571" s="8" t="s">
        <v>29</v>
      </c>
      <c r="C571" s="9" t="n">
        <v>46200</v>
      </c>
      <c r="D571" s="8" t="n">
        <v>2026</v>
      </c>
      <c r="E571" s="8" t="n">
        <v>26</v>
      </c>
      <c r="F571" s="18" t="s">
        <v>127</v>
      </c>
      <c r="G571" s="8" t="s">
        <v>121</v>
      </c>
      <c r="H571" s="19" t="s">
        <v>115</v>
      </c>
      <c r="I571" s="19"/>
      <c r="J571" s="19"/>
      <c r="K571" s="19"/>
      <c r="L571" s="19" t="n">
        <v>0</v>
      </c>
      <c r="M571" s="19"/>
      <c r="N571" s="19" t="n">
        <v>0</v>
      </c>
      <c r="O571" s="19" t="n">
        <v>0</v>
      </c>
      <c r="P571" s="17" t="n">
        <f aca="false">IF(AND(ISNUMBER(H571),ISNUMBER(I571)),MAX(0,ROUND((I571-H571)*1440,0)-'Bilan agents'!$C$4),0)</f>
        <v>0</v>
      </c>
      <c r="Q571" s="8" t="str">
        <f aca="false">IF(H571="Congé","CP",IF(H571="Férié","F",IF(H571="OFF","R",IF(N571&gt;0,"A",IF(ISNUMBER(I571),"P","NR")))))</f>
        <v>R</v>
      </c>
      <c r="R571" s="18"/>
    </row>
    <row r="572" customFormat="false" ht="15" hidden="false" customHeight="false" outlineLevel="0" collapsed="false">
      <c r="A572" s="18" t="s">
        <v>28</v>
      </c>
      <c r="B572" s="8" t="s">
        <v>29</v>
      </c>
      <c r="C572" s="9" t="n">
        <v>46201</v>
      </c>
      <c r="D572" s="8" t="n">
        <v>2026</v>
      </c>
      <c r="E572" s="8" t="n">
        <v>26</v>
      </c>
      <c r="F572" s="18" t="s">
        <v>127</v>
      </c>
      <c r="G572" s="8" t="s">
        <v>114</v>
      </c>
      <c r="H572" s="19" t="s">
        <v>115</v>
      </c>
      <c r="I572" s="19"/>
      <c r="J572" s="19"/>
      <c r="K572" s="19"/>
      <c r="L572" s="19" t="n">
        <v>0</v>
      </c>
      <c r="M572" s="19"/>
      <c r="N572" s="19" t="n">
        <v>0</v>
      </c>
      <c r="O572" s="19" t="n">
        <v>0</v>
      </c>
      <c r="P572" s="17" t="n">
        <f aca="false">IF(AND(ISNUMBER(H572),ISNUMBER(I572)),MAX(0,ROUND((I572-H572)*1440,0)-'Bilan agents'!$C$4),0)</f>
        <v>0</v>
      </c>
      <c r="Q572" s="8" t="str">
        <f aca="false">IF(H572="Congé","CP",IF(H572="Férié","F",IF(H572="OFF","R",IF(N572&gt;0,"A",IF(ISNUMBER(I572),"P","NR")))))</f>
        <v>R</v>
      </c>
      <c r="R572" s="18"/>
    </row>
    <row r="573" customFormat="false" ht="15" hidden="false" customHeight="false" outlineLevel="0" collapsed="false">
      <c r="A573" s="18" t="s">
        <v>28</v>
      </c>
      <c r="B573" s="8" t="s">
        <v>29</v>
      </c>
      <c r="C573" s="9" t="n">
        <v>46202</v>
      </c>
      <c r="D573" s="8" t="n">
        <v>2026</v>
      </c>
      <c r="E573" s="8" t="n">
        <v>27</v>
      </c>
      <c r="F573" s="18" t="s">
        <v>127</v>
      </c>
      <c r="G573" s="8" t="s">
        <v>116</v>
      </c>
      <c r="H573" s="19" t="n">
        <v>0.333333333333333</v>
      </c>
      <c r="I573" s="19" t="n">
        <v>0.331944444444444</v>
      </c>
      <c r="J573" s="19" t="n">
        <v>0.75</v>
      </c>
      <c r="K573" s="19" t="n">
        <v>0.75</v>
      </c>
      <c r="L573" s="19" t="n">
        <v>0.375</v>
      </c>
      <c r="M573" s="19" t="n">
        <v>0.375</v>
      </c>
      <c r="N573" s="19" t="n">
        <v>0</v>
      </c>
      <c r="O573" s="19" t="n">
        <v>0.00138888888888889</v>
      </c>
      <c r="P573" s="17" t="n">
        <f aca="false">IF(AND(ISNUMBER(H573),ISNUMBER(I573)),MAX(0,ROUND((I573-H573)*1440,0)-'Bilan agents'!$C$4),0)</f>
        <v>0</v>
      </c>
      <c r="Q573" s="8" t="str">
        <f aca="false">IF(H573="Congé","CP",IF(H573="Férié","F",IF(H573="OFF","R",IF(N573&gt;0,"A",IF(ISNUMBER(I573),"P","NR")))))</f>
        <v>P</v>
      </c>
      <c r="R573" s="18"/>
    </row>
    <row r="574" customFormat="false" ht="15" hidden="false" customHeight="false" outlineLevel="0" collapsed="false">
      <c r="A574" s="18" t="s">
        <v>28</v>
      </c>
      <c r="B574" s="8" t="s">
        <v>29</v>
      </c>
      <c r="C574" s="9" t="n">
        <v>46203</v>
      </c>
      <c r="D574" s="8" t="n">
        <v>2026</v>
      </c>
      <c r="E574" s="8" t="n">
        <v>27</v>
      </c>
      <c r="F574" s="18" t="s">
        <v>127</v>
      </c>
      <c r="G574" s="8" t="s">
        <v>117</v>
      </c>
      <c r="H574" s="19" t="n">
        <v>0.333333333333333</v>
      </c>
      <c r="I574" s="19" t="n">
        <v>0.332638888888889</v>
      </c>
      <c r="J574" s="19" t="n">
        <v>0.75</v>
      </c>
      <c r="K574" s="19" t="n">
        <v>0.75</v>
      </c>
      <c r="L574" s="19" t="n">
        <v>0.375</v>
      </c>
      <c r="M574" s="19" t="n">
        <v>0.375</v>
      </c>
      <c r="N574" s="19" t="n">
        <v>0</v>
      </c>
      <c r="O574" s="19" t="n">
        <v>0</v>
      </c>
      <c r="P574" s="17" t="n">
        <f aca="false">IF(AND(ISNUMBER(H574),ISNUMBER(I574)),MAX(0,ROUND((I574-H574)*1440,0)-'Bilan agents'!$C$4),0)</f>
        <v>0</v>
      </c>
      <c r="Q574" s="8" t="str">
        <f aca="false">IF(H574="Congé","CP",IF(H574="Férié","F",IF(H574="OFF","R",IF(N574&gt;0,"A",IF(ISNUMBER(I574),"P","NR")))))</f>
        <v>P</v>
      </c>
      <c r="R574" s="18"/>
    </row>
    <row r="575" customFormat="false" ht="15" hidden="false" customHeight="false" outlineLevel="0" collapsed="false">
      <c r="A575" s="18" t="s">
        <v>28</v>
      </c>
      <c r="B575" s="8" t="s">
        <v>29</v>
      </c>
      <c r="C575" s="9" t="n">
        <v>46204</v>
      </c>
      <c r="D575" s="8" t="n">
        <v>2026</v>
      </c>
      <c r="E575" s="8" t="n">
        <v>27</v>
      </c>
      <c r="F575" s="18" t="s">
        <v>128</v>
      </c>
      <c r="G575" s="8" t="s">
        <v>118</v>
      </c>
      <c r="H575" s="19" t="n">
        <v>0.333333333333333</v>
      </c>
      <c r="I575" s="19" t="n">
        <v>0.333333333333333</v>
      </c>
      <c r="J575" s="19" t="n">
        <v>0.75</v>
      </c>
      <c r="K575" s="19" t="n">
        <v>0.75</v>
      </c>
      <c r="L575" s="19" t="n">
        <v>0.375</v>
      </c>
      <c r="M575" s="19" t="n">
        <v>0.375</v>
      </c>
      <c r="N575" s="19" t="n">
        <v>0</v>
      </c>
      <c r="O575" s="19" t="n">
        <v>0</v>
      </c>
      <c r="P575" s="17" t="n">
        <f aca="false">IF(AND(ISNUMBER(H575),ISNUMBER(I575)),MAX(0,ROUND((I575-H575)*1440,0)-'Bilan agents'!$C$4),0)</f>
        <v>0</v>
      </c>
      <c r="Q575" s="8" t="str">
        <f aca="false">IF(H575="Congé","CP",IF(H575="Férié","F",IF(H575="OFF","R",IF(N575&gt;0,"A",IF(ISNUMBER(I575),"P","NR")))))</f>
        <v>P</v>
      </c>
      <c r="R575" s="18"/>
    </row>
    <row r="576" customFormat="false" ht="15" hidden="false" customHeight="false" outlineLevel="0" collapsed="false">
      <c r="A576" s="18" t="s">
        <v>28</v>
      </c>
      <c r="B576" s="8" t="s">
        <v>29</v>
      </c>
      <c r="C576" s="9" t="n">
        <v>46205</v>
      </c>
      <c r="D576" s="8" t="n">
        <v>2026</v>
      </c>
      <c r="E576" s="8" t="n">
        <v>27</v>
      </c>
      <c r="F576" s="18" t="s">
        <v>128</v>
      </c>
      <c r="G576" s="8" t="s">
        <v>119</v>
      </c>
      <c r="H576" s="19" t="n">
        <v>0.333333333333333</v>
      </c>
      <c r="I576" s="19" t="n">
        <v>0.330555555555556</v>
      </c>
      <c r="J576" s="19" t="n">
        <v>0.75</v>
      </c>
      <c r="K576" s="19" t="n">
        <v>0.75</v>
      </c>
      <c r="L576" s="19" t="n">
        <v>0.375</v>
      </c>
      <c r="M576" s="19" t="n">
        <v>0.375</v>
      </c>
      <c r="N576" s="19" t="n">
        <v>0</v>
      </c>
      <c r="O576" s="19" t="n">
        <v>0.00277777777777778</v>
      </c>
      <c r="P576" s="17" t="n">
        <f aca="false">IF(AND(ISNUMBER(H576),ISNUMBER(I576)),MAX(0,ROUND((I576-H576)*1440,0)-'Bilan agents'!$C$4),0)</f>
        <v>0</v>
      </c>
      <c r="Q576" s="8" t="str">
        <f aca="false">IF(H576="Congé","CP",IF(H576="Férié","F",IF(H576="OFF","R",IF(N576&gt;0,"A",IF(ISNUMBER(I576),"P","NR")))))</f>
        <v>P</v>
      </c>
      <c r="R576" s="18"/>
    </row>
    <row r="577" customFormat="false" ht="15" hidden="false" customHeight="false" outlineLevel="0" collapsed="false">
      <c r="A577" s="18" t="s">
        <v>28</v>
      </c>
      <c r="B577" s="8" t="s">
        <v>29</v>
      </c>
      <c r="C577" s="9" t="n">
        <v>46206</v>
      </c>
      <c r="D577" s="8" t="n">
        <v>2026</v>
      </c>
      <c r="E577" s="8" t="n">
        <v>27</v>
      </c>
      <c r="F577" s="18" t="s">
        <v>128</v>
      </c>
      <c r="G577" s="8" t="s">
        <v>120</v>
      </c>
      <c r="H577" s="19" t="n">
        <v>0.333333333333333</v>
      </c>
      <c r="I577" s="19" t="n">
        <v>0.333333333333333</v>
      </c>
      <c r="J577" s="19" t="n">
        <v>0.708333333333333</v>
      </c>
      <c r="K577" s="19" t="n">
        <v>0.708333333333333</v>
      </c>
      <c r="L577" s="19" t="n">
        <v>0.333333333333333</v>
      </c>
      <c r="M577" s="19" t="n">
        <v>0.333333333333333</v>
      </c>
      <c r="N577" s="19" t="n">
        <v>0</v>
      </c>
      <c r="O577" s="19" t="n">
        <v>0</v>
      </c>
      <c r="P577" s="17" t="n">
        <f aca="false">IF(AND(ISNUMBER(H577),ISNUMBER(I577)),MAX(0,ROUND((I577-H577)*1440,0)-'Bilan agents'!$C$4),0)</f>
        <v>0</v>
      </c>
      <c r="Q577" s="8" t="str">
        <f aca="false">IF(H577="Congé","CP",IF(H577="Férié","F",IF(H577="OFF","R",IF(N577&gt;0,"A",IF(ISNUMBER(I577),"P","NR")))))</f>
        <v>P</v>
      </c>
      <c r="R577" s="18"/>
    </row>
    <row r="578" customFormat="false" ht="15" hidden="false" customHeight="false" outlineLevel="0" collapsed="false">
      <c r="A578" s="18" t="s">
        <v>28</v>
      </c>
      <c r="B578" s="8" t="s">
        <v>29</v>
      </c>
      <c r="C578" s="9" t="n">
        <v>46207</v>
      </c>
      <c r="D578" s="8" t="n">
        <v>2026</v>
      </c>
      <c r="E578" s="8" t="n">
        <v>27</v>
      </c>
      <c r="F578" s="18" t="s">
        <v>128</v>
      </c>
      <c r="G578" s="8" t="s">
        <v>121</v>
      </c>
      <c r="H578" s="19" t="s">
        <v>115</v>
      </c>
      <c r="I578" s="19"/>
      <c r="J578" s="19"/>
      <c r="K578" s="19"/>
      <c r="L578" s="19" t="n">
        <v>0</v>
      </c>
      <c r="M578" s="19"/>
      <c r="N578" s="19" t="n">
        <v>0</v>
      </c>
      <c r="O578" s="19" t="n">
        <v>0</v>
      </c>
      <c r="P578" s="17" t="n">
        <f aca="false">IF(AND(ISNUMBER(H578),ISNUMBER(I578)),MAX(0,ROUND((I578-H578)*1440,0)-'Bilan agents'!$C$4),0)</f>
        <v>0</v>
      </c>
      <c r="Q578" s="8" t="str">
        <f aca="false">IF(H578="Congé","CP",IF(H578="Férié","F",IF(H578="OFF","R",IF(N578&gt;0,"A",IF(ISNUMBER(I578),"P","NR")))))</f>
        <v>R</v>
      </c>
      <c r="R578" s="18"/>
    </row>
    <row r="579" customFormat="false" ht="15" hidden="false" customHeight="false" outlineLevel="0" collapsed="false">
      <c r="A579" s="18" t="s">
        <v>28</v>
      </c>
      <c r="B579" s="8" t="s">
        <v>29</v>
      </c>
      <c r="C579" s="9" t="n">
        <v>46208</v>
      </c>
      <c r="D579" s="8" t="n">
        <v>2026</v>
      </c>
      <c r="E579" s="8" t="n">
        <v>27</v>
      </c>
      <c r="F579" s="18" t="s">
        <v>128</v>
      </c>
      <c r="G579" s="8" t="s">
        <v>114</v>
      </c>
      <c r="H579" s="19" t="s">
        <v>115</v>
      </c>
      <c r="I579" s="19"/>
      <c r="J579" s="19"/>
      <c r="K579" s="19"/>
      <c r="L579" s="19" t="n">
        <v>0</v>
      </c>
      <c r="M579" s="19"/>
      <c r="N579" s="19" t="n">
        <v>0</v>
      </c>
      <c r="O579" s="19" t="n">
        <v>0</v>
      </c>
      <c r="P579" s="17" t="n">
        <f aca="false">IF(AND(ISNUMBER(H579),ISNUMBER(I579)),MAX(0,ROUND((I579-H579)*1440,0)-'Bilan agents'!$C$4),0)</f>
        <v>0</v>
      </c>
      <c r="Q579" s="8" t="str">
        <f aca="false">IF(H579="Congé","CP",IF(H579="Férié","F",IF(H579="OFF","R",IF(N579&gt;0,"A",IF(ISNUMBER(I579),"P","NR")))))</f>
        <v>R</v>
      </c>
      <c r="R579" s="18"/>
    </row>
    <row r="580" customFormat="false" ht="15" hidden="false" customHeight="false" outlineLevel="0" collapsed="false">
      <c r="A580" s="18" t="s">
        <v>28</v>
      </c>
      <c r="B580" s="8" t="s">
        <v>29</v>
      </c>
      <c r="C580" s="9" t="n">
        <v>46209</v>
      </c>
      <c r="D580" s="8" t="n">
        <v>2026</v>
      </c>
      <c r="E580" s="8" t="n">
        <v>28</v>
      </c>
      <c r="F580" s="18" t="s">
        <v>128</v>
      </c>
      <c r="G580" s="8" t="s">
        <v>116</v>
      </c>
      <c r="H580" s="19" t="n">
        <v>0.333333333333333</v>
      </c>
      <c r="I580" s="19" t="n">
        <v>0.330555555555556</v>
      </c>
      <c r="J580" s="19" t="n">
        <v>0.75</v>
      </c>
      <c r="K580" s="19" t="n">
        <v>0.75</v>
      </c>
      <c r="L580" s="19" t="n">
        <v>0.375</v>
      </c>
      <c r="M580" s="19" t="n">
        <v>0.375</v>
      </c>
      <c r="N580" s="19" t="n">
        <v>0</v>
      </c>
      <c r="O580" s="19" t="n">
        <v>0.00277777777777778</v>
      </c>
      <c r="P580" s="17" t="n">
        <f aca="false">IF(AND(ISNUMBER(H580),ISNUMBER(I580)),MAX(0,ROUND((I580-H580)*1440,0)-'Bilan agents'!$C$4),0)</f>
        <v>0</v>
      </c>
      <c r="Q580" s="8" t="str">
        <f aca="false">IF(H580="Congé","CP",IF(H580="Férié","F",IF(H580="OFF","R",IF(N580&gt;0,"A",IF(ISNUMBER(I580),"P","NR")))))</f>
        <v>P</v>
      </c>
      <c r="R580" s="18"/>
    </row>
    <row r="581" customFormat="false" ht="15" hidden="false" customHeight="false" outlineLevel="0" collapsed="false">
      <c r="A581" s="18" t="s">
        <v>28</v>
      </c>
      <c r="B581" s="8" t="s">
        <v>29</v>
      </c>
      <c r="C581" s="9" t="n">
        <v>46210</v>
      </c>
      <c r="D581" s="8" t="n">
        <v>2026</v>
      </c>
      <c r="E581" s="8" t="n">
        <v>28</v>
      </c>
      <c r="F581" s="18" t="s">
        <v>128</v>
      </c>
      <c r="G581" s="8" t="s">
        <v>117</v>
      </c>
      <c r="H581" s="19" t="n">
        <v>0.333333333333333</v>
      </c>
      <c r="I581" s="19" t="n">
        <v>0.333333333333333</v>
      </c>
      <c r="J581" s="19" t="n">
        <v>0.75</v>
      </c>
      <c r="K581" s="19" t="n">
        <v>0.75</v>
      </c>
      <c r="L581" s="19" t="n">
        <v>0.375</v>
      </c>
      <c r="M581" s="19" t="n">
        <v>0.375</v>
      </c>
      <c r="N581" s="19" t="n">
        <v>0</v>
      </c>
      <c r="O581" s="19" t="n">
        <v>0</v>
      </c>
      <c r="P581" s="17" t="n">
        <f aca="false">IF(AND(ISNUMBER(H581),ISNUMBER(I581)),MAX(0,ROUND((I581-H581)*1440,0)-'Bilan agents'!$C$4),0)</f>
        <v>0</v>
      </c>
      <c r="Q581" s="8" t="str">
        <f aca="false">IF(H581="Congé","CP",IF(H581="Férié","F",IF(H581="OFF","R",IF(N581&gt;0,"A",IF(ISNUMBER(I581),"P","NR")))))</f>
        <v>P</v>
      </c>
      <c r="R581" s="18"/>
    </row>
    <row r="582" customFormat="false" ht="15" hidden="false" customHeight="false" outlineLevel="0" collapsed="false">
      <c r="A582" s="18" t="s">
        <v>28</v>
      </c>
      <c r="B582" s="8" t="s">
        <v>29</v>
      </c>
      <c r="C582" s="9" t="n">
        <v>46211</v>
      </c>
      <c r="D582" s="8" t="n">
        <v>2026</v>
      </c>
      <c r="E582" s="8" t="n">
        <v>28</v>
      </c>
      <c r="F582" s="18" t="s">
        <v>128</v>
      </c>
      <c r="G582" s="8" t="s">
        <v>118</v>
      </c>
      <c r="H582" s="19" t="n">
        <v>0.333333333333333</v>
      </c>
      <c r="I582" s="19" t="n">
        <v>0.333333333333333</v>
      </c>
      <c r="J582" s="19" t="n">
        <v>0.75</v>
      </c>
      <c r="K582" s="19" t="n">
        <v>0.75</v>
      </c>
      <c r="L582" s="19" t="n">
        <v>0.375</v>
      </c>
      <c r="M582" s="19" t="n">
        <v>0.375</v>
      </c>
      <c r="N582" s="19" t="n">
        <v>0</v>
      </c>
      <c r="O582" s="19" t="n">
        <v>0</v>
      </c>
      <c r="P582" s="17" t="n">
        <f aca="false">IF(AND(ISNUMBER(H582),ISNUMBER(I582)),MAX(0,ROUND((I582-H582)*1440,0)-'Bilan agents'!$C$4),0)</f>
        <v>0</v>
      </c>
      <c r="Q582" s="8" t="str">
        <f aca="false">IF(H582="Congé","CP",IF(H582="Férié","F",IF(H582="OFF","R",IF(N582&gt;0,"A",IF(ISNUMBER(I582),"P","NR")))))</f>
        <v>P</v>
      </c>
      <c r="R582" s="18"/>
    </row>
    <row r="583" customFormat="false" ht="15" hidden="false" customHeight="false" outlineLevel="0" collapsed="false">
      <c r="A583" s="18" t="s">
        <v>28</v>
      </c>
      <c r="B583" s="8" t="s">
        <v>29</v>
      </c>
      <c r="C583" s="9" t="n">
        <v>46212</v>
      </c>
      <c r="D583" s="8" t="n">
        <v>2026</v>
      </c>
      <c r="E583" s="8" t="n">
        <v>28</v>
      </c>
      <c r="F583" s="18" t="s">
        <v>128</v>
      </c>
      <c r="G583" s="8" t="s">
        <v>119</v>
      </c>
      <c r="H583" s="19" t="n">
        <v>0.333333333333333</v>
      </c>
      <c r="I583" s="19" t="n">
        <v>0.333333333333333</v>
      </c>
      <c r="J583" s="19" t="n">
        <v>0.75</v>
      </c>
      <c r="K583" s="19" t="n">
        <v>0.75</v>
      </c>
      <c r="L583" s="19" t="n">
        <v>0.375</v>
      </c>
      <c r="M583" s="19" t="n">
        <v>0.375</v>
      </c>
      <c r="N583" s="19" t="n">
        <v>0</v>
      </c>
      <c r="O583" s="19" t="n">
        <v>0</v>
      </c>
      <c r="P583" s="17" t="n">
        <f aca="false">IF(AND(ISNUMBER(H583),ISNUMBER(I583)),MAX(0,ROUND((I583-H583)*1440,0)-'Bilan agents'!$C$4),0)</f>
        <v>0</v>
      </c>
      <c r="Q583" s="8" t="str">
        <f aca="false">IF(H583="Congé","CP",IF(H583="Férié","F",IF(H583="OFF","R",IF(N583&gt;0,"A",IF(ISNUMBER(I583),"P","NR")))))</f>
        <v>P</v>
      </c>
      <c r="R583" s="18"/>
    </row>
    <row r="584" customFormat="false" ht="15" hidden="false" customHeight="false" outlineLevel="0" collapsed="false">
      <c r="A584" s="18" t="s">
        <v>28</v>
      </c>
      <c r="B584" s="8" t="s">
        <v>29</v>
      </c>
      <c r="C584" s="9" t="n">
        <v>46213</v>
      </c>
      <c r="D584" s="8" t="n">
        <v>2026</v>
      </c>
      <c r="E584" s="8" t="n">
        <v>28</v>
      </c>
      <c r="F584" s="18" t="s">
        <v>128</v>
      </c>
      <c r="G584" s="8" t="s">
        <v>120</v>
      </c>
      <c r="H584" s="19" t="n">
        <v>0.333333333333333</v>
      </c>
      <c r="I584" s="19" t="n">
        <v>0.333333333333333</v>
      </c>
      <c r="J584" s="19" t="n">
        <v>0.708333333333333</v>
      </c>
      <c r="K584" s="19" t="n">
        <v>0.708333333333333</v>
      </c>
      <c r="L584" s="19" t="n">
        <v>0.333333333333333</v>
      </c>
      <c r="M584" s="19" t="n">
        <v>0.333333333333333</v>
      </c>
      <c r="N584" s="19" t="n">
        <v>0</v>
      </c>
      <c r="O584" s="19" t="n">
        <v>0</v>
      </c>
      <c r="P584" s="17" t="n">
        <f aca="false">IF(AND(ISNUMBER(H584),ISNUMBER(I584)),MAX(0,ROUND((I584-H584)*1440,0)-'Bilan agents'!$C$4),0)</f>
        <v>0</v>
      </c>
      <c r="Q584" s="8" t="str">
        <f aca="false">IF(H584="Congé","CP",IF(H584="Férié","F",IF(H584="OFF","R",IF(N584&gt;0,"A",IF(ISNUMBER(I584),"P","NR")))))</f>
        <v>P</v>
      </c>
      <c r="R584" s="18"/>
    </row>
    <row r="585" customFormat="false" ht="15" hidden="false" customHeight="false" outlineLevel="0" collapsed="false">
      <c r="A585" s="18" t="s">
        <v>28</v>
      </c>
      <c r="B585" s="8" t="s">
        <v>29</v>
      </c>
      <c r="C585" s="9" t="n">
        <v>46214</v>
      </c>
      <c r="D585" s="8" t="n">
        <v>2026</v>
      </c>
      <c r="E585" s="8" t="n">
        <v>28</v>
      </c>
      <c r="F585" s="18" t="s">
        <v>128</v>
      </c>
      <c r="G585" s="8" t="s">
        <v>121</v>
      </c>
      <c r="H585" s="19" t="s">
        <v>115</v>
      </c>
      <c r="I585" s="19"/>
      <c r="J585" s="19"/>
      <c r="K585" s="19"/>
      <c r="L585" s="19" t="n">
        <v>0</v>
      </c>
      <c r="M585" s="19"/>
      <c r="N585" s="19" t="n">
        <v>0</v>
      </c>
      <c r="O585" s="19" t="n">
        <v>0</v>
      </c>
      <c r="P585" s="17" t="n">
        <f aca="false">IF(AND(ISNUMBER(H585),ISNUMBER(I585)),MAX(0,ROUND((I585-H585)*1440,0)-'Bilan agents'!$C$4),0)</f>
        <v>0</v>
      </c>
      <c r="Q585" s="8" t="str">
        <f aca="false">IF(H585="Congé","CP",IF(H585="Férié","F",IF(H585="OFF","R",IF(N585&gt;0,"A",IF(ISNUMBER(I585),"P","NR")))))</f>
        <v>R</v>
      </c>
      <c r="R585" s="18"/>
    </row>
    <row r="586" customFormat="false" ht="15" hidden="false" customHeight="false" outlineLevel="0" collapsed="false">
      <c r="A586" s="18" t="s">
        <v>28</v>
      </c>
      <c r="B586" s="8" t="s">
        <v>29</v>
      </c>
      <c r="C586" s="9" t="n">
        <v>46215</v>
      </c>
      <c r="D586" s="8" t="n">
        <v>2026</v>
      </c>
      <c r="E586" s="8" t="n">
        <v>28</v>
      </c>
      <c r="F586" s="18" t="s">
        <v>128</v>
      </c>
      <c r="G586" s="8" t="s">
        <v>114</v>
      </c>
      <c r="H586" s="19" t="s">
        <v>115</v>
      </c>
      <c r="I586" s="19"/>
      <c r="J586" s="19"/>
      <c r="K586" s="19"/>
      <c r="L586" s="19" t="n">
        <v>0</v>
      </c>
      <c r="M586" s="19"/>
      <c r="N586" s="19" t="n">
        <v>0</v>
      </c>
      <c r="O586" s="19" t="n">
        <v>0</v>
      </c>
      <c r="P586" s="17" t="n">
        <f aca="false">IF(AND(ISNUMBER(H586),ISNUMBER(I586)),MAX(0,ROUND((I586-H586)*1440,0)-'Bilan agents'!$C$4),0)</f>
        <v>0</v>
      </c>
      <c r="Q586" s="8" t="str">
        <f aca="false">IF(H586="Congé","CP",IF(H586="Férié","F",IF(H586="OFF","R",IF(N586&gt;0,"A",IF(ISNUMBER(I586),"P","NR")))))</f>
        <v>R</v>
      </c>
      <c r="R586" s="18"/>
    </row>
    <row r="587" customFormat="false" ht="15" hidden="false" customHeight="false" outlineLevel="0" collapsed="false">
      <c r="A587" s="18" t="s">
        <v>28</v>
      </c>
      <c r="B587" s="8" t="s">
        <v>29</v>
      </c>
      <c r="C587" s="9" t="n">
        <v>46216</v>
      </c>
      <c r="D587" s="8" t="n">
        <v>2026</v>
      </c>
      <c r="E587" s="8" t="n">
        <v>29</v>
      </c>
      <c r="F587" s="18" t="s">
        <v>128</v>
      </c>
      <c r="G587" s="8" t="s">
        <v>116</v>
      </c>
      <c r="H587" s="19" t="n">
        <v>0.333333333333333</v>
      </c>
      <c r="I587" s="19" t="n">
        <v>0.331944444444444</v>
      </c>
      <c r="J587" s="19" t="n">
        <v>0.75</v>
      </c>
      <c r="K587" s="19" t="n">
        <v>0.75</v>
      </c>
      <c r="L587" s="19" t="n">
        <v>0.375</v>
      </c>
      <c r="M587" s="19" t="n">
        <v>0.375</v>
      </c>
      <c r="N587" s="19" t="n">
        <v>0</v>
      </c>
      <c r="O587" s="19" t="n">
        <v>0.00138888888888889</v>
      </c>
      <c r="P587" s="17" t="n">
        <f aca="false">IF(AND(ISNUMBER(H587),ISNUMBER(I587)),MAX(0,ROUND((I587-H587)*1440,0)-'Bilan agents'!$C$4),0)</f>
        <v>0</v>
      </c>
      <c r="Q587" s="8" t="str">
        <f aca="false">IF(H587="Congé","CP",IF(H587="Férié","F",IF(H587="OFF","R",IF(N587&gt;0,"A",IF(ISNUMBER(I587),"P","NR")))))</f>
        <v>P</v>
      </c>
      <c r="R587" s="18"/>
    </row>
    <row r="588" customFormat="false" ht="15" hidden="false" customHeight="false" outlineLevel="0" collapsed="false">
      <c r="A588" s="18" t="s">
        <v>28</v>
      </c>
      <c r="B588" s="8" t="s">
        <v>29</v>
      </c>
      <c r="C588" s="9" t="n">
        <v>46217</v>
      </c>
      <c r="D588" s="8" t="n">
        <v>2026</v>
      </c>
      <c r="E588" s="8" t="n">
        <v>29</v>
      </c>
      <c r="F588" s="18" t="s">
        <v>128</v>
      </c>
      <c r="G588" s="8" t="s">
        <v>117</v>
      </c>
      <c r="H588" s="19" t="s">
        <v>115</v>
      </c>
      <c r="I588" s="19"/>
      <c r="J588" s="19"/>
      <c r="K588" s="19"/>
      <c r="L588" s="19" t="n">
        <v>0</v>
      </c>
      <c r="M588" s="19"/>
      <c r="N588" s="19" t="n">
        <v>0</v>
      </c>
      <c r="O588" s="19" t="n">
        <v>0</v>
      </c>
      <c r="P588" s="17" t="n">
        <f aca="false">IF(AND(ISNUMBER(H588),ISNUMBER(I588)),MAX(0,ROUND((I588-H588)*1440,0)-'Bilan agents'!$C$4),0)</f>
        <v>0</v>
      </c>
      <c r="Q588" s="8" t="str">
        <f aca="false">IF(H588="Congé","CP",IF(H588="Férié","F",IF(H588="OFF","R",IF(N588&gt;0,"A",IF(ISNUMBER(I588),"P","NR")))))</f>
        <v>R</v>
      </c>
      <c r="R588" s="18"/>
    </row>
    <row r="589" customFormat="false" ht="15" hidden="false" customHeight="false" outlineLevel="0" collapsed="false">
      <c r="A589" s="18" t="s">
        <v>28</v>
      </c>
      <c r="B589" s="8" t="s">
        <v>29</v>
      </c>
      <c r="C589" s="9" t="n">
        <v>46218</v>
      </c>
      <c r="D589" s="8" t="n">
        <v>2026</v>
      </c>
      <c r="E589" s="8" t="n">
        <v>29</v>
      </c>
      <c r="F589" s="18" t="s">
        <v>128</v>
      </c>
      <c r="G589" s="8" t="s">
        <v>118</v>
      </c>
      <c r="H589" s="19" t="n">
        <v>0.333333333333333</v>
      </c>
      <c r="I589" s="19" t="n">
        <v>0.333333333333333</v>
      </c>
      <c r="J589" s="19" t="n">
        <v>0.75</v>
      </c>
      <c r="K589" s="19" t="n">
        <v>0.75</v>
      </c>
      <c r="L589" s="19" t="n">
        <v>0.375</v>
      </c>
      <c r="M589" s="19" t="n">
        <v>0.375</v>
      </c>
      <c r="N589" s="19" t="n">
        <v>0</v>
      </c>
      <c r="O589" s="19" t="n">
        <v>0</v>
      </c>
      <c r="P589" s="17" t="n">
        <f aca="false">IF(AND(ISNUMBER(H589),ISNUMBER(I589)),MAX(0,ROUND((I589-H589)*1440,0)-'Bilan agents'!$C$4),0)</f>
        <v>0</v>
      </c>
      <c r="Q589" s="8" t="str">
        <f aca="false">IF(H589="Congé","CP",IF(H589="Férié","F",IF(H589="OFF","R",IF(N589&gt;0,"A",IF(ISNUMBER(I589),"P","NR")))))</f>
        <v>P</v>
      </c>
      <c r="R589" s="18"/>
    </row>
    <row r="590" customFormat="false" ht="15" hidden="false" customHeight="false" outlineLevel="0" collapsed="false">
      <c r="A590" s="18" t="s">
        <v>28</v>
      </c>
      <c r="B590" s="8" t="s">
        <v>29</v>
      </c>
      <c r="C590" s="9" t="n">
        <v>46219</v>
      </c>
      <c r="D590" s="8" t="n">
        <v>2026</v>
      </c>
      <c r="E590" s="8" t="n">
        <v>29</v>
      </c>
      <c r="F590" s="18" t="s">
        <v>128</v>
      </c>
      <c r="G590" s="8" t="s">
        <v>119</v>
      </c>
      <c r="H590" s="19" t="n">
        <v>0.333333333333333</v>
      </c>
      <c r="I590" s="19" t="n">
        <v>0.329166666666667</v>
      </c>
      <c r="J590" s="19" t="n">
        <v>0.75</v>
      </c>
      <c r="K590" s="19" t="n">
        <v>0.75</v>
      </c>
      <c r="L590" s="19" t="n">
        <v>0.375</v>
      </c>
      <c r="M590" s="19" t="n">
        <v>0.375</v>
      </c>
      <c r="N590" s="19" t="n">
        <v>0</v>
      </c>
      <c r="O590" s="19" t="n">
        <v>0.00416666666666667</v>
      </c>
      <c r="P590" s="17" t="n">
        <f aca="false">IF(AND(ISNUMBER(H590),ISNUMBER(I590)),MAX(0,ROUND((I590-H590)*1440,0)-'Bilan agents'!$C$4),0)</f>
        <v>0</v>
      </c>
      <c r="Q590" s="8" t="str">
        <f aca="false">IF(H590="Congé","CP",IF(H590="Férié","F",IF(H590="OFF","R",IF(N590&gt;0,"A",IF(ISNUMBER(I590),"P","NR")))))</f>
        <v>P</v>
      </c>
      <c r="R590" s="18"/>
    </row>
    <row r="591" customFormat="false" ht="15" hidden="false" customHeight="false" outlineLevel="0" collapsed="false">
      <c r="A591" s="18" t="s">
        <v>28</v>
      </c>
      <c r="B591" s="8" t="s">
        <v>29</v>
      </c>
      <c r="C591" s="9" t="n">
        <v>46220</v>
      </c>
      <c r="D591" s="8" t="n">
        <v>2026</v>
      </c>
      <c r="E591" s="8" t="n">
        <v>29</v>
      </c>
      <c r="F591" s="18" t="s">
        <v>128</v>
      </c>
      <c r="G591" s="8" t="s">
        <v>120</v>
      </c>
      <c r="H591" s="19" t="n">
        <v>0.333333333333333</v>
      </c>
      <c r="I591" s="19" t="n">
        <v>0.331944444444444</v>
      </c>
      <c r="J591" s="19" t="n">
        <v>0.708333333333333</v>
      </c>
      <c r="K591" s="19" t="n">
        <v>0.708333333333333</v>
      </c>
      <c r="L591" s="19" t="n">
        <v>0.333333333333333</v>
      </c>
      <c r="M591" s="19" t="n">
        <v>0.333333333333333</v>
      </c>
      <c r="N591" s="19" t="n">
        <v>0</v>
      </c>
      <c r="O591" s="19" t="n">
        <v>0.00138888888888889</v>
      </c>
      <c r="P591" s="17" t="n">
        <f aca="false">IF(AND(ISNUMBER(H591),ISNUMBER(I591)),MAX(0,ROUND((I591-H591)*1440,0)-'Bilan agents'!$C$4),0)</f>
        <v>0</v>
      </c>
      <c r="Q591" s="8" t="str">
        <f aca="false">IF(H591="Congé","CP",IF(H591="Férié","F",IF(H591="OFF","R",IF(N591&gt;0,"A",IF(ISNUMBER(I591),"P","NR")))))</f>
        <v>P</v>
      </c>
      <c r="R591" s="18"/>
    </row>
    <row r="592" customFormat="false" ht="15" hidden="false" customHeight="false" outlineLevel="0" collapsed="false">
      <c r="A592" s="18" t="s">
        <v>28</v>
      </c>
      <c r="B592" s="8" t="s">
        <v>29</v>
      </c>
      <c r="C592" s="9" t="n">
        <v>46221</v>
      </c>
      <c r="D592" s="8" t="n">
        <v>2026</v>
      </c>
      <c r="E592" s="8" t="n">
        <v>29</v>
      </c>
      <c r="F592" s="18" t="s">
        <v>128</v>
      </c>
      <c r="G592" s="8" t="s">
        <v>121</v>
      </c>
      <c r="H592" s="19" t="s">
        <v>115</v>
      </c>
      <c r="I592" s="19"/>
      <c r="J592" s="19"/>
      <c r="K592" s="19"/>
      <c r="L592" s="19" t="n">
        <v>0</v>
      </c>
      <c r="M592" s="19"/>
      <c r="N592" s="19" t="n">
        <v>0</v>
      </c>
      <c r="O592" s="19" t="n">
        <v>0</v>
      </c>
      <c r="P592" s="17" t="n">
        <f aca="false">IF(AND(ISNUMBER(H592),ISNUMBER(I592)),MAX(0,ROUND((I592-H592)*1440,0)-'Bilan agents'!$C$4),0)</f>
        <v>0</v>
      </c>
      <c r="Q592" s="8" t="str">
        <f aca="false">IF(H592="Congé","CP",IF(H592="Férié","F",IF(H592="OFF","R",IF(N592&gt;0,"A",IF(ISNUMBER(I592),"P","NR")))))</f>
        <v>R</v>
      </c>
      <c r="R592" s="18"/>
    </row>
    <row r="593" customFormat="false" ht="15" hidden="false" customHeight="false" outlineLevel="0" collapsed="false">
      <c r="A593" s="18" t="s">
        <v>28</v>
      </c>
      <c r="B593" s="8" t="s">
        <v>29</v>
      </c>
      <c r="C593" s="9" t="n">
        <v>46222</v>
      </c>
      <c r="D593" s="8" t="n">
        <v>2026</v>
      </c>
      <c r="E593" s="8" t="n">
        <v>29</v>
      </c>
      <c r="F593" s="18" t="s">
        <v>128</v>
      </c>
      <c r="G593" s="8" t="s">
        <v>114</v>
      </c>
      <c r="H593" s="19" t="s">
        <v>115</v>
      </c>
      <c r="I593" s="19"/>
      <c r="J593" s="19"/>
      <c r="K593" s="19"/>
      <c r="L593" s="19" t="n">
        <v>0</v>
      </c>
      <c r="M593" s="19"/>
      <c r="N593" s="19" t="n">
        <v>0</v>
      </c>
      <c r="O593" s="19" t="n">
        <v>0</v>
      </c>
      <c r="P593" s="17" t="n">
        <f aca="false">IF(AND(ISNUMBER(H593),ISNUMBER(I593)),MAX(0,ROUND((I593-H593)*1440,0)-'Bilan agents'!$C$4),0)</f>
        <v>0</v>
      </c>
      <c r="Q593" s="8" t="str">
        <f aca="false">IF(H593="Congé","CP",IF(H593="Férié","F",IF(H593="OFF","R",IF(N593&gt;0,"A",IF(ISNUMBER(I593),"P","NR")))))</f>
        <v>R</v>
      </c>
      <c r="R593" s="18"/>
    </row>
    <row r="594" customFormat="false" ht="15" hidden="false" customHeight="false" outlineLevel="0" collapsed="false">
      <c r="A594" s="18" t="s">
        <v>28</v>
      </c>
      <c r="B594" s="8" t="s">
        <v>29</v>
      </c>
      <c r="C594" s="9" t="n">
        <v>46223</v>
      </c>
      <c r="D594" s="8" t="n">
        <v>2026</v>
      </c>
      <c r="E594" s="8" t="n">
        <v>30</v>
      </c>
      <c r="F594" s="18" t="s">
        <v>128</v>
      </c>
      <c r="G594" s="8" t="s">
        <v>116</v>
      </c>
      <c r="H594" s="19" t="n">
        <v>0.333333333333333</v>
      </c>
      <c r="I594" s="19" t="n">
        <v>0.33125</v>
      </c>
      <c r="J594" s="19" t="n">
        <v>0.75</v>
      </c>
      <c r="K594" s="19" t="n">
        <v>0.75</v>
      </c>
      <c r="L594" s="19" t="n">
        <v>0.375</v>
      </c>
      <c r="M594" s="19" t="n">
        <v>0.375</v>
      </c>
      <c r="N594" s="19" t="n">
        <v>0</v>
      </c>
      <c r="O594" s="19" t="n">
        <v>0.00208333333333333</v>
      </c>
      <c r="P594" s="17" t="n">
        <f aca="false">IF(AND(ISNUMBER(H594),ISNUMBER(I594)),MAX(0,ROUND((I594-H594)*1440,0)-'Bilan agents'!$C$4),0)</f>
        <v>0</v>
      </c>
      <c r="Q594" s="8" t="str">
        <f aca="false">IF(H594="Congé","CP",IF(H594="Férié","F",IF(H594="OFF","R",IF(N594&gt;0,"A",IF(ISNUMBER(I594),"P","NR")))))</f>
        <v>P</v>
      </c>
      <c r="R594" s="18"/>
    </row>
    <row r="595" customFormat="false" ht="15" hidden="false" customHeight="false" outlineLevel="0" collapsed="false">
      <c r="A595" s="18" t="s">
        <v>28</v>
      </c>
      <c r="B595" s="8" t="s">
        <v>29</v>
      </c>
      <c r="C595" s="9" t="n">
        <v>46224</v>
      </c>
      <c r="D595" s="8" t="n">
        <v>2026</v>
      </c>
      <c r="E595" s="8" t="n">
        <v>30</v>
      </c>
      <c r="F595" s="18" t="s">
        <v>128</v>
      </c>
      <c r="G595" s="8" t="s">
        <v>117</v>
      </c>
      <c r="H595" s="19" t="n">
        <v>0.333333333333333</v>
      </c>
      <c r="I595" s="19" t="n">
        <v>0.33125</v>
      </c>
      <c r="J595" s="19" t="n">
        <v>0.75</v>
      </c>
      <c r="K595" s="19" t="n">
        <v>0.75</v>
      </c>
      <c r="L595" s="19" t="n">
        <v>0.375</v>
      </c>
      <c r="M595" s="19" t="n">
        <v>0.375</v>
      </c>
      <c r="N595" s="19" t="n">
        <v>0</v>
      </c>
      <c r="O595" s="19" t="n">
        <v>0.00208333333333333</v>
      </c>
      <c r="P595" s="17" t="n">
        <f aca="false">IF(AND(ISNUMBER(H595),ISNUMBER(I595)),MAX(0,ROUND((I595-H595)*1440,0)-'Bilan agents'!$C$4),0)</f>
        <v>0</v>
      </c>
      <c r="Q595" s="8" t="str">
        <f aca="false">IF(H595="Congé","CP",IF(H595="Férié","F",IF(H595="OFF","R",IF(N595&gt;0,"A",IF(ISNUMBER(I595),"P","NR")))))</f>
        <v>P</v>
      </c>
      <c r="R595" s="18"/>
    </row>
    <row r="596" customFormat="false" ht="15" hidden="false" customHeight="false" outlineLevel="0" collapsed="false">
      <c r="A596" s="18" t="s">
        <v>28</v>
      </c>
      <c r="B596" s="8" t="s">
        <v>29</v>
      </c>
      <c r="C596" s="9" t="n">
        <v>46225</v>
      </c>
      <c r="D596" s="8" t="n">
        <v>2026</v>
      </c>
      <c r="E596" s="8" t="n">
        <v>30</v>
      </c>
      <c r="F596" s="18" t="s">
        <v>128</v>
      </c>
      <c r="G596" s="8" t="s">
        <v>118</v>
      </c>
      <c r="H596" s="19" t="n">
        <v>0.333333333333333</v>
      </c>
      <c r="I596" s="19" t="n">
        <v>0.331944444444444</v>
      </c>
      <c r="J596" s="19" t="n">
        <v>0.75</v>
      </c>
      <c r="K596" s="19" t="n">
        <v>0.75</v>
      </c>
      <c r="L596" s="19" t="n">
        <v>0.375</v>
      </c>
      <c r="M596" s="19" t="n">
        <v>0.375</v>
      </c>
      <c r="N596" s="19" t="n">
        <v>0</v>
      </c>
      <c r="O596" s="19" t="n">
        <v>0.00138888888888889</v>
      </c>
      <c r="P596" s="17" t="n">
        <f aca="false">IF(AND(ISNUMBER(H596),ISNUMBER(I596)),MAX(0,ROUND((I596-H596)*1440,0)-'Bilan agents'!$C$4),0)</f>
        <v>0</v>
      </c>
      <c r="Q596" s="8" t="str">
        <f aca="false">IF(H596="Congé","CP",IF(H596="Férié","F",IF(H596="OFF","R",IF(N596&gt;0,"A",IF(ISNUMBER(I596),"P","NR")))))</f>
        <v>P</v>
      </c>
      <c r="R596" s="18"/>
    </row>
    <row r="597" customFormat="false" ht="15" hidden="false" customHeight="false" outlineLevel="0" collapsed="false">
      <c r="A597" s="18" t="s">
        <v>28</v>
      </c>
      <c r="B597" s="8" t="s">
        <v>29</v>
      </c>
      <c r="C597" s="9" t="n">
        <v>46226</v>
      </c>
      <c r="D597" s="8" t="n">
        <v>2026</v>
      </c>
      <c r="E597" s="8" t="n">
        <v>30</v>
      </c>
      <c r="F597" s="18" t="s">
        <v>128</v>
      </c>
      <c r="G597" s="8" t="s">
        <v>119</v>
      </c>
      <c r="H597" s="19" t="n">
        <v>0.333333333333333</v>
      </c>
      <c r="I597" s="19" t="n">
        <v>0.331944444444444</v>
      </c>
      <c r="J597" s="19" t="n">
        <v>0.75</v>
      </c>
      <c r="K597" s="19" t="n">
        <v>0.75</v>
      </c>
      <c r="L597" s="19" t="n">
        <v>0.375</v>
      </c>
      <c r="M597" s="19" t="n">
        <v>0.375</v>
      </c>
      <c r="N597" s="19" t="n">
        <v>0</v>
      </c>
      <c r="O597" s="19" t="n">
        <v>0.00138888888888889</v>
      </c>
      <c r="P597" s="17" t="n">
        <f aca="false">IF(AND(ISNUMBER(H597),ISNUMBER(I597)),MAX(0,ROUND((I597-H597)*1440,0)-'Bilan agents'!$C$4),0)</f>
        <v>0</v>
      </c>
      <c r="Q597" s="8" t="str">
        <f aca="false">IF(H597="Congé","CP",IF(H597="Férié","F",IF(H597="OFF","R",IF(N597&gt;0,"A",IF(ISNUMBER(I597),"P","NR")))))</f>
        <v>P</v>
      </c>
      <c r="R597" s="18"/>
    </row>
    <row r="598" customFormat="false" ht="15" hidden="false" customHeight="false" outlineLevel="0" collapsed="false">
      <c r="A598" s="18" t="s">
        <v>28</v>
      </c>
      <c r="B598" s="8" t="s">
        <v>29</v>
      </c>
      <c r="C598" s="9" t="n">
        <v>46227</v>
      </c>
      <c r="D598" s="8" t="n">
        <v>2026</v>
      </c>
      <c r="E598" s="8" t="n">
        <v>30</v>
      </c>
      <c r="F598" s="18" t="s">
        <v>128</v>
      </c>
      <c r="G598" s="8" t="s">
        <v>120</v>
      </c>
      <c r="H598" s="19" t="n">
        <v>0.333333333333333</v>
      </c>
      <c r="I598" s="19" t="n">
        <v>0.333333333333333</v>
      </c>
      <c r="J598" s="19" t="n">
        <v>0.708333333333333</v>
      </c>
      <c r="K598" s="19" t="n">
        <v>0.708333333333333</v>
      </c>
      <c r="L598" s="19" t="n">
        <v>0.333333333333333</v>
      </c>
      <c r="M598" s="19" t="n">
        <v>0.333333333333333</v>
      </c>
      <c r="N598" s="19" t="n">
        <v>0</v>
      </c>
      <c r="O598" s="19" t="n">
        <v>0</v>
      </c>
      <c r="P598" s="17" t="n">
        <f aca="false">IF(AND(ISNUMBER(H598),ISNUMBER(I598)),MAX(0,ROUND((I598-H598)*1440,0)-'Bilan agents'!$C$4),0)</f>
        <v>0</v>
      </c>
      <c r="Q598" s="8" t="str">
        <f aca="false">IF(H598="Congé","CP",IF(H598="Férié","F",IF(H598="OFF","R",IF(N598&gt;0,"A",IF(ISNUMBER(I598),"P","NR")))))</f>
        <v>P</v>
      </c>
      <c r="R598" s="18"/>
    </row>
    <row r="599" customFormat="false" ht="15" hidden="false" customHeight="false" outlineLevel="0" collapsed="false">
      <c r="A599" s="18" t="s">
        <v>28</v>
      </c>
      <c r="B599" s="8" t="s">
        <v>29</v>
      </c>
      <c r="C599" s="9" t="n">
        <v>46228</v>
      </c>
      <c r="D599" s="8" t="n">
        <v>2026</v>
      </c>
      <c r="E599" s="8" t="n">
        <v>30</v>
      </c>
      <c r="F599" s="18" t="s">
        <v>128</v>
      </c>
      <c r="G599" s="8" t="s">
        <v>121</v>
      </c>
      <c r="H599" s="19" t="s">
        <v>115</v>
      </c>
      <c r="I599" s="19"/>
      <c r="J599" s="19"/>
      <c r="K599" s="19"/>
      <c r="L599" s="19" t="n">
        <v>0</v>
      </c>
      <c r="M599" s="19"/>
      <c r="N599" s="19" t="n">
        <v>0</v>
      </c>
      <c r="O599" s="19" t="n">
        <v>0</v>
      </c>
      <c r="P599" s="17" t="n">
        <f aca="false">IF(AND(ISNUMBER(H599),ISNUMBER(I599)),MAX(0,ROUND((I599-H599)*1440,0)-'Bilan agents'!$C$4),0)</f>
        <v>0</v>
      </c>
      <c r="Q599" s="8" t="str">
        <f aca="false">IF(H599="Congé","CP",IF(H599="Férié","F",IF(H599="OFF","R",IF(N599&gt;0,"A",IF(ISNUMBER(I599),"P","NR")))))</f>
        <v>R</v>
      </c>
      <c r="R599" s="18"/>
    </row>
    <row r="600" customFormat="false" ht="15" hidden="false" customHeight="false" outlineLevel="0" collapsed="false">
      <c r="A600" s="18" t="s">
        <v>28</v>
      </c>
      <c r="B600" s="8" t="s">
        <v>29</v>
      </c>
      <c r="C600" s="9" t="n">
        <v>46229</v>
      </c>
      <c r="D600" s="8" t="n">
        <v>2026</v>
      </c>
      <c r="E600" s="8" t="n">
        <v>30</v>
      </c>
      <c r="F600" s="18" t="s">
        <v>128</v>
      </c>
      <c r="G600" s="8" t="s">
        <v>114</v>
      </c>
      <c r="H600" s="19" t="s">
        <v>115</v>
      </c>
      <c r="I600" s="19"/>
      <c r="J600" s="19"/>
      <c r="K600" s="19"/>
      <c r="L600" s="19" t="n">
        <v>0</v>
      </c>
      <c r="M600" s="19"/>
      <c r="N600" s="19" t="n">
        <v>0</v>
      </c>
      <c r="O600" s="19" t="n">
        <v>0</v>
      </c>
      <c r="P600" s="17" t="n">
        <f aca="false">IF(AND(ISNUMBER(H600),ISNUMBER(I600)),MAX(0,ROUND((I600-H600)*1440,0)-'Bilan agents'!$C$4),0)</f>
        <v>0</v>
      </c>
      <c r="Q600" s="8" t="str">
        <f aca="false">IF(H600="Congé","CP",IF(H600="Férié","F",IF(H600="OFF","R",IF(N600&gt;0,"A",IF(ISNUMBER(I600),"P","NR")))))</f>
        <v>R</v>
      </c>
      <c r="R600" s="18"/>
    </row>
    <row r="601" customFormat="false" ht="15" hidden="false" customHeight="false" outlineLevel="0" collapsed="false">
      <c r="A601" s="18" t="s">
        <v>28</v>
      </c>
      <c r="B601" s="8" t="s">
        <v>29</v>
      </c>
      <c r="C601" s="9" t="n">
        <v>46230</v>
      </c>
      <c r="D601" s="8" t="n">
        <v>2026</v>
      </c>
      <c r="E601" s="8" t="n">
        <v>31</v>
      </c>
      <c r="F601" s="18" t="s">
        <v>128</v>
      </c>
      <c r="G601" s="8" t="s">
        <v>116</v>
      </c>
      <c r="H601" s="19" t="n">
        <v>0.333333333333333</v>
      </c>
      <c r="I601" s="19" t="n">
        <v>0.333333333333333</v>
      </c>
      <c r="J601" s="19" t="n">
        <v>0.75</v>
      </c>
      <c r="K601" s="19" t="n">
        <v>0.75</v>
      </c>
      <c r="L601" s="19" t="n">
        <v>0.375</v>
      </c>
      <c r="M601" s="19" t="n">
        <v>0.375</v>
      </c>
      <c r="N601" s="19" t="n">
        <v>0</v>
      </c>
      <c r="O601" s="19" t="n">
        <v>0</v>
      </c>
      <c r="P601" s="17" t="n">
        <f aca="false">IF(AND(ISNUMBER(H601),ISNUMBER(I601)),MAX(0,ROUND((I601-H601)*1440,0)-'Bilan agents'!$C$4),0)</f>
        <v>0</v>
      </c>
      <c r="Q601" s="8" t="str">
        <f aca="false">IF(H601="Congé","CP",IF(H601="Férié","F",IF(H601="OFF","R",IF(N601&gt;0,"A",IF(ISNUMBER(I601),"P","NR")))))</f>
        <v>P</v>
      </c>
      <c r="R601" s="18"/>
    </row>
    <row r="602" customFormat="false" ht="15" hidden="false" customHeight="false" outlineLevel="0" collapsed="false">
      <c r="A602" s="18" t="s">
        <v>28</v>
      </c>
      <c r="B602" s="8" t="s">
        <v>29</v>
      </c>
      <c r="C602" s="9" t="n">
        <v>46231</v>
      </c>
      <c r="D602" s="8" t="n">
        <v>2026</v>
      </c>
      <c r="E602" s="8" t="n">
        <v>31</v>
      </c>
      <c r="F602" s="18" t="s">
        <v>128</v>
      </c>
      <c r="G602" s="8" t="s">
        <v>117</v>
      </c>
      <c r="H602" s="19" t="n">
        <v>0.333333333333333</v>
      </c>
      <c r="I602" s="19" t="n">
        <v>0.33125</v>
      </c>
      <c r="J602" s="19" t="n">
        <v>0.75</v>
      </c>
      <c r="K602" s="19" t="n">
        <v>0.75</v>
      </c>
      <c r="L602" s="19" t="n">
        <v>0.375</v>
      </c>
      <c r="M602" s="19" t="n">
        <v>0.375</v>
      </c>
      <c r="N602" s="19" t="n">
        <v>0</v>
      </c>
      <c r="O602" s="19" t="n">
        <v>0.00208333333333333</v>
      </c>
      <c r="P602" s="17" t="n">
        <f aca="false">IF(AND(ISNUMBER(H602),ISNUMBER(I602)),MAX(0,ROUND((I602-H602)*1440,0)-'Bilan agents'!$C$4),0)</f>
        <v>0</v>
      </c>
      <c r="Q602" s="8" t="str">
        <f aca="false">IF(H602="Congé","CP",IF(H602="Férié","F",IF(H602="OFF","R",IF(N602&gt;0,"A",IF(ISNUMBER(I602),"P","NR")))))</f>
        <v>P</v>
      </c>
      <c r="R602" s="18"/>
    </row>
    <row r="603" customFormat="false" ht="15" hidden="false" customHeight="false" outlineLevel="0" collapsed="false">
      <c r="A603" s="18" t="s">
        <v>28</v>
      </c>
      <c r="B603" s="8" t="s">
        <v>29</v>
      </c>
      <c r="C603" s="9" t="n">
        <v>46232</v>
      </c>
      <c r="D603" s="8" t="n">
        <v>2026</v>
      </c>
      <c r="E603" s="8" t="n">
        <v>31</v>
      </c>
      <c r="F603" s="18" t="s">
        <v>128</v>
      </c>
      <c r="G603" s="8" t="s">
        <v>118</v>
      </c>
      <c r="H603" s="19" t="n">
        <v>0.333333333333333</v>
      </c>
      <c r="I603" s="19" t="n">
        <v>0.331944444444444</v>
      </c>
      <c r="J603" s="19" t="n">
        <v>0.75</v>
      </c>
      <c r="K603" s="19" t="n">
        <v>0.75</v>
      </c>
      <c r="L603" s="19" t="n">
        <v>0.375</v>
      </c>
      <c r="M603" s="19" t="n">
        <v>0.375</v>
      </c>
      <c r="N603" s="19" t="n">
        <v>0</v>
      </c>
      <c r="O603" s="19" t="n">
        <v>0.00138888888888889</v>
      </c>
      <c r="P603" s="17" t="n">
        <f aca="false">IF(AND(ISNUMBER(H603),ISNUMBER(I603)),MAX(0,ROUND((I603-H603)*1440,0)-'Bilan agents'!$C$4),0)</f>
        <v>0</v>
      </c>
      <c r="Q603" s="8" t="str">
        <f aca="false">IF(H603="Congé","CP",IF(H603="Férié","F",IF(H603="OFF","R",IF(N603&gt;0,"A",IF(ISNUMBER(I603),"P","NR")))))</f>
        <v>P</v>
      </c>
      <c r="R603" s="18"/>
    </row>
    <row r="604" customFormat="false" ht="15" hidden="false" customHeight="false" outlineLevel="0" collapsed="false">
      <c r="A604" s="18" t="s">
        <v>28</v>
      </c>
      <c r="B604" s="8" t="s">
        <v>29</v>
      </c>
      <c r="C604" s="9" t="n">
        <v>46233</v>
      </c>
      <c r="D604" s="8" t="n">
        <v>2026</v>
      </c>
      <c r="E604" s="8" t="n">
        <v>31</v>
      </c>
      <c r="F604" s="18" t="s">
        <v>128</v>
      </c>
      <c r="G604" s="8" t="s">
        <v>119</v>
      </c>
      <c r="H604" s="19" t="n">
        <v>0.333333333333333</v>
      </c>
      <c r="I604" s="19" t="n">
        <v>0.331944444444444</v>
      </c>
      <c r="J604" s="19" t="n">
        <v>0.75</v>
      </c>
      <c r="K604" s="19" t="n">
        <v>0.75</v>
      </c>
      <c r="L604" s="19" t="n">
        <v>0.375</v>
      </c>
      <c r="M604" s="19" t="n">
        <v>0.375</v>
      </c>
      <c r="N604" s="19" t="n">
        <v>0</v>
      </c>
      <c r="O604" s="19" t="n">
        <v>0.00138888888888889</v>
      </c>
      <c r="P604" s="17" t="n">
        <f aca="false">IF(AND(ISNUMBER(H604),ISNUMBER(I604)),MAX(0,ROUND((I604-H604)*1440,0)-'Bilan agents'!$C$4),0)</f>
        <v>0</v>
      </c>
      <c r="Q604" s="8" t="str">
        <f aca="false">IF(H604="Congé","CP",IF(H604="Férié","F",IF(H604="OFF","R",IF(N604&gt;0,"A",IF(ISNUMBER(I604),"P","NR")))))</f>
        <v>P</v>
      </c>
      <c r="R604" s="18"/>
    </row>
    <row r="605" customFormat="false" ht="15" hidden="false" customHeight="false" outlineLevel="0" collapsed="false">
      <c r="A605" s="18" t="s">
        <v>28</v>
      </c>
      <c r="B605" s="8" t="s">
        <v>29</v>
      </c>
      <c r="C605" s="9" t="n">
        <v>46234</v>
      </c>
      <c r="D605" s="8" t="n">
        <v>2026</v>
      </c>
      <c r="E605" s="8" t="n">
        <v>31</v>
      </c>
      <c r="F605" s="18" t="s">
        <v>128</v>
      </c>
      <c r="G605" s="8" t="s">
        <v>120</v>
      </c>
      <c r="H605" s="19" t="n">
        <v>0.333333333333333</v>
      </c>
      <c r="I605" s="19" t="n">
        <v>0.330555555555556</v>
      </c>
      <c r="J605" s="19" t="n">
        <v>0.708333333333333</v>
      </c>
      <c r="K605" s="19" t="n">
        <v>0.708333333333333</v>
      </c>
      <c r="L605" s="19" t="n">
        <v>0.333333333333333</v>
      </c>
      <c r="M605" s="19" t="n">
        <v>0.333333333333333</v>
      </c>
      <c r="N605" s="19" t="n">
        <v>0</v>
      </c>
      <c r="O605" s="19" t="n">
        <v>0.00277777777777778</v>
      </c>
      <c r="P605" s="17" t="n">
        <f aca="false">IF(AND(ISNUMBER(H605),ISNUMBER(I605)),MAX(0,ROUND((I605-H605)*1440,0)-'Bilan agents'!$C$4),0)</f>
        <v>0</v>
      </c>
      <c r="Q605" s="8" t="str">
        <f aca="false">IF(H605="Congé","CP",IF(H605="Férié","F",IF(H605="OFF","R",IF(N605&gt;0,"A",IF(ISNUMBER(I605),"P","NR")))))</f>
        <v>P</v>
      </c>
      <c r="R605" s="18"/>
    </row>
    <row r="606" customFormat="false" ht="15" hidden="false" customHeight="false" outlineLevel="0" collapsed="false">
      <c r="A606" s="18" t="s">
        <v>28</v>
      </c>
      <c r="B606" s="8" t="s">
        <v>29</v>
      </c>
      <c r="C606" s="9" t="n">
        <v>46235</v>
      </c>
      <c r="D606" s="8" t="n">
        <v>2026</v>
      </c>
      <c r="E606" s="8" t="n">
        <v>31</v>
      </c>
      <c r="F606" s="18" t="s">
        <v>130</v>
      </c>
      <c r="G606" s="8" t="s">
        <v>121</v>
      </c>
      <c r="H606" s="19" t="s">
        <v>115</v>
      </c>
      <c r="I606" s="19"/>
      <c r="J606" s="19"/>
      <c r="K606" s="19"/>
      <c r="L606" s="19" t="n">
        <v>0</v>
      </c>
      <c r="M606" s="19"/>
      <c r="N606" s="19" t="n">
        <v>0</v>
      </c>
      <c r="O606" s="19" t="n">
        <v>0</v>
      </c>
      <c r="P606" s="17" t="n">
        <f aca="false">IF(AND(ISNUMBER(H606),ISNUMBER(I606)),MAX(0,ROUND((I606-H606)*1440,0)-'Bilan agents'!$C$4),0)</f>
        <v>0</v>
      </c>
      <c r="Q606" s="8" t="str">
        <f aca="false">IF(H606="Congé","CP",IF(H606="Férié","F",IF(H606="OFF","R",IF(N606&gt;0,"A",IF(ISNUMBER(I606),"P","NR")))))</f>
        <v>R</v>
      </c>
      <c r="R606" s="18"/>
    </row>
    <row r="607" customFormat="false" ht="15" hidden="false" customHeight="false" outlineLevel="0" collapsed="false">
      <c r="A607" s="18" t="s">
        <v>28</v>
      </c>
      <c r="B607" s="8" t="s">
        <v>29</v>
      </c>
      <c r="C607" s="9" t="n">
        <v>46236</v>
      </c>
      <c r="D607" s="8" t="n">
        <v>2026</v>
      </c>
      <c r="E607" s="8" t="n">
        <v>31</v>
      </c>
      <c r="F607" s="18" t="s">
        <v>130</v>
      </c>
      <c r="G607" s="8" t="s">
        <v>114</v>
      </c>
      <c r="H607" s="19" t="s">
        <v>115</v>
      </c>
      <c r="I607" s="19"/>
      <c r="J607" s="19"/>
      <c r="K607" s="19"/>
      <c r="L607" s="19" t="n">
        <v>0</v>
      </c>
      <c r="M607" s="19"/>
      <c r="N607" s="19" t="n">
        <v>0</v>
      </c>
      <c r="O607" s="19" t="n">
        <v>0</v>
      </c>
      <c r="P607" s="17" t="n">
        <f aca="false">IF(AND(ISNUMBER(H607),ISNUMBER(I607)),MAX(0,ROUND((I607-H607)*1440,0)-'Bilan agents'!$C$4),0)</f>
        <v>0</v>
      </c>
      <c r="Q607" s="8" t="str">
        <f aca="false">IF(H607="Congé","CP",IF(H607="Férié","F",IF(H607="OFF","R",IF(N607&gt;0,"A",IF(ISNUMBER(I607),"P","NR")))))</f>
        <v>R</v>
      </c>
      <c r="R607" s="18"/>
    </row>
    <row r="608" customFormat="false" ht="15" hidden="false" customHeight="false" outlineLevel="0" collapsed="false">
      <c r="A608" s="18" t="s">
        <v>28</v>
      </c>
      <c r="B608" s="8" t="s">
        <v>29</v>
      </c>
      <c r="C608" s="9" t="n">
        <v>46237</v>
      </c>
      <c r="D608" s="8" t="n">
        <v>2026</v>
      </c>
      <c r="E608" s="8" t="n">
        <v>32</v>
      </c>
      <c r="F608" s="18" t="s">
        <v>130</v>
      </c>
      <c r="G608" s="8" t="s">
        <v>116</v>
      </c>
      <c r="H608" s="19" t="n">
        <v>0.333333333333333</v>
      </c>
      <c r="I608" s="19" t="n">
        <v>0.330555555555556</v>
      </c>
      <c r="J608" s="19" t="n">
        <v>0.75</v>
      </c>
      <c r="K608" s="19" t="n">
        <v>0.75</v>
      </c>
      <c r="L608" s="19" t="n">
        <v>0.375</v>
      </c>
      <c r="M608" s="19" t="n">
        <v>0.375</v>
      </c>
      <c r="N608" s="19" t="n">
        <v>0</v>
      </c>
      <c r="O608" s="19" t="n">
        <v>0.00277777777777778</v>
      </c>
      <c r="P608" s="17" t="n">
        <f aca="false">IF(AND(ISNUMBER(H608),ISNUMBER(I608)),MAX(0,ROUND((I608-H608)*1440,0)-'Bilan agents'!$C$4),0)</f>
        <v>0</v>
      </c>
      <c r="Q608" s="8" t="str">
        <f aca="false">IF(H608="Congé","CP",IF(H608="Férié","F",IF(H608="OFF","R",IF(N608&gt;0,"A",IF(ISNUMBER(I608),"P","NR")))))</f>
        <v>P</v>
      </c>
      <c r="R608" s="18"/>
    </row>
    <row r="609" customFormat="false" ht="15" hidden="false" customHeight="false" outlineLevel="0" collapsed="false">
      <c r="A609" s="18" t="s">
        <v>28</v>
      </c>
      <c r="B609" s="8" t="s">
        <v>29</v>
      </c>
      <c r="C609" s="9" t="n">
        <v>46238</v>
      </c>
      <c r="D609" s="8" t="n">
        <v>2026</v>
      </c>
      <c r="E609" s="8" t="n">
        <v>32</v>
      </c>
      <c r="F609" s="18" t="s">
        <v>130</v>
      </c>
      <c r="G609" s="8" t="s">
        <v>117</v>
      </c>
      <c r="H609" s="19" t="n">
        <v>0.333333333333333</v>
      </c>
      <c r="I609" s="19" t="n">
        <v>0.331944444444444</v>
      </c>
      <c r="J609" s="19" t="n">
        <v>0.75</v>
      </c>
      <c r="K609" s="19" t="n">
        <v>0.75</v>
      </c>
      <c r="L609" s="19" t="n">
        <v>0.375</v>
      </c>
      <c r="M609" s="19" t="n">
        <v>0.375</v>
      </c>
      <c r="N609" s="19" t="n">
        <v>0</v>
      </c>
      <c r="O609" s="19" t="n">
        <v>0.00138888888888889</v>
      </c>
      <c r="P609" s="17" t="n">
        <f aca="false">IF(AND(ISNUMBER(H609),ISNUMBER(I609)),MAX(0,ROUND((I609-H609)*1440,0)-'Bilan agents'!$C$4),0)</f>
        <v>0</v>
      </c>
      <c r="Q609" s="8" t="str">
        <f aca="false">IF(H609="Congé","CP",IF(H609="Férié","F",IF(H609="OFF","R",IF(N609&gt;0,"A",IF(ISNUMBER(I609),"P","NR")))))</f>
        <v>P</v>
      </c>
      <c r="R609" s="18"/>
    </row>
    <row r="610" customFormat="false" ht="15" hidden="false" customHeight="false" outlineLevel="0" collapsed="false">
      <c r="A610" s="18" t="s">
        <v>28</v>
      </c>
      <c r="B610" s="8" t="s">
        <v>29</v>
      </c>
      <c r="C610" s="9" t="n">
        <v>46239</v>
      </c>
      <c r="D610" s="8" t="n">
        <v>2026</v>
      </c>
      <c r="E610" s="8" t="n">
        <v>32</v>
      </c>
      <c r="F610" s="18" t="s">
        <v>130</v>
      </c>
      <c r="G610" s="8" t="s">
        <v>118</v>
      </c>
      <c r="H610" s="19" t="n">
        <v>0.333333333333333</v>
      </c>
      <c r="I610" s="19" t="n">
        <v>0.332638888888889</v>
      </c>
      <c r="J610" s="19" t="n">
        <v>0.75</v>
      </c>
      <c r="K610" s="19" t="n">
        <v>0.75</v>
      </c>
      <c r="L610" s="19" t="n">
        <v>0.375</v>
      </c>
      <c r="M610" s="19" t="n">
        <v>0.375</v>
      </c>
      <c r="N610" s="19" t="n">
        <v>0</v>
      </c>
      <c r="O610" s="19" t="n">
        <v>0</v>
      </c>
      <c r="P610" s="17" t="n">
        <f aca="false">IF(AND(ISNUMBER(H610),ISNUMBER(I610)),MAX(0,ROUND((I610-H610)*1440,0)-'Bilan agents'!$C$4),0)</f>
        <v>0</v>
      </c>
      <c r="Q610" s="8" t="str">
        <f aca="false">IF(H610="Congé","CP",IF(H610="Férié","F",IF(H610="OFF","R",IF(N610&gt;0,"A",IF(ISNUMBER(I610),"P","NR")))))</f>
        <v>P</v>
      </c>
      <c r="R610" s="18"/>
    </row>
    <row r="611" customFormat="false" ht="15" hidden="false" customHeight="false" outlineLevel="0" collapsed="false">
      <c r="A611" s="18" t="s">
        <v>28</v>
      </c>
      <c r="B611" s="8" t="s">
        <v>29</v>
      </c>
      <c r="C611" s="9" t="n">
        <v>46240</v>
      </c>
      <c r="D611" s="8" t="n">
        <v>2026</v>
      </c>
      <c r="E611" s="8" t="n">
        <v>32</v>
      </c>
      <c r="F611" s="18" t="s">
        <v>130</v>
      </c>
      <c r="G611" s="8" t="s">
        <v>119</v>
      </c>
      <c r="H611" s="19" t="n">
        <v>0.333333333333333</v>
      </c>
      <c r="I611" s="19" t="n">
        <v>0.331944444444444</v>
      </c>
      <c r="J611" s="19" t="n">
        <v>0.75</v>
      </c>
      <c r="K611" s="19" t="n">
        <v>0.75</v>
      </c>
      <c r="L611" s="19" t="n">
        <v>0.375</v>
      </c>
      <c r="M611" s="19" t="n">
        <v>0.375</v>
      </c>
      <c r="N611" s="19" t="n">
        <v>0</v>
      </c>
      <c r="O611" s="19" t="n">
        <v>0.00138888888888889</v>
      </c>
      <c r="P611" s="17" t="n">
        <f aca="false">IF(AND(ISNUMBER(H611),ISNUMBER(I611)),MAX(0,ROUND((I611-H611)*1440,0)-'Bilan agents'!$C$4),0)</f>
        <v>0</v>
      </c>
      <c r="Q611" s="8" t="str">
        <f aca="false">IF(H611="Congé","CP",IF(H611="Férié","F",IF(H611="OFF","R",IF(N611&gt;0,"A",IF(ISNUMBER(I611),"P","NR")))))</f>
        <v>P</v>
      </c>
      <c r="R611" s="18"/>
    </row>
    <row r="612" customFormat="false" ht="15" hidden="false" customHeight="false" outlineLevel="0" collapsed="false">
      <c r="A612" s="18" t="s">
        <v>28</v>
      </c>
      <c r="B612" s="8" t="s">
        <v>29</v>
      </c>
      <c r="C612" s="9" t="n">
        <v>46241</v>
      </c>
      <c r="D612" s="8" t="n">
        <v>2026</v>
      </c>
      <c r="E612" s="8" t="n">
        <v>32</v>
      </c>
      <c r="F612" s="18" t="s">
        <v>130</v>
      </c>
      <c r="G612" s="8" t="s">
        <v>120</v>
      </c>
      <c r="H612" s="19" t="n">
        <v>0.333333333333333</v>
      </c>
      <c r="I612" s="19" t="n">
        <v>0.333333333333333</v>
      </c>
      <c r="J612" s="19" t="n">
        <v>0.708333333333333</v>
      </c>
      <c r="K612" s="19" t="n">
        <v>0.708333333333333</v>
      </c>
      <c r="L612" s="19" t="n">
        <v>0.333333333333333</v>
      </c>
      <c r="M612" s="19" t="n">
        <v>0.333333333333333</v>
      </c>
      <c r="N612" s="19" t="n">
        <v>0</v>
      </c>
      <c r="O612" s="19" t="n">
        <v>0</v>
      </c>
      <c r="P612" s="17" t="n">
        <f aca="false">IF(AND(ISNUMBER(H612),ISNUMBER(I612)),MAX(0,ROUND((I612-H612)*1440,0)-'Bilan agents'!$C$4),0)</f>
        <v>0</v>
      </c>
      <c r="Q612" s="8" t="str">
        <f aca="false">IF(H612="Congé","CP",IF(H612="Férié","F",IF(H612="OFF","R",IF(N612&gt;0,"A",IF(ISNUMBER(I612),"P","NR")))))</f>
        <v>P</v>
      </c>
      <c r="R612" s="18"/>
    </row>
    <row r="613" customFormat="false" ht="15" hidden="false" customHeight="false" outlineLevel="0" collapsed="false">
      <c r="A613" s="18" t="s">
        <v>28</v>
      </c>
      <c r="B613" s="8" t="s">
        <v>29</v>
      </c>
      <c r="C613" s="9" t="n">
        <v>46242</v>
      </c>
      <c r="D613" s="8" t="n">
        <v>2026</v>
      </c>
      <c r="E613" s="8" t="n">
        <v>32</v>
      </c>
      <c r="F613" s="18" t="s">
        <v>130</v>
      </c>
      <c r="G613" s="8" t="s">
        <v>121</v>
      </c>
      <c r="H613" s="19" t="s">
        <v>115</v>
      </c>
      <c r="I613" s="19"/>
      <c r="J613" s="19"/>
      <c r="K613" s="19"/>
      <c r="L613" s="19" t="n">
        <v>0</v>
      </c>
      <c r="M613" s="19"/>
      <c r="N613" s="19" t="n">
        <v>0</v>
      </c>
      <c r="O613" s="19" t="n">
        <v>0</v>
      </c>
      <c r="P613" s="17" t="n">
        <f aca="false">IF(AND(ISNUMBER(H613),ISNUMBER(I613)),MAX(0,ROUND((I613-H613)*1440,0)-'Bilan agents'!$C$4),0)</f>
        <v>0</v>
      </c>
      <c r="Q613" s="8" t="str">
        <f aca="false">IF(H613="Congé","CP",IF(H613="Férié","F",IF(H613="OFF","R",IF(N613&gt;0,"A",IF(ISNUMBER(I613),"P","NR")))))</f>
        <v>R</v>
      </c>
      <c r="R613" s="18"/>
    </row>
    <row r="614" customFormat="false" ht="15" hidden="false" customHeight="false" outlineLevel="0" collapsed="false">
      <c r="A614" s="18" t="s">
        <v>28</v>
      </c>
      <c r="B614" s="8" t="s">
        <v>29</v>
      </c>
      <c r="C614" s="9" t="n">
        <v>46243</v>
      </c>
      <c r="D614" s="8" t="n">
        <v>2026</v>
      </c>
      <c r="E614" s="8" t="n">
        <v>32</v>
      </c>
      <c r="F614" s="18" t="s">
        <v>130</v>
      </c>
      <c r="G614" s="8" t="s">
        <v>114</v>
      </c>
      <c r="H614" s="19" t="s">
        <v>115</v>
      </c>
      <c r="I614" s="19"/>
      <c r="J614" s="19"/>
      <c r="K614" s="19"/>
      <c r="L614" s="19" t="n">
        <v>0</v>
      </c>
      <c r="M614" s="19"/>
      <c r="N614" s="19" t="n">
        <v>0</v>
      </c>
      <c r="O614" s="19" t="n">
        <v>0</v>
      </c>
      <c r="P614" s="17" t="n">
        <f aca="false">IF(AND(ISNUMBER(H614),ISNUMBER(I614)),MAX(0,ROUND((I614-H614)*1440,0)-'Bilan agents'!$C$4),0)</f>
        <v>0</v>
      </c>
      <c r="Q614" s="8" t="str">
        <f aca="false">IF(H614="Congé","CP",IF(H614="Férié","F",IF(H614="OFF","R",IF(N614&gt;0,"A",IF(ISNUMBER(I614),"P","NR")))))</f>
        <v>R</v>
      </c>
      <c r="R614" s="18"/>
    </row>
    <row r="615" customFormat="false" ht="15" hidden="false" customHeight="false" outlineLevel="0" collapsed="false">
      <c r="A615" s="18" t="s">
        <v>28</v>
      </c>
      <c r="B615" s="8" t="s">
        <v>29</v>
      </c>
      <c r="C615" s="9" t="n">
        <v>46244</v>
      </c>
      <c r="D615" s="8" t="n">
        <v>2026</v>
      </c>
      <c r="E615" s="8" t="n">
        <v>33</v>
      </c>
      <c r="F615" s="18" t="s">
        <v>130</v>
      </c>
      <c r="G615" s="8" t="s">
        <v>116</v>
      </c>
      <c r="H615" s="19" t="n">
        <v>0.333333333333333</v>
      </c>
      <c r="I615" s="19" t="n">
        <v>0.331944444444444</v>
      </c>
      <c r="J615" s="19" t="n">
        <v>0.75</v>
      </c>
      <c r="K615" s="19" t="n">
        <v>0.75</v>
      </c>
      <c r="L615" s="19" t="n">
        <v>0.375</v>
      </c>
      <c r="M615" s="19" t="n">
        <v>0.375</v>
      </c>
      <c r="N615" s="19" t="n">
        <v>0</v>
      </c>
      <c r="O615" s="19" t="n">
        <v>0.00138888888888889</v>
      </c>
      <c r="P615" s="17" t="n">
        <f aca="false">IF(AND(ISNUMBER(H615),ISNUMBER(I615)),MAX(0,ROUND((I615-H615)*1440,0)-'Bilan agents'!$C$4),0)</f>
        <v>0</v>
      </c>
      <c r="Q615" s="8" t="str">
        <f aca="false">IF(H615="Congé","CP",IF(H615="Férié","F",IF(H615="OFF","R",IF(N615&gt;0,"A",IF(ISNUMBER(I615),"P","NR")))))</f>
        <v>P</v>
      </c>
      <c r="R615" s="18"/>
    </row>
    <row r="616" customFormat="false" ht="15" hidden="false" customHeight="false" outlineLevel="0" collapsed="false">
      <c r="A616" s="18" t="s">
        <v>28</v>
      </c>
      <c r="B616" s="8" t="s">
        <v>29</v>
      </c>
      <c r="C616" s="9" t="n">
        <v>46245</v>
      </c>
      <c r="D616" s="8" t="n">
        <v>2026</v>
      </c>
      <c r="E616" s="8" t="n">
        <v>33</v>
      </c>
      <c r="F616" s="18" t="s">
        <v>130</v>
      </c>
      <c r="G616" s="8" t="s">
        <v>117</v>
      </c>
      <c r="H616" s="19" t="n">
        <v>0.333333333333333</v>
      </c>
      <c r="I616" s="19" t="n">
        <v>0.332638888888889</v>
      </c>
      <c r="J616" s="19" t="n">
        <v>0.75</v>
      </c>
      <c r="K616" s="19" t="n">
        <v>0.75</v>
      </c>
      <c r="L616" s="19" t="n">
        <v>0.375</v>
      </c>
      <c r="M616" s="19" t="n">
        <v>0.375</v>
      </c>
      <c r="N616" s="19" t="n">
        <v>0</v>
      </c>
      <c r="O616" s="19" t="n">
        <v>0</v>
      </c>
      <c r="P616" s="17" t="n">
        <f aca="false">IF(AND(ISNUMBER(H616),ISNUMBER(I616)),MAX(0,ROUND((I616-H616)*1440,0)-'Bilan agents'!$C$4),0)</f>
        <v>0</v>
      </c>
      <c r="Q616" s="8" t="str">
        <f aca="false">IF(H616="Congé","CP",IF(H616="Férié","F",IF(H616="OFF","R",IF(N616&gt;0,"A",IF(ISNUMBER(I616),"P","NR")))))</f>
        <v>P</v>
      </c>
      <c r="R616" s="18"/>
    </row>
    <row r="617" customFormat="false" ht="15" hidden="false" customHeight="false" outlineLevel="0" collapsed="false">
      <c r="A617" s="18" t="s">
        <v>28</v>
      </c>
      <c r="B617" s="8" t="s">
        <v>29</v>
      </c>
      <c r="C617" s="9" t="n">
        <v>46246</v>
      </c>
      <c r="D617" s="8" t="n">
        <v>2026</v>
      </c>
      <c r="E617" s="8" t="n">
        <v>33</v>
      </c>
      <c r="F617" s="18" t="s">
        <v>130</v>
      </c>
      <c r="G617" s="8" t="s">
        <v>118</v>
      </c>
      <c r="H617" s="19" t="n">
        <v>0.333333333333333</v>
      </c>
      <c r="I617" s="19" t="n">
        <v>0.330555555555556</v>
      </c>
      <c r="J617" s="19" t="n">
        <v>0.75</v>
      </c>
      <c r="K617" s="19" t="n">
        <v>0.75</v>
      </c>
      <c r="L617" s="19" t="n">
        <v>0.375</v>
      </c>
      <c r="M617" s="19" t="n">
        <v>0.375</v>
      </c>
      <c r="N617" s="19" t="n">
        <v>0</v>
      </c>
      <c r="O617" s="19" t="n">
        <v>0.00277777777777778</v>
      </c>
      <c r="P617" s="17" t="n">
        <f aca="false">IF(AND(ISNUMBER(H617),ISNUMBER(I617)),MAX(0,ROUND((I617-H617)*1440,0)-'Bilan agents'!$C$4),0)</f>
        <v>0</v>
      </c>
      <c r="Q617" s="8" t="str">
        <f aca="false">IF(H617="Congé","CP",IF(H617="Férié","F",IF(H617="OFF","R",IF(N617&gt;0,"A",IF(ISNUMBER(I617),"P","NR")))))</f>
        <v>P</v>
      </c>
      <c r="R617" s="18"/>
    </row>
    <row r="618" customFormat="false" ht="15" hidden="false" customHeight="false" outlineLevel="0" collapsed="false">
      <c r="A618" s="18" t="s">
        <v>28</v>
      </c>
      <c r="B618" s="8" t="s">
        <v>29</v>
      </c>
      <c r="C618" s="9" t="n">
        <v>46247</v>
      </c>
      <c r="D618" s="8" t="n">
        <v>2026</v>
      </c>
      <c r="E618" s="8" t="n">
        <v>33</v>
      </c>
      <c r="F618" s="18" t="s">
        <v>130</v>
      </c>
      <c r="G618" s="8" t="s">
        <v>119</v>
      </c>
      <c r="H618" s="19" t="n">
        <v>0.333333333333333</v>
      </c>
      <c r="I618" s="19" t="n">
        <v>0.332638888888889</v>
      </c>
      <c r="J618" s="19" t="n">
        <v>0.75</v>
      </c>
      <c r="K618" s="19" t="n">
        <v>0.75</v>
      </c>
      <c r="L618" s="19" t="n">
        <v>0.375</v>
      </c>
      <c r="M618" s="19" t="n">
        <v>0.375</v>
      </c>
      <c r="N618" s="19" t="n">
        <v>0</v>
      </c>
      <c r="O618" s="19" t="n">
        <v>0</v>
      </c>
      <c r="P618" s="17" t="n">
        <f aca="false">IF(AND(ISNUMBER(H618),ISNUMBER(I618)),MAX(0,ROUND((I618-H618)*1440,0)-'Bilan agents'!$C$4),0)</f>
        <v>0</v>
      </c>
      <c r="Q618" s="8" t="str">
        <f aca="false">IF(H618="Congé","CP",IF(H618="Férié","F",IF(H618="OFF","R",IF(N618&gt;0,"A",IF(ISNUMBER(I618),"P","NR")))))</f>
        <v>P</v>
      </c>
      <c r="R618" s="18"/>
    </row>
    <row r="619" customFormat="false" ht="15" hidden="false" customHeight="false" outlineLevel="0" collapsed="false">
      <c r="A619" s="18" t="s">
        <v>28</v>
      </c>
      <c r="B619" s="8" t="s">
        <v>29</v>
      </c>
      <c r="C619" s="9" t="n">
        <v>46248</v>
      </c>
      <c r="D619" s="8" t="n">
        <v>2026</v>
      </c>
      <c r="E619" s="8" t="n">
        <v>33</v>
      </c>
      <c r="F619" s="18" t="s">
        <v>130</v>
      </c>
      <c r="G619" s="8" t="s">
        <v>120</v>
      </c>
      <c r="H619" s="19" t="n">
        <v>0.333333333333333</v>
      </c>
      <c r="I619" s="19" t="n">
        <v>0.331944444444444</v>
      </c>
      <c r="J619" s="19" t="n">
        <v>0.708333333333333</v>
      </c>
      <c r="K619" s="19" t="n">
        <v>0.708333333333333</v>
      </c>
      <c r="L619" s="19" t="n">
        <v>0.333333333333333</v>
      </c>
      <c r="M619" s="19" t="n">
        <v>0.333333333333333</v>
      </c>
      <c r="N619" s="19" t="n">
        <v>0</v>
      </c>
      <c r="O619" s="19" t="n">
        <v>0.00138888888888889</v>
      </c>
      <c r="P619" s="17" t="n">
        <f aca="false">IF(AND(ISNUMBER(H619),ISNUMBER(I619)),MAX(0,ROUND((I619-H619)*1440,0)-'Bilan agents'!$C$4),0)</f>
        <v>0</v>
      </c>
      <c r="Q619" s="8" t="str">
        <f aca="false">IF(H619="Congé","CP",IF(H619="Férié","F",IF(H619="OFF","R",IF(N619&gt;0,"A",IF(ISNUMBER(I619),"P","NR")))))</f>
        <v>P</v>
      </c>
      <c r="R619" s="18"/>
    </row>
    <row r="620" customFormat="false" ht="15" hidden="false" customHeight="false" outlineLevel="0" collapsed="false">
      <c r="A620" s="18" t="s">
        <v>28</v>
      </c>
      <c r="B620" s="8" t="s">
        <v>29</v>
      </c>
      <c r="C620" s="9" t="n">
        <v>46249</v>
      </c>
      <c r="D620" s="8" t="n">
        <v>2026</v>
      </c>
      <c r="E620" s="8" t="n">
        <v>33</v>
      </c>
      <c r="F620" s="18" t="s">
        <v>130</v>
      </c>
      <c r="G620" s="8" t="s">
        <v>121</v>
      </c>
      <c r="H620" s="19" t="s">
        <v>115</v>
      </c>
      <c r="I620" s="19"/>
      <c r="J620" s="19"/>
      <c r="K620" s="19"/>
      <c r="L620" s="19" t="n">
        <v>0</v>
      </c>
      <c r="M620" s="19"/>
      <c r="N620" s="19" t="n">
        <v>0</v>
      </c>
      <c r="O620" s="19" t="n">
        <v>0</v>
      </c>
      <c r="P620" s="17" t="n">
        <f aca="false">IF(AND(ISNUMBER(H620),ISNUMBER(I620)),MAX(0,ROUND((I620-H620)*1440,0)-'Bilan agents'!$C$4),0)</f>
        <v>0</v>
      </c>
      <c r="Q620" s="8" t="str">
        <f aca="false">IF(H620="Congé","CP",IF(H620="Férié","F",IF(H620="OFF","R",IF(N620&gt;0,"A",IF(ISNUMBER(I620),"P","NR")))))</f>
        <v>R</v>
      </c>
      <c r="R620" s="18"/>
    </row>
    <row r="621" customFormat="false" ht="15" hidden="false" customHeight="false" outlineLevel="0" collapsed="false">
      <c r="A621" s="18" t="s">
        <v>28</v>
      </c>
      <c r="B621" s="8" t="s">
        <v>29</v>
      </c>
      <c r="C621" s="9" t="n">
        <v>46250</v>
      </c>
      <c r="D621" s="8" t="n">
        <v>2026</v>
      </c>
      <c r="E621" s="8" t="n">
        <v>33</v>
      </c>
      <c r="F621" s="18" t="s">
        <v>130</v>
      </c>
      <c r="G621" s="8" t="s">
        <v>114</v>
      </c>
      <c r="H621" s="19" t="s">
        <v>115</v>
      </c>
      <c r="I621" s="19"/>
      <c r="J621" s="19"/>
      <c r="K621" s="19"/>
      <c r="L621" s="19" t="n">
        <v>0</v>
      </c>
      <c r="M621" s="19"/>
      <c r="N621" s="19" t="n">
        <v>0</v>
      </c>
      <c r="O621" s="19" t="n">
        <v>0</v>
      </c>
      <c r="P621" s="17" t="n">
        <f aca="false">IF(AND(ISNUMBER(H621),ISNUMBER(I621)),MAX(0,ROUND((I621-H621)*1440,0)-'Bilan agents'!$C$4),0)</f>
        <v>0</v>
      </c>
      <c r="Q621" s="8" t="str">
        <f aca="false">IF(H621="Congé","CP",IF(H621="Férié","F",IF(H621="OFF","R",IF(N621&gt;0,"A",IF(ISNUMBER(I621),"P","NR")))))</f>
        <v>R</v>
      </c>
      <c r="R621" s="18"/>
    </row>
    <row r="622" customFormat="false" ht="15" hidden="false" customHeight="false" outlineLevel="0" collapsed="false">
      <c r="A622" s="18" t="s">
        <v>28</v>
      </c>
      <c r="B622" s="8" t="s">
        <v>29</v>
      </c>
      <c r="C622" s="9" t="n">
        <v>46251</v>
      </c>
      <c r="D622" s="8" t="n">
        <v>2026</v>
      </c>
      <c r="E622" s="8" t="n">
        <v>34</v>
      </c>
      <c r="F622" s="18" t="s">
        <v>130</v>
      </c>
      <c r="G622" s="8" t="s">
        <v>116</v>
      </c>
      <c r="H622" s="19" t="n">
        <v>0.333333333333333</v>
      </c>
      <c r="I622" s="19" t="n">
        <v>0.332638888888889</v>
      </c>
      <c r="J622" s="19" t="n">
        <v>0.75</v>
      </c>
      <c r="K622" s="19" t="n">
        <v>0.75</v>
      </c>
      <c r="L622" s="19" t="n">
        <v>0.375</v>
      </c>
      <c r="M622" s="19" t="n">
        <v>0.375</v>
      </c>
      <c r="N622" s="19" t="n">
        <v>0</v>
      </c>
      <c r="O622" s="19" t="n">
        <v>0</v>
      </c>
      <c r="P622" s="17" t="n">
        <f aca="false">IF(AND(ISNUMBER(H622),ISNUMBER(I622)),MAX(0,ROUND((I622-H622)*1440,0)-'Bilan agents'!$C$4),0)</f>
        <v>0</v>
      </c>
      <c r="Q622" s="8" t="str">
        <f aca="false">IF(H622="Congé","CP",IF(H622="Férié","F",IF(H622="OFF","R",IF(N622&gt;0,"A",IF(ISNUMBER(I622),"P","NR")))))</f>
        <v>P</v>
      </c>
      <c r="R622" s="18"/>
    </row>
    <row r="623" customFormat="false" ht="15" hidden="false" customHeight="false" outlineLevel="0" collapsed="false">
      <c r="A623" s="18" t="s">
        <v>28</v>
      </c>
      <c r="B623" s="8" t="s">
        <v>29</v>
      </c>
      <c r="C623" s="9" t="n">
        <v>46252</v>
      </c>
      <c r="D623" s="8" t="n">
        <v>2026</v>
      </c>
      <c r="E623" s="8" t="n">
        <v>34</v>
      </c>
      <c r="F623" s="18" t="s">
        <v>130</v>
      </c>
      <c r="G623" s="8" t="s">
        <v>117</v>
      </c>
      <c r="H623" s="19" t="n">
        <v>0.333333333333333</v>
      </c>
      <c r="I623" s="19" t="n">
        <v>0.33125</v>
      </c>
      <c r="J623" s="19" t="n">
        <v>0.75</v>
      </c>
      <c r="K623" s="19" t="n">
        <v>0.75</v>
      </c>
      <c r="L623" s="19" t="n">
        <v>0.375</v>
      </c>
      <c r="M623" s="19" t="n">
        <v>0.375</v>
      </c>
      <c r="N623" s="19" t="n">
        <v>0</v>
      </c>
      <c r="O623" s="19" t="n">
        <v>0.00208333333333333</v>
      </c>
      <c r="P623" s="17" t="n">
        <f aca="false">IF(AND(ISNUMBER(H623),ISNUMBER(I623)),MAX(0,ROUND((I623-H623)*1440,0)-'Bilan agents'!$C$4),0)</f>
        <v>0</v>
      </c>
      <c r="Q623" s="8" t="str">
        <f aca="false">IF(H623="Congé","CP",IF(H623="Férié","F",IF(H623="OFF","R",IF(N623&gt;0,"A",IF(ISNUMBER(I623),"P","NR")))))</f>
        <v>P</v>
      </c>
      <c r="R623" s="18"/>
    </row>
    <row r="624" customFormat="false" ht="15" hidden="false" customHeight="false" outlineLevel="0" collapsed="false">
      <c r="A624" s="18" t="s">
        <v>28</v>
      </c>
      <c r="B624" s="8" t="s">
        <v>29</v>
      </c>
      <c r="C624" s="9" t="n">
        <v>46253</v>
      </c>
      <c r="D624" s="8" t="n">
        <v>2026</v>
      </c>
      <c r="E624" s="8" t="n">
        <v>34</v>
      </c>
      <c r="F624" s="18" t="s">
        <v>130</v>
      </c>
      <c r="G624" s="8" t="s">
        <v>118</v>
      </c>
      <c r="H624" s="19" t="n">
        <v>0.333333333333333</v>
      </c>
      <c r="I624" s="19" t="n">
        <v>0.333333333333333</v>
      </c>
      <c r="J624" s="19" t="n">
        <v>0.75</v>
      </c>
      <c r="K624" s="19" t="n">
        <v>0.75</v>
      </c>
      <c r="L624" s="19" t="n">
        <v>0.375</v>
      </c>
      <c r="M624" s="19" t="n">
        <v>0.375</v>
      </c>
      <c r="N624" s="19" t="n">
        <v>0</v>
      </c>
      <c r="O624" s="19" t="n">
        <v>0</v>
      </c>
      <c r="P624" s="17" t="n">
        <f aca="false">IF(AND(ISNUMBER(H624),ISNUMBER(I624)),MAX(0,ROUND((I624-H624)*1440,0)-'Bilan agents'!$C$4),0)</f>
        <v>0</v>
      </c>
      <c r="Q624" s="8" t="str">
        <f aca="false">IF(H624="Congé","CP",IF(H624="Férié","F",IF(H624="OFF","R",IF(N624&gt;0,"A",IF(ISNUMBER(I624),"P","NR")))))</f>
        <v>P</v>
      </c>
      <c r="R624" s="18"/>
    </row>
    <row r="625" customFormat="false" ht="15" hidden="false" customHeight="false" outlineLevel="0" collapsed="false">
      <c r="A625" s="18" t="s">
        <v>28</v>
      </c>
      <c r="B625" s="8" t="s">
        <v>29</v>
      </c>
      <c r="C625" s="9" t="n">
        <v>46254</v>
      </c>
      <c r="D625" s="8" t="n">
        <v>2026</v>
      </c>
      <c r="E625" s="8" t="n">
        <v>34</v>
      </c>
      <c r="F625" s="18" t="s">
        <v>130</v>
      </c>
      <c r="G625" s="8" t="s">
        <v>119</v>
      </c>
      <c r="H625" s="19" t="n">
        <v>0.333333333333333</v>
      </c>
      <c r="I625" s="19" t="n">
        <v>0.330555555555556</v>
      </c>
      <c r="J625" s="19" t="n">
        <v>0.75</v>
      </c>
      <c r="K625" s="19" t="n">
        <v>0.75</v>
      </c>
      <c r="L625" s="19" t="n">
        <v>0.375</v>
      </c>
      <c r="M625" s="19" t="n">
        <v>0.375</v>
      </c>
      <c r="N625" s="19" t="n">
        <v>0</v>
      </c>
      <c r="O625" s="19" t="n">
        <v>0.00277777777777778</v>
      </c>
      <c r="P625" s="17" t="n">
        <f aca="false">IF(AND(ISNUMBER(H625),ISNUMBER(I625)),MAX(0,ROUND((I625-H625)*1440,0)-'Bilan agents'!$C$4),0)</f>
        <v>0</v>
      </c>
      <c r="Q625" s="8" t="str">
        <f aca="false">IF(H625="Congé","CP",IF(H625="Férié","F",IF(H625="OFF","R",IF(N625&gt;0,"A",IF(ISNUMBER(I625),"P","NR")))))</f>
        <v>P</v>
      </c>
      <c r="R625" s="18"/>
    </row>
    <row r="626" customFormat="false" ht="15" hidden="false" customHeight="false" outlineLevel="0" collapsed="false">
      <c r="A626" s="18" t="s">
        <v>28</v>
      </c>
      <c r="B626" s="8" t="s">
        <v>29</v>
      </c>
      <c r="C626" s="9" t="n">
        <v>46255</v>
      </c>
      <c r="D626" s="8" t="n">
        <v>2026</v>
      </c>
      <c r="E626" s="8" t="n">
        <v>34</v>
      </c>
      <c r="F626" s="18" t="s">
        <v>130</v>
      </c>
      <c r="G626" s="8" t="s">
        <v>120</v>
      </c>
      <c r="H626" s="19" t="n">
        <v>0.333333333333333</v>
      </c>
      <c r="I626" s="19" t="n">
        <v>0.332638888888889</v>
      </c>
      <c r="J626" s="19" t="n">
        <v>0.708333333333333</v>
      </c>
      <c r="K626" s="19" t="n">
        <v>0.708333333333333</v>
      </c>
      <c r="L626" s="19" t="n">
        <v>0.333333333333333</v>
      </c>
      <c r="M626" s="19" t="n">
        <v>0.333333333333333</v>
      </c>
      <c r="N626" s="19" t="n">
        <v>0</v>
      </c>
      <c r="O626" s="19" t="n">
        <v>0</v>
      </c>
      <c r="P626" s="17" t="n">
        <f aca="false">IF(AND(ISNUMBER(H626),ISNUMBER(I626)),MAX(0,ROUND((I626-H626)*1440,0)-'Bilan agents'!$C$4),0)</f>
        <v>0</v>
      </c>
      <c r="Q626" s="8" t="str">
        <f aca="false">IF(H626="Congé","CP",IF(H626="Férié","F",IF(H626="OFF","R",IF(N626&gt;0,"A",IF(ISNUMBER(I626),"P","NR")))))</f>
        <v>P</v>
      </c>
      <c r="R626" s="18"/>
    </row>
    <row r="627" customFormat="false" ht="15" hidden="false" customHeight="false" outlineLevel="0" collapsed="false">
      <c r="A627" s="18" t="s">
        <v>28</v>
      </c>
      <c r="B627" s="8" t="s">
        <v>29</v>
      </c>
      <c r="C627" s="9" t="n">
        <v>46256</v>
      </c>
      <c r="D627" s="8" t="n">
        <v>2026</v>
      </c>
      <c r="E627" s="8" t="n">
        <v>34</v>
      </c>
      <c r="F627" s="18" t="s">
        <v>130</v>
      </c>
      <c r="G627" s="8" t="s">
        <v>121</v>
      </c>
      <c r="H627" s="19" t="s">
        <v>115</v>
      </c>
      <c r="I627" s="19"/>
      <c r="J627" s="19"/>
      <c r="K627" s="19"/>
      <c r="L627" s="19" t="n">
        <v>0</v>
      </c>
      <c r="M627" s="19"/>
      <c r="N627" s="19" t="n">
        <v>0</v>
      </c>
      <c r="O627" s="19" t="n">
        <v>0</v>
      </c>
      <c r="P627" s="17" t="n">
        <f aca="false">IF(AND(ISNUMBER(H627),ISNUMBER(I627)),MAX(0,ROUND((I627-H627)*1440,0)-'Bilan agents'!$C$4),0)</f>
        <v>0</v>
      </c>
      <c r="Q627" s="8" t="str">
        <f aca="false">IF(H627="Congé","CP",IF(H627="Férié","F",IF(H627="OFF","R",IF(N627&gt;0,"A",IF(ISNUMBER(I627),"P","NR")))))</f>
        <v>R</v>
      </c>
      <c r="R627" s="18"/>
    </row>
    <row r="628" customFormat="false" ht="15" hidden="false" customHeight="false" outlineLevel="0" collapsed="false">
      <c r="A628" s="18" t="s">
        <v>28</v>
      </c>
      <c r="B628" s="8" t="s">
        <v>29</v>
      </c>
      <c r="C628" s="9" t="n">
        <v>46257</v>
      </c>
      <c r="D628" s="8" t="n">
        <v>2026</v>
      </c>
      <c r="E628" s="8" t="n">
        <v>34</v>
      </c>
      <c r="F628" s="18" t="s">
        <v>130</v>
      </c>
      <c r="G628" s="8" t="s">
        <v>114</v>
      </c>
      <c r="H628" s="19" t="s">
        <v>115</v>
      </c>
      <c r="I628" s="19"/>
      <c r="J628" s="19"/>
      <c r="K628" s="19"/>
      <c r="L628" s="19" t="n">
        <v>0</v>
      </c>
      <c r="M628" s="19"/>
      <c r="N628" s="19" t="n">
        <v>0</v>
      </c>
      <c r="O628" s="19" t="n">
        <v>0</v>
      </c>
      <c r="P628" s="17" t="n">
        <f aca="false">IF(AND(ISNUMBER(H628),ISNUMBER(I628)),MAX(0,ROUND((I628-H628)*1440,0)-'Bilan agents'!$C$4),0)</f>
        <v>0</v>
      </c>
      <c r="Q628" s="8" t="str">
        <f aca="false">IF(H628="Congé","CP",IF(H628="Férié","F",IF(H628="OFF","R",IF(N628&gt;0,"A",IF(ISNUMBER(I628),"P","NR")))))</f>
        <v>R</v>
      </c>
      <c r="R628" s="18"/>
    </row>
    <row r="629" customFormat="false" ht="15" hidden="false" customHeight="false" outlineLevel="0" collapsed="false">
      <c r="A629" s="18" t="s">
        <v>28</v>
      </c>
      <c r="B629" s="8" t="s">
        <v>29</v>
      </c>
      <c r="C629" s="9" t="n">
        <v>46258</v>
      </c>
      <c r="D629" s="8" t="n">
        <v>2026</v>
      </c>
      <c r="E629" s="8" t="n">
        <v>35</v>
      </c>
      <c r="F629" s="18" t="s">
        <v>130</v>
      </c>
      <c r="G629" s="8" t="s">
        <v>116</v>
      </c>
      <c r="H629" s="19" t="n">
        <v>0.333333333333333</v>
      </c>
      <c r="I629" s="19" t="n">
        <v>0.331944444444444</v>
      </c>
      <c r="J629" s="19" t="n">
        <v>0.75</v>
      </c>
      <c r="K629" s="19" t="n">
        <v>0.75</v>
      </c>
      <c r="L629" s="19" t="n">
        <v>0.375</v>
      </c>
      <c r="M629" s="19" t="n">
        <v>0.375</v>
      </c>
      <c r="N629" s="19" t="n">
        <v>0</v>
      </c>
      <c r="O629" s="19" t="n">
        <v>0.00138888888888889</v>
      </c>
      <c r="P629" s="17" t="n">
        <f aca="false">IF(AND(ISNUMBER(H629),ISNUMBER(I629)),MAX(0,ROUND((I629-H629)*1440,0)-'Bilan agents'!$C$4),0)</f>
        <v>0</v>
      </c>
      <c r="Q629" s="8" t="str">
        <f aca="false">IF(H629="Congé","CP",IF(H629="Férié","F",IF(H629="OFF","R",IF(N629&gt;0,"A",IF(ISNUMBER(I629),"P","NR")))))</f>
        <v>P</v>
      </c>
      <c r="R629" s="18"/>
    </row>
    <row r="630" customFormat="false" ht="15" hidden="false" customHeight="false" outlineLevel="0" collapsed="false">
      <c r="A630" s="18" t="s">
        <v>28</v>
      </c>
      <c r="B630" s="8" t="s">
        <v>29</v>
      </c>
      <c r="C630" s="9" t="n">
        <v>46259</v>
      </c>
      <c r="D630" s="8" t="n">
        <v>2026</v>
      </c>
      <c r="E630" s="8" t="n">
        <v>35</v>
      </c>
      <c r="F630" s="18" t="s">
        <v>130</v>
      </c>
      <c r="G630" s="8" t="s">
        <v>117</v>
      </c>
      <c r="H630" s="19" t="n">
        <v>0.333333333333333</v>
      </c>
      <c r="I630" s="19" t="n">
        <v>0.333333333333333</v>
      </c>
      <c r="J630" s="19" t="n">
        <v>0.75</v>
      </c>
      <c r="K630" s="19" t="n">
        <v>0.75</v>
      </c>
      <c r="L630" s="19" t="n">
        <v>0.375</v>
      </c>
      <c r="M630" s="19" t="n">
        <v>0.375</v>
      </c>
      <c r="N630" s="19" t="n">
        <v>0</v>
      </c>
      <c r="O630" s="19" t="n">
        <v>0</v>
      </c>
      <c r="P630" s="17" t="n">
        <f aca="false">IF(AND(ISNUMBER(H630),ISNUMBER(I630)),MAX(0,ROUND((I630-H630)*1440,0)-'Bilan agents'!$C$4),0)</f>
        <v>0</v>
      </c>
      <c r="Q630" s="8" t="str">
        <f aca="false">IF(H630="Congé","CP",IF(H630="Férié","F",IF(H630="OFF","R",IF(N630&gt;0,"A",IF(ISNUMBER(I630),"P","NR")))))</f>
        <v>P</v>
      </c>
      <c r="R630" s="18"/>
    </row>
    <row r="631" customFormat="false" ht="15" hidden="false" customHeight="false" outlineLevel="0" collapsed="false">
      <c r="A631" s="18" t="s">
        <v>28</v>
      </c>
      <c r="B631" s="8" t="s">
        <v>29</v>
      </c>
      <c r="C631" s="9" t="n">
        <v>46260</v>
      </c>
      <c r="D631" s="8" t="n">
        <v>2026</v>
      </c>
      <c r="E631" s="8" t="n">
        <v>35</v>
      </c>
      <c r="F631" s="18" t="s">
        <v>130</v>
      </c>
      <c r="G631" s="8" t="s">
        <v>118</v>
      </c>
      <c r="H631" s="19" t="n">
        <v>0.333333333333333</v>
      </c>
      <c r="I631" s="19" t="n">
        <v>0.329861111111111</v>
      </c>
      <c r="J631" s="19" t="n">
        <v>0.75</v>
      </c>
      <c r="K631" s="19" t="n">
        <v>0.75</v>
      </c>
      <c r="L631" s="19" t="n">
        <v>0.375</v>
      </c>
      <c r="M631" s="19" t="n">
        <v>0.375</v>
      </c>
      <c r="N631" s="19" t="n">
        <v>0</v>
      </c>
      <c r="O631" s="19" t="n">
        <v>0.00347222222222222</v>
      </c>
      <c r="P631" s="17" t="n">
        <f aca="false">IF(AND(ISNUMBER(H631),ISNUMBER(I631)),MAX(0,ROUND((I631-H631)*1440,0)-'Bilan agents'!$C$4),0)</f>
        <v>0</v>
      </c>
      <c r="Q631" s="8" t="str">
        <f aca="false">IF(H631="Congé","CP",IF(H631="Férié","F",IF(H631="OFF","R",IF(N631&gt;0,"A",IF(ISNUMBER(I631),"P","NR")))))</f>
        <v>P</v>
      </c>
      <c r="R631" s="18"/>
    </row>
    <row r="632" customFormat="false" ht="15" hidden="false" customHeight="false" outlineLevel="0" collapsed="false">
      <c r="A632" s="18" t="s">
        <v>28</v>
      </c>
      <c r="B632" s="8" t="s">
        <v>29</v>
      </c>
      <c r="C632" s="9" t="n">
        <v>46261</v>
      </c>
      <c r="D632" s="8" t="n">
        <v>2026</v>
      </c>
      <c r="E632" s="8" t="n">
        <v>35</v>
      </c>
      <c r="F632" s="18" t="s">
        <v>130</v>
      </c>
      <c r="G632" s="8" t="s">
        <v>119</v>
      </c>
      <c r="H632" s="19" t="n">
        <v>0.333333333333333</v>
      </c>
      <c r="I632" s="19" t="n">
        <v>0.33125</v>
      </c>
      <c r="J632" s="19" t="n">
        <v>0.75</v>
      </c>
      <c r="K632" s="19" t="n">
        <v>0.75</v>
      </c>
      <c r="L632" s="19" t="n">
        <v>0.375</v>
      </c>
      <c r="M632" s="19" t="n">
        <v>0.375</v>
      </c>
      <c r="N632" s="19" t="n">
        <v>0</v>
      </c>
      <c r="O632" s="19" t="n">
        <v>0.00208333333333333</v>
      </c>
      <c r="P632" s="17" t="n">
        <f aca="false">IF(AND(ISNUMBER(H632),ISNUMBER(I632)),MAX(0,ROUND((I632-H632)*1440,0)-'Bilan agents'!$C$4),0)</f>
        <v>0</v>
      </c>
      <c r="Q632" s="8" t="str">
        <f aca="false">IF(H632="Congé","CP",IF(H632="Férié","F",IF(H632="OFF","R",IF(N632&gt;0,"A",IF(ISNUMBER(I632),"P","NR")))))</f>
        <v>P</v>
      </c>
      <c r="R632" s="18"/>
    </row>
    <row r="633" customFormat="false" ht="15" hidden="false" customHeight="false" outlineLevel="0" collapsed="false">
      <c r="A633" s="18" t="s">
        <v>28</v>
      </c>
      <c r="B633" s="8" t="s">
        <v>29</v>
      </c>
      <c r="C633" s="9" t="n">
        <v>46262</v>
      </c>
      <c r="D633" s="8" t="n">
        <v>2026</v>
      </c>
      <c r="E633" s="8" t="n">
        <v>35</v>
      </c>
      <c r="F633" s="18" t="s">
        <v>130</v>
      </c>
      <c r="G633" s="8" t="s">
        <v>120</v>
      </c>
      <c r="H633" s="19" t="n">
        <v>0.333333333333333</v>
      </c>
      <c r="I633" s="19" t="n">
        <v>0.333333333333333</v>
      </c>
      <c r="J633" s="19" t="n">
        <v>0.708333333333333</v>
      </c>
      <c r="K633" s="19" t="n">
        <v>0.708333333333333</v>
      </c>
      <c r="L633" s="19" t="n">
        <v>0.333333333333333</v>
      </c>
      <c r="M633" s="19" t="n">
        <v>0.333333333333333</v>
      </c>
      <c r="N633" s="19" t="n">
        <v>0</v>
      </c>
      <c r="O633" s="19" t="n">
        <v>0</v>
      </c>
      <c r="P633" s="17" t="n">
        <f aca="false">IF(AND(ISNUMBER(H633),ISNUMBER(I633)),MAX(0,ROUND((I633-H633)*1440,0)-'Bilan agents'!$C$4),0)</f>
        <v>0</v>
      </c>
      <c r="Q633" s="8" t="str">
        <f aca="false">IF(H633="Congé","CP",IF(H633="Férié","F",IF(H633="OFF","R",IF(N633&gt;0,"A",IF(ISNUMBER(I633),"P","NR")))))</f>
        <v>P</v>
      </c>
      <c r="R633" s="18"/>
    </row>
    <row r="634" customFormat="false" ht="15" hidden="false" customHeight="false" outlineLevel="0" collapsed="false">
      <c r="A634" s="18" t="s">
        <v>28</v>
      </c>
      <c r="B634" s="8" t="s">
        <v>29</v>
      </c>
      <c r="C634" s="9" t="n">
        <v>46263</v>
      </c>
      <c r="D634" s="8" t="n">
        <v>2026</v>
      </c>
      <c r="E634" s="8" t="n">
        <v>35</v>
      </c>
      <c r="F634" s="18" t="s">
        <v>130</v>
      </c>
      <c r="G634" s="8" t="s">
        <v>121</v>
      </c>
      <c r="H634" s="19" t="s">
        <v>115</v>
      </c>
      <c r="I634" s="19"/>
      <c r="J634" s="19"/>
      <c r="K634" s="19"/>
      <c r="L634" s="19" t="n">
        <v>0</v>
      </c>
      <c r="M634" s="19"/>
      <c r="N634" s="19" t="n">
        <v>0</v>
      </c>
      <c r="O634" s="19" t="n">
        <v>0</v>
      </c>
      <c r="P634" s="17" t="n">
        <f aca="false">IF(AND(ISNUMBER(H634),ISNUMBER(I634)),MAX(0,ROUND((I634-H634)*1440,0)-'Bilan agents'!$C$4),0)</f>
        <v>0</v>
      </c>
      <c r="Q634" s="8" t="str">
        <f aca="false">IF(H634="Congé","CP",IF(H634="Férié","F",IF(H634="OFF","R",IF(N634&gt;0,"A",IF(ISNUMBER(I634),"P","NR")))))</f>
        <v>R</v>
      </c>
      <c r="R634" s="18"/>
    </row>
    <row r="635" customFormat="false" ht="15" hidden="false" customHeight="false" outlineLevel="0" collapsed="false">
      <c r="A635" s="18" t="s">
        <v>28</v>
      </c>
      <c r="B635" s="8" t="s">
        <v>29</v>
      </c>
      <c r="C635" s="9" t="n">
        <v>46264</v>
      </c>
      <c r="D635" s="8" t="n">
        <v>2026</v>
      </c>
      <c r="E635" s="8" t="n">
        <v>35</v>
      </c>
      <c r="F635" s="18" t="s">
        <v>130</v>
      </c>
      <c r="G635" s="8" t="s">
        <v>114</v>
      </c>
      <c r="H635" s="19" t="s">
        <v>115</v>
      </c>
      <c r="I635" s="19"/>
      <c r="J635" s="19"/>
      <c r="K635" s="19"/>
      <c r="L635" s="19" t="n">
        <v>0</v>
      </c>
      <c r="M635" s="19"/>
      <c r="N635" s="19" t="n">
        <v>0</v>
      </c>
      <c r="O635" s="19" t="n">
        <v>0</v>
      </c>
      <c r="P635" s="17" t="n">
        <f aca="false">IF(AND(ISNUMBER(H635),ISNUMBER(I635)),MAX(0,ROUND((I635-H635)*1440,0)-'Bilan agents'!$C$4),0)</f>
        <v>0</v>
      </c>
      <c r="Q635" s="8" t="str">
        <f aca="false">IF(H635="Congé","CP",IF(H635="Férié","F",IF(H635="OFF","R",IF(N635&gt;0,"A",IF(ISNUMBER(I635),"P","NR")))))</f>
        <v>R</v>
      </c>
      <c r="R635" s="18"/>
    </row>
    <row r="636" customFormat="false" ht="15" hidden="false" customHeight="false" outlineLevel="0" collapsed="false">
      <c r="A636" s="18" t="s">
        <v>28</v>
      </c>
      <c r="B636" s="8" t="s">
        <v>29</v>
      </c>
      <c r="C636" s="9" t="n">
        <v>46265</v>
      </c>
      <c r="D636" s="8" t="n">
        <v>2026</v>
      </c>
      <c r="E636" s="8" t="n">
        <v>36</v>
      </c>
      <c r="F636" s="18" t="s">
        <v>130</v>
      </c>
      <c r="G636" s="8" t="s">
        <v>116</v>
      </c>
      <c r="H636" s="19" t="s">
        <v>43</v>
      </c>
      <c r="I636" s="19"/>
      <c r="J636" s="19"/>
      <c r="K636" s="19"/>
      <c r="L636" s="19" t="n">
        <v>0</v>
      </c>
      <c r="M636" s="19"/>
      <c r="N636" s="19" t="n">
        <v>0</v>
      </c>
      <c r="O636" s="19" t="n">
        <v>0</v>
      </c>
      <c r="P636" s="17" t="n">
        <f aca="false">IF(AND(ISNUMBER(H636),ISNUMBER(I636)),MAX(0,ROUND((I636-H636)*1440,0)-'Bilan agents'!$C$4),0)</f>
        <v>0</v>
      </c>
      <c r="Q636" s="8" t="str">
        <f aca="false">IF(H636="Congé","CP",IF(H636="Férié","F",IF(H636="OFF","R",IF(N636&gt;0,"A",IF(ISNUMBER(I636),"P","NR")))))</f>
        <v>CP</v>
      </c>
      <c r="R636" s="18"/>
    </row>
    <row r="637" customFormat="false" ht="15" hidden="false" customHeight="false" outlineLevel="0" collapsed="false">
      <c r="A637" s="18" t="s">
        <v>28</v>
      </c>
      <c r="B637" s="8" t="s">
        <v>29</v>
      </c>
      <c r="C637" s="9" t="n">
        <v>46266</v>
      </c>
      <c r="D637" s="8" t="n">
        <v>2026</v>
      </c>
      <c r="E637" s="8" t="n">
        <v>36</v>
      </c>
      <c r="F637" s="18" t="s">
        <v>131</v>
      </c>
      <c r="G637" s="8" t="s">
        <v>117</v>
      </c>
      <c r="H637" s="19" t="s">
        <v>43</v>
      </c>
      <c r="I637" s="19"/>
      <c r="J637" s="19"/>
      <c r="K637" s="19"/>
      <c r="L637" s="19" t="n">
        <v>0</v>
      </c>
      <c r="M637" s="19"/>
      <c r="N637" s="19" t="n">
        <v>0</v>
      </c>
      <c r="O637" s="19" t="n">
        <v>0</v>
      </c>
      <c r="P637" s="17" t="n">
        <f aca="false">IF(AND(ISNUMBER(H637),ISNUMBER(I637)),MAX(0,ROUND((I637-H637)*1440,0)-'Bilan agents'!$C$4),0)</f>
        <v>0</v>
      </c>
      <c r="Q637" s="8" t="str">
        <f aca="false">IF(H637="Congé","CP",IF(H637="Férié","F",IF(H637="OFF","R",IF(N637&gt;0,"A",IF(ISNUMBER(I637),"P","NR")))))</f>
        <v>CP</v>
      </c>
      <c r="R637" s="18"/>
    </row>
    <row r="638" customFormat="false" ht="15" hidden="false" customHeight="false" outlineLevel="0" collapsed="false">
      <c r="A638" s="18" t="s">
        <v>28</v>
      </c>
      <c r="B638" s="8" t="s">
        <v>29</v>
      </c>
      <c r="C638" s="9" t="n">
        <v>46267</v>
      </c>
      <c r="D638" s="8" t="n">
        <v>2026</v>
      </c>
      <c r="E638" s="8" t="n">
        <v>36</v>
      </c>
      <c r="F638" s="18" t="s">
        <v>131</v>
      </c>
      <c r="G638" s="8" t="s">
        <v>118</v>
      </c>
      <c r="H638" s="19" t="s">
        <v>43</v>
      </c>
      <c r="I638" s="19"/>
      <c r="J638" s="19"/>
      <c r="K638" s="19"/>
      <c r="L638" s="19" t="n">
        <v>0</v>
      </c>
      <c r="M638" s="19"/>
      <c r="N638" s="19" t="n">
        <v>0</v>
      </c>
      <c r="O638" s="19" t="n">
        <v>0</v>
      </c>
      <c r="P638" s="17" t="n">
        <f aca="false">IF(AND(ISNUMBER(H638),ISNUMBER(I638)),MAX(0,ROUND((I638-H638)*1440,0)-'Bilan agents'!$C$4),0)</f>
        <v>0</v>
      </c>
      <c r="Q638" s="8" t="str">
        <f aca="false">IF(H638="Congé","CP",IF(H638="Férié","F",IF(H638="OFF","R",IF(N638&gt;0,"A",IF(ISNUMBER(I638),"P","NR")))))</f>
        <v>CP</v>
      </c>
      <c r="R638" s="18"/>
    </row>
    <row r="639" customFormat="false" ht="15" hidden="false" customHeight="false" outlineLevel="0" collapsed="false">
      <c r="A639" s="18" t="s">
        <v>28</v>
      </c>
      <c r="B639" s="8" t="s">
        <v>29</v>
      </c>
      <c r="C639" s="9" t="n">
        <v>46268</v>
      </c>
      <c r="D639" s="8" t="n">
        <v>2026</v>
      </c>
      <c r="E639" s="8" t="n">
        <v>36</v>
      </c>
      <c r="F639" s="18" t="s">
        <v>131</v>
      </c>
      <c r="G639" s="8" t="s">
        <v>119</v>
      </c>
      <c r="H639" s="19" t="s">
        <v>43</v>
      </c>
      <c r="I639" s="19"/>
      <c r="J639" s="19"/>
      <c r="K639" s="19"/>
      <c r="L639" s="19" t="n">
        <v>0</v>
      </c>
      <c r="M639" s="19"/>
      <c r="N639" s="19" t="n">
        <v>0</v>
      </c>
      <c r="O639" s="19" t="n">
        <v>0</v>
      </c>
      <c r="P639" s="17" t="n">
        <f aca="false">IF(AND(ISNUMBER(H639),ISNUMBER(I639)),MAX(0,ROUND((I639-H639)*1440,0)-'Bilan agents'!$C$4),0)</f>
        <v>0</v>
      </c>
      <c r="Q639" s="8" t="str">
        <f aca="false">IF(H639="Congé","CP",IF(H639="Férié","F",IF(H639="OFF","R",IF(N639&gt;0,"A",IF(ISNUMBER(I639),"P","NR")))))</f>
        <v>CP</v>
      </c>
      <c r="R639" s="18"/>
    </row>
    <row r="640" customFormat="false" ht="15" hidden="false" customHeight="false" outlineLevel="0" collapsed="false">
      <c r="A640" s="18" t="s">
        <v>28</v>
      </c>
      <c r="B640" s="8" t="s">
        <v>29</v>
      </c>
      <c r="C640" s="9" t="n">
        <v>46269</v>
      </c>
      <c r="D640" s="8" t="n">
        <v>2026</v>
      </c>
      <c r="E640" s="8" t="n">
        <v>36</v>
      </c>
      <c r="F640" s="18" t="s">
        <v>131</v>
      </c>
      <c r="G640" s="8" t="s">
        <v>120</v>
      </c>
      <c r="H640" s="19" t="s">
        <v>43</v>
      </c>
      <c r="I640" s="19"/>
      <c r="J640" s="19"/>
      <c r="K640" s="19"/>
      <c r="L640" s="19" t="n">
        <v>0</v>
      </c>
      <c r="M640" s="19"/>
      <c r="N640" s="19" t="n">
        <v>0</v>
      </c>
      <c r="O640" s="19" t="n">
        <v>0</v>
      </c>
      <c r="P640" s="17" t="n">
        <f aca="false">IF(AND(ISNUMBER(H640),ISNUMBER(I640)),MAX(0,ROUND((I640-H640)*1440,0)-'Bilan agents'!$C$4),0)</f>
        <v>0</v>
      </c>
      <c r="Q640" s="8" t="str">
        <f aca="false">IF(H640="Congé","CP",IF(H640="Férié","F",IF(H640="OFF","R",IF(N640&gt;0,"A",IF(ISNUMBER(I640),"P","NR")))))</f>
        <v>CP</v>
      </c>
      <c r="R640" s="18"/>
    </row>
    <row r="641" customFormat="false" ht="15" hidden="false" customHeight="false" outlineLevel="0" collapsed="false">
      <c r="A641" s="18" t="s">
        <v>28</v>
      </c>
      <c r="B641" s="8" t="s">
        <v>29</v>
      </c>
      <c r="C641" s="9" t="n">
        <v>46270</v>
      </c>
      <c r="D641" s="8" t="n">
        <v>2026</v>
      </c>
      <c r="E641" s="8" t="n">
        <v>36</v>
      </c>
      <c r="F641" s="18" t="s">
        <v>131</v>
      </c>
      <c r="G641" s="8" t="s">
        <v>121</v>
      </c>
      <c r="H641" s="19" t="s">
        <v>115</v>
      </c>
      <c r="I641" s="19"/>
      <c r="J641" s="19"/>
      <c r="K641" s="19"/>
      <c r="L641" s="19" t="n">
        <v>0</v>
      </c>
      <c r="M641" s="19"/>
      <c r="N641" s="19" t="n">
        <v>0</v>
      </c>
      <c r="O641" s="19" t="n">
        <v>0</v>
      </c>
      <c r="P641" s="17" t="n">
        <f aca="false">IF(AND(ISNUMBER(H641),ISNUMBER(I641)),MAX(0,ROUND((I641-H641)*1440,0)-'Bilan agents'!$C$4),0)</f>
        <v>0</v>
      </c>
      <c r="Q641" s="8" t="str">
        <f aca="false">IF(H641="Congé","CP",IF(H641="Férié","F",IF(H641="OFF","R",IF(N641&gt;0,"A",IF(ISNUMBER(I641),"P","NR")))))</f>
        <v>R</v>
      </c>
      <c r="R641" s="18"/>
    </row>
    <row r="642" customFormat="false" ht="15" hidden="false" customHeight="false" outlineLevel="0" collapsed="false">
      <c r="A642" s="18" t="s">
        <v>28</v>
      </c>
      <c r="B642" s="8" t="s">
        <v>29</v>
      </c>
      <c r="C642" s="9" t="n">
        <v>46271</v>
      </c>
      <c r="D642" s="8" t="n">
        <v>2026</v>
      </c>
      <c r="E642" s="8" t="n">
        <v>36</v>
      </c>
      <c r="F642" s="18" t="s">
        <v>131</v>
      </c>
      <c r="G642" s="8" t="s">
        <v>114</v>
      </c>
      <c r="H642" s="19" t="s">
        <v>115</v>
      </c>
      <c r="I642" s="19"/>
      <c r="J642" s="19"/>
      <c r="K642" s="19"/>
      <c r="L642" s="19" t="n">
        <v>0</v>
      </c>
      <c r="M642" s="19"/>
      <c r="N642" s="19" t="n">
        <v>0</v>
      </c>
      <c r="O642" s="19" t="n">
        <v>0</v>
      </c>
      <c r="P642" s="17" t="n">
        <f aca="false">IF(AND(ISNUMBER(H642),ISNUMBER(I642)),MAX(0,ROUND((I642-H642)*1440,0)-'Bilan agents'!$C$4),0)</f>
        <v>0</v>
      </c>
      <c r="Q642" s="8" t="str">
        <f aca="false">IF(H642="Congé","CP",IF(H642="Férié","F",IF(H642="OFF","R",IF(N642&gt;0,"A",IF(ISNUMBER(I642),"P","NR")))))</f>
        <v>R</v>
      </c>
      <c r="R642" s="18"/>
    </row>
    <row r="643" customFormat="false" ht="15" hidden="false" customHeight="false" outlineLevel="0" collapsed="false">
      <c r="A643" s="18" t="s">
        <v>28</v>
      </c>
      <c r="B643" s="8" t="s">
        <v>29</v>
      </c>
      <c r="C643" s="9" t="n">
        <v>46272</v>
      </c>
      <c r="D643" s="8" t="n">
        <v>2026</v>
      </c>
      <c r="E643" s="8" t="n">
        <v>37</v>
      </c>
      <c r="F643" s="18" t="s">
        <v>131</v>
      </c>
      <c r="G643" s="8" t="s">
        <v>116</v>
      </c>
      <c r="H643" s="19" t="n">
        <v>0.333333333333333</v>
      </c>
      <c r="I643" s="19" t="n">
        <v>0.333333333333333</v>
      </c>
      <c r="J643" s="19" t="n">
        <v>0.75</v>
      </c>
      <c r="K643" s="19" t="n">
        <v>0.75</v>
      </c>
      <c r="L643" s="19" t="n">
        <v>0.375</v>
      </c>
      <c r="M643" s="19" t="n">
        <v>0.375</v>
      </c>
      <c r="N643" s="19" t="n">
        <v>0</v>
      </c>
      <c r="O643" s="19" t="n">
        <v>0</v>
      </c>
      <c r="P643" s="17" t="n">
        <f aca="false">IF(AND(ISNUMBER(H643),ISNUMBER(I643)),MAX(0,ROUND((I643-H643)*1440,0)-'Bilan agents'!$C$4),0)</f>
        <v>0</v>
      </c>
      <c r="Q643" s="8" t="str">
        <f aca="false">IF(H643="Congé","CP",IF(H643="Férié","F",IF(H643="OFF","R",IF(N643&gt;0,"A",IF(ISNUMBER(I643),"P","NR")))))</f>
        <v>P</v>
      </c>
      <c r="R643" s="18" t="s">
        <v>132</v>
      </c>
    </row>
    <row r="644" customFormat="false" ht="15" hidden="false" customHeight="false" outlineLevel="0" collapsed="false">
      <c r="A644" s="18" t="s">
        <v>28</v>
      </c>
      <c r="B644" s="8" t="s">
        <v>29</v>
      </c>
      <c r="C644" s="9" t="n">
        <v>46273</v>
      </c>
      <c r="D644" s="8" t="n">
        <v>2026</v>
      </c>
      <c r="E644" s="8" t="n">
        <v>37</v>
      </c>
      <c r="F644" s="18" t="s">
        <v>131</v>
      </c>
      <c r="G644" s="8" t="s">
        <v>117</v>
      </c>
      <c r="H644" s="19" t="n">
        <v>0.333333333333333</v>
      </c>
      <c r="I644" s="19" t="n">
        <v>0.333333333333333</v>
      </c>
      <c r="J644" s="19" t="n">
        <v>0.75</v>
      </c>
      <c r="K644" s="19" t="n">
        <v>0.75</v>
      </c>
      <c r="L644" s="19" t="n">
        <v>0.375</v>
      </c>
      <c r="M644" s="19" t="n">
        <v>0.375</v>
      </c>
      <c r="N644" s="19" t="n">
        <v>0</v>
      </c>
      <c r="O644" s="19" t="n">
        <v>0</v>
      </c>
      <c r="P644" s="17" t="n">
        <f aca="false">IF(AND(ISNUMBER(H644),ISNUMBER(I644)),MAX(0,ROUND((I644-H644)*1440,0)-'Bilan agents'!$C$4),0)</f>
        <v>0</v>
      </c>
      <c r="Q644" s="8" t="str">
        <f aca="false">IF(H644="Congé","CP",IF(H644="Férié","F",IF(H644="OFF","R",IF(N644&gt;0,"A",IF(ISNUMBER(I644),"P","NR")))))</f>
        <v>P</v>
      </c>
      <c r="R644" s="18" t="s">
        <v>132</v>
      </c>
    </row>
    <row r="645" customFormat="false" ht="15" hidden="false" customHeight="false" outlineLevel="0" collapsed="false">
      <c r="A645" s="18" t="s">
        <v>28</v>
      </c>
      <c r="B645" s="8" t="s">
        <v>29</v>
      </c>
      <c r="C645" s="9" t="n">
        <v>46274</v>
      </c>
      <c r="D645" s="8" t="n">
        <v>2026</v>
      </c>
      <c r="E645" s="8" t="n">
        <v>37</v>
      </c>
      <c r="F645" s="18" t="s">
        <v>131</v>
      </c>
      <c r="G645" s="8" t="s">
        <v>118</v>
      </c>
      <c r="H645" s="19" t="n">
        <v>0.333333333333333</v>
      </c>
      <c r="I645" s="19" t="n">
        <v>0.333333333333333</v>
      </c>
      <c r="J645" s="19" t="n">
        <v>0.75</v>
      </c>
      <c r="K645" s="19" t="n">
        <v>0.75</v>
      </c>
      <c r="L645" s="19" t="n">
        <v>0.375</v>
      </c>
      <c r="M645" s="19" t="n">
        <v>0.375</v>
      </c>
      <c r="N645" s="19" t="n">
        <v>0</v>
      </c>
      <c r="O645" s="19" t="n">
        <v>0</v>
      </c>
      <c r="P645" s="17" t="n">
        <f aca="false">IF(AND(ISNUMBER(H645),ISNUMBER(I645)),MAX(0,ROUND((I645-H645)*1440,0)-'Bilan agents'!$C$4),0)</f>
        <v>0</v>
      </c>
      <c r="Q645" s="8" t="str">
        <f aca="false">IF(H645="Congé","CP",IF(H645="Férié","F",IF(H645="OFF","R",IF(N645&gt;0,"A",IF(ISNUMBER(I645),"P","NR")))))</f>
        <v>P</v>
      </c>
      <c r="R645" s="18" t="s">
        <v>132</v>
      </c>
    </row>
    <row r="646" customFormat="false" ht="15" hidden="false" customHeight="false" outlineLevel="0" collapsed="false">
      <c r="A646" s="18" t="s">
        <v>28</v>
      </c>
      <c r="B646" s="8" t="s">
        <v>29</v>
      </c>
      <c r="C646" s="9" t="n">
        <v>46275</v>
      </c>
      <c r="D646" s="8" t="n">
        <v>2026</v>
      </c>
      <c r="E646" s="8" t="n">
        <v>37</v>
      </c>
      <c r="F646" s="18" t="s">
        <v>131</v>
      </c>
      <c r="G646" s="8" t="s">
        <v>119</v>
      </c>
      <c r="H646" s="19" t="n">
        <v>0.333333333333333</v>
      </c>
      <c r="I646" s="19" t="n">
        <v>0.333333333333333</v>
      </c>
      <c r="J646" s="19" t="n">
        <v>0.75</v>
      </c>
      <c r="K646" s="19" t="n">
        <v>0.75</v>
      </c>
      <c r="L646" s="19" t="n">
        <v>0.375</v>
      </c>
      <c r="M646" s="19" t="n">
        <v>0.375</v>
      </c>
      <c r="N646" s="19" t="n">
        <v>0</v>
      </c>
      <c r="O646" s="19" t="n">
        <v>0</v>
      </c>
      <c r="P646" s="17" t="n">
        <f aca="false">IF(AND(ISNUMBER(H646),ISNUMBER(I646)),MAX(0,ROUND((I646-H646)*1440,0)-'Bilan agents'!$C$4),0)</f>
        <v>0</v>
      </c>
      <c r="Q646" s="8" t="str">
        <f aca="false">IF(H646="Congé","CP",IF(H646="Férié","F",IF(H646="OFF","R",IF(N646&gt;0,"A",IF(ISNUMBER(I646),"P","NR")))))</f>
        <v>P</v>
      </c>
      <c r="R646" s="18" t="s">
        <v>132</v>
      </c>
    </row>
    <row r="647" customFormat="false" ht="15" hidden="false" customHeight="false" outlineLevel="0" collapsed="false">
      <c r="A647" s="18" t="s">
        <v>28</v>
      </c>
      <c r="B647" s="8" t="s">
        <v>29</v>
      </c>
      <c r="C647" s="9" t="n">
        <v>46276</v>
      </c>
      <c r="D647" s="8" t="n">
        <v>2026</v>
      </c>
      <c r="E647" s="8" t="n">
        <v>37</v>
      </c>
      <c r="F647" s="18" t="s">
        <v>131</v>
      </c>
      <c r="G647" s="8" t="s">
        <v>120</v>
      </c>
      <c r="H647" s="19" t="n">
        <v>0.333333333333333</v>
      </c>
      <c r="I647" s="19" t="n">
        <v>0.333333333333333</v>
      </c>
      <c r="J647" s="19" t="n">
        <v>0.708333333333333</v>
      </c>
      <c r="K647" s="19" t="n">
        <v>0.708333333333333</v>
      </c>
      <c r="L647" s="19" t="n">
        <v>0.333333333333333</v>
      </c>
      <c r="M647" s="19" t="n">
        <v>0.333333333333333</v>
      </c>
      <c r="N647" s="19" t="n">
        <v>0</v>
      </c>
      <c r="O647" s="19" t="n">
        <v>0</v>
      </c>
      <c r="P647" s="17" t="n">
        <f aca="false">IF(AND(ISNUMBER(H647),ISNUMBER(I647)),MAX(0,ROUND((I647-H647)*1440,0)-'Bilan agents'!$C$4),0)</f>
        <v>0</v>
      </c>
      <c r="Q647" s="8" t="str">
        <f aca="false">IF(H647="Congé","CP",IF(H647="Férié","F",IF(H647="OFF","R",IF(N647&gt;0,"A",IF(ISNUMBER(I647),"P","NR")))))</f>
        <v>P</v>
      </c>
      <c r="R647" s="18" t="s">
        <v>132</v>
      </c>
    </row>
    <row r="648" customFormat="false" ht="15" hidden="false" customHeight="false" outlineLevel="0" collapsed="false">
      <c r="A648" s="18" t="s">
        <v>28</v>
      </c>
      <c r="B648" s="8" t="s">
        <v>29</v>
      </c>
      <c r="C648" s="9" t="n">
        <v>46277</v>
      </c>
      <c r="D648" s="8" t="n">
        <v>2026</v>
      </c>
      <c r="E648" s="8" t="n">
        <v>37</v>
      </c>
      <c r="F648" s="18" t="s">
        <v>131</v>
      </c>
      <c r="G648" s="8" t="s">
        <v>121</v>
      </c>
      <c r="H648" s="19" t="s">
        <v>115</v>
      </c>
      <c r="I648" s="19"/>
      <c r="J648" s="19"/>
      <c r="K648" s="19"/>
      <c r="L648" s="19" t="n">
        <v>0</v>
      </c>
      <c r="M648" s="19"/>
      <c r="N648" s="19" t="n">
        <v>0</v>
      </c>
      <c r="O648" s="19" t="n">
        <v>0</v>
      </c>
      <c r="P648" s="17" t="n">
        <f aca="false">IF(AND(ISNUMBER(H648),ISNUMBER(I648)),MAX(0,ROUND((I648-H648)*1440,0)-'Bilan agents'!$C$4),0)</f>
        <v>0</v>
      </c>
      <c r="Q648" s="8" t="str">
        <f aca="false">IF(H648="Congé","CP",IF(H648="Férié","F",IF(H648="OFF","R",IF(N648&gt;0,"A",IF(ISNUMBER(I648),"P","NR")))))</f>
        <v>R</v>
      </c>
      <c r="R648" s="18" t="s">
        <v>132</v>
      </c>
    </row>
    <row r="649" customFormat="false" ht="15" hidden="false" customHeight="false" outlineLevel="0" collapsed="false">
      <c r="A649" s="18" t="s">
        <v>28</v>
      </c>
      <c r="B649" s="8" t="s">
        <v>29</v>
      </c>
      <c r="C649" s="9" t="n">
        <v>46278</v>
      </c>
      <c r="D649" s="8" t="n">
        <v>2026</v>
      </c>
      <c r="E649" s="8" t="n">
        <v>37</v>
      </c>
      <c r="F649" s="18" t="s">
        <v>131</v>
      </c>
      <c r="G649" s="8" t="s">
        <v>114</v>
      </c>
      <c r="H649" s="19" t="s">
        <v>115</v>
      </c>
      <c r="I649" s="19"/>
      <c r="J649" s="19"/>
      <c r="K649" s="19"/>
      <c r="L649" s="19" t="n">
        <v>0</v>
      </c>
      <c r="M649" s="19"/>
      <c r="N649" s="19" t="n">
        <v>0</v>
      </c>
      <c r="O649" s="19" t="n">
        <v>0</v>
      </c>
      <c r="P649" s="17" t="n">
        <f aca="false">IF(AND(ISNUMBER(H649),ISNUMBER(I649)),MAX(0,ROUND((I649-H649)*1440,0)-'Bilan agents'!$C$4),0)</f>
        <v>0</v>
      </c>
      <c r="Q649" s="8" t="str">
        <f aca="false">IF(H649="Congé","CP",IF(H649="Férié","F",IF(H649="OFF","R",IF(N649&gt;0,"A",IF(ISNUMBER(I649),"P","NR")))))</f>
        <v>R</v>
      </c>
      <c r="R649" s="18" t="s">
        <v>132</v>
      </c>
    </row>
    <row r="650" customFormat="false" ht="15" hidden="false" customHeight="false" outlineLevel="0" collapsed="false">
      <c r="A650" s="18" t="s">
        <v>28</v>
      </c>
      <c r="B650" s="8" t="s">
        <v>29</v>
      </c>
      <c r="C650" s="9" t="n">
        <v>46279</v>
      </c>
      <c r="D650" s="8" t="n">
        <v>2026</v>
      </c>
      <c r="E650" s="8" t="n">
        <v>38</v>
      </c>
      <c r="F650" s="18" t="s">
        <v>131</v>
      </c>
      <c r="G650" s="8" t="s">
        <v>116</v>
      </c>
      <c r="H650" s="19" t="n">
        <v>0.333333333333333</v>
      </c>
      <c r="I650" s="19" t="n">
        <v>0.332638888888889</v>
      </c>
      <c r="J650" s="19" t="n">
        <v>0.75</v>
      </c>
      <c r="K650" s="19" t="n">
        <v>0.75</v>
      </c>
      <c r="L650" s="19" t="n">
        <v>0.375</v>
      </c>
      <c r="M650" s="19" t="n">
        <v>0.375</v>
      </c>
      <c r="N650" s="19" t="n">
        <v>0</v>
      </c>
      <c r="O650" s="19" t="n">
        <v>0</v>
      </c>
      <c r="P650" s="17" t="n">
        <f aca="false">IF(AND(ISNUMBER(H650),ISNUMBER(I650)),MAX(0,ROUND((I650-H650)*1440,0)-'Bilan agents'!$C$4),0)</f>
        <v>0</v>
      </c>
      <c r="Q650" s="8" t="str">
        <f aca="false">IF(H650="Congé","CP",IF(H650="Férié","F",IF(H650="OFF","R",IF(N650&gt;0,"A",IF(ISNUMBER(I650),"P","NR")))))</f>
        <v>P</v>
      </c>
      <c r="R650" s="18"/>
    </row>
    <row r="651" customFormat="false" ht="15" hidden="false" customHeight="false" outlineLevel="0" collapsed="false">
      <c r="A651" s="18" t="s">
        <v>28</v>
      </c>
      <c r="B651" s="8" t="s">
        <v>29</v>
      </c>
      <c r="C651" s="9" t="n">
        <v>46280</v>
      </c>
      <c r="D651" s="8" t="n">
        <v>2026</v>
      </c>
      <c r="E651" s="8" t="n">
        <v>38</v>
      </c>
      <c r="F651" s="18" t="s">
        <v>131</v>
      </c>
      <c r="G651" s="8" t="s">
        <v>117</v>
      </c>
      <c r="H651" s="19" t="n">
        <v>0.333333333333333</v>
      </c>
      <c r="I651" s="19" t="n">
        <v>0.329861111111111</v>
      </c>
      <c r="J651" s="19" t="n">
        <v>0.75</v>
      </c>
      <c r="K651" s="19" t="n">
        <v>0.75</v>
      </c>
      <c r="L651" s="19" t="n">
        <v>0.375</v>
      </c>
      <c r="M651" s="19" t="n">
        <v>0.375</v>
      </c>
      <c r="N651" s="19" t="n">
        <v>0</v>
      </c>
      <c r="O651" s="19" t="n">
        <v>0.00347222222222222</v>
      </c>
      <c r="P651" s="17" t="n">
        <f aca="false">IF(AND(ISNUMBER(H651),ISNUMBER(I651)),MAX(0,ROUND((I651-H651)*1440,0)-'Bilan agents'!$C$4),0)</f>
        <v>0</v>
      </c>
      <c r="Q651" s="8" t="str">
        <f aca="false">IF(H651="Congé","CP",IF(H651="Férié","F",IF(H651="OFF","R",IF(N651&gt;0,"A",IF(ISNUMBER(I651),"P","NR")))))</f>
        <v>P</v>
      </c>
      <c r="R651" s="18"/>
    </row>
    <row r="652" customFormat="false" ht="15" hidden="false" customHeight="false" outlineLevel="0" collapsed="false">
      <c r="A652" s="18" t="s">
        <v>28</v>
      </c>
      <c r="B652" s="8" t="s">
        <v>29</v>
      </c>
      <c r="C652" s="9" t="n">
        <v>46281</v>
      </c>
      <c r="D652" s="8" t="n">
        <v>2026</v>
      </c>
      <c r="E652" s="8" t="n">
        <v>38</v>
      </c>
      <c r="F652" s="18" t="s">
        <v>131</v>
      </c>
      <c r="G652" s="8" t="s">
        <v>118</v>
      </c>
      <c r="H652" s="19" t="n">
        <v>0.333333333333333</v>
      </c>
      <c r="I652" s="19" t="n">
        <v>0.330555555555556</v>
      </c>
      <c r="J652" s="19" t="n">
        <v>0.75</v>
      </c>
      <c r="K652" s="19" t="n">
        <v>0.75</v>
      </c>
      <c r="L652" s="19" t="n">
        <v>0.375</v>
      </c>
      <c r="M652" s="19" t="n">
        <v>0.375</v>
      </c>
      <c r="N652" s="19" t="n">
        <v>0</v>
      </c>
      <c r="O652" s="19" t="n">
        <v>0.00277777777777778</v>
      </c>
      <c r="P652" s="17" t="n">
        <f aca="false">IF(AND(ISNUMBER(H652),ISNUMBER(I652)),MAX(0,ROUND((I652-H652)*1440,0)-'Bilan agents'!$C$4),0)</f>
        <v>0</v>
      </c>
      <c r="Q652" s="8" t="str">
        <f aca="false">IF(H652="Congé","CP",IF(H652="Férié","F",IF(H652="OFF","R",IF(N652&gt;0,"A",IF(ISNUMBER(I652),"P","NR")))))</f>
        <v>P</v>
      </c>
      <c r="R652" s="18"/>
    </row>
    <row r="653" customFormat="false" ht="15" hidden="false" customHeight="false" outlineLevel="0" collapsed="false">
      <c r="A653" s="18" t="s">
        <v>28</v>
      </c>
      <c r="B653" s="8" t="s">
        <v>29</v>
      </c>
      <c r="C653" s="9" t="n">
        <v>46282</v>
      </c>
      <c r="D653" s="8" t="n">
        <v>2026</v>
      </c>
      <c r="E653" s="8" t="n">
        <v>38</v>
      </c>
      <c r="F653" s="18" t="s">
        <v>131</v>
      </c>
      <c r="G653" s="8" t="s">
        <v>119</v>
      </c>
      <c r="H653" s="19" t="n">
        <v>0.333333333333333</v>
      </c>
      <c r="I653" s="19" t="n">
        <v>0.329861111111111</v>
      </c>
      <c r="J653" s="19" t="n">
        <v>0.75</v>
      </c>
      <c r="K653" s="19" t="n">
        <v>0.75</v>
      </c>
      <c r="L653" s="19" t="n">
        <v>0.375</v>
      </c>
      <c r="M653" s="19" t="n">
        <v>0.375</v>
      </c>
      <c r="N653" s="19" t="n">
        <v>0</v>
      </c>
      <c r="O653" s="19" t="n">
        <v>0.00347222222222222</v>
      </c>
      <c r="P653" s="17" t="n">
        <f aca="false">IF(AND(ISNUMBER(H653),ISNUMBER(I653)),MAX(0,ROUND((I653-H653)*1440,0)-'Bilan agents'!$C$4),0)</f>
        <v>0</v>
      </c>
      <c r="Q653" s="8" t="str">
        <f aca="false">IF(H653="Congé","CP",IF(H653="Férié","F",IF(H653="OFF","R",IF(N653&gt;0,"A",IF(ISNUMBER(I653),"P","NR")))))</f>
        <v>P</v>
      </c>
      <c r="R653" s="18"/>
    </row>
    <row r="654" customFormat="false" ht="15" hidden="false" customHeight="false" outlineLevel="0" collapsed="false">
      <c r="A654" s="18" t="s">
        <v>28</v>
      </c>
      <c r="B654" s="8" t="s">
        <v>29</v>
      </c>
      <c r="C654" s="9" t="n">
        <v>46283</v>
      </c>
      <c r="D654" s="8" t="n">
        <v>2026</v>
      </c>
      <c r="E654" s="8" t="n">
        <v>38</v>
      </c>
      <c r="F654" s="18" t="s">
        <v>131</v>
      </c>
      <c r="G654" s="8" t="s">
        <v>120</v>
      </c>
      <c r="H654" s="19" t="n">
        <v>0.333333333333333</v>
      </c>
      <c r="I654" s="19" t="n">
        <v>0.333333333333333</v>
      </c>
      <c r="J654" s="19" t="n">
        <v>0.708333333333333</v>
      </c>
      <c r="K654" s="19" t="n">
        <v>0.708333333333333</v>
      </c>
      <c r="L654" s="19" t="n">
        <v>0.333333333333333</v>
      </c>
      <c r="M654" s="19" t="n">
        <v>0.333333333333333</v>
      </c>
      <c r="N654" s="19" t="n">
        <v>0</v>
      </c>
      <c r="O654" s="19" t="n">
        <v>0</v>
      </c>
      <c r="P654" s="17" t="n">
        <f aca="false">IF(AND(ISNUMBER(H654),ISNUMBER(I654)),MAX(0,ROUND((I654-H654)*1440,0)-'Bilan agents'!$C$4),0)</f>
        <v>0</v>
      </c>
      <c r="Q654" s="8" t="str">
        <f aca="false">IF(H654="Congé","CP",IF(H654="Férié","F",IF(H654="OFF","R",IF(N654&gt;0,"A",IF(ISNUMBER(I654),"P","NR")))))</f>
        <v>P</v>
      </c>
      <c r="R654" s="18"/>
    </row>
    <row r="655" customFormat="false" ht="15" hidden="false" customHeight="false" outlineLevel="0" collapsed="false">
      <c r="A655" s="18" t="s">
        <v>28</v>
      </c>
      <c r="B655" s="8" t="s">
        <v>29</v>
      </c>
      <c r="C655" s="9" t="n">
        <v>46284</v>
      </c>
      <c r="D655" s="8" t="n">
        <v>2026</v>
      </c>
      <c r="E655" s="8" t="n">
        <v>38</v>
      </c>
      <c r="F655" s="18" t="s">
        <v>131</v>
      </c>
      <c r="G655" s="8" t="s">
        <v>121</v>
      </c>
      <c r="H655" s="19" t="s">
        <v>115</v>
      </c>
      <c r="I655" s="19"/>
      <c r="J655" s="19"/>
      <c r="K655" s="19"/>
      <c r="L655" s="19" t="n">
        <v>0</v>
      </c>
      <c r="M655" s="19"/>
      <c r="N655" s="19" t="n">
        <v>0</v>
      </c>
      <c r="O655" s="19" t="n">
        <v>0</v>
      </c>
      <c r="P655" s="17" t="n">
        <f aca="false">IF(AND(ISNUMBER(H655),ISNUMBER(I655)),MAX(0,ROUND((I655-H655)*1440,0)-'Bilan agents'!$C$4),0)</f>
        <v>0</v>
      </c>
      <c r="Q655" s="8" t="str">
        <f aca="false">IF(H655="Congé","CP",IF(H655="Férié","F",IF(H655="OFF","R",IF(N655&gt;0,"A",IF(ISNUMBER(I655),"P","NR")))))</f>
        <v>R</v>
      </c>
      <c r="R655" s="18"/>
    </row>
    <row r="656" customFormat="false" ht="15" hidden="false" customHeight="false" outlineLevel="0" collapsed="false">
      <c r="A656" s="18" t="s">
        <v>28</v>
      </c>
      <c r="B656" s="8" t="s">
        <v>29</v>
      </c>
      <c r="C656" s="9" t="n">
        <v>46285</v>
      </c>
      <c r="D656" s="8" t="n">
        <v>2026</v>
      </c>
      <c r="E656" s="8" t="n">
        <v>38</v>
      </c>
      <c r="F656" s="18" t="s">
        <v>131</v>
      </c>
      <c r="G656" s="8" t="s">
        <v>114</v>
      </c>
      <c r="H656" s="19" t="s">
        <v>115</v>
      </c>
      <c r="I656" s="19"/>
      <c r="J656" s="19"/>
      <c r="K656" s="19"/>
      <c r="L656" s="19" t="n">
        <v>0</v>
      </c>
      <c r="M656" s="19"/>
      <c r="N656" s="19" t="n">
        <v>0</v>
      </c>
      <c r="O656" s="19" t="n">
        <v>0</v>
      </c>
      <c r="P656" s="17" t="n">
        <f aca="false">IF(AND(ISNUMBER(H656),ISNUMBER(I656)),MAX(0,ROUND((I656-H656)*1440,0)-'Bilan agents'!$C$4),0)</f>
        <v>0</v>
      </c>
      <c r="Q656" s="8" t="str">
        <f aca="false">IF(H656="Congé","CP",IF(H656="Férié","F",IF(H656="OFF","R",IF(N656&gt;0,"A",IF(ISNUMBER(I656),"P","NR")))))</f>
        <v>R</v>
      </c>
      <c r="R656" s="18"/>
    </row>
    <row r="657" customFormat="false" ht="15" hidden="false" customHeight="false" outlineLevel="0" collapsed="false">
      <c r="A657" s="18" t="s">
        <v>28</v>
      </c>
      <c r="B657" s="8" t="s">
        <v>29</v>
      </c>
      <c r="C657" s="9" t="n">
        <v>46286</v>
      </c>
      <c r="D657" s="8" t="n">
        <v>2026</v>
      </c>
      <c r="E657" s="8" t="n">
        <v>39</v>
      </c>
      <c r="F657" s="18" t="s">
        <v>131</v>
      </c>
      <c r="G657" s="8" t="s">
        <v>116</v>
      </c>
      <c r="H657" s="19" t="n">
        <v>0.333333333333333</v>
      </c>
      <c r="I657" s="19" t="n">
        <v>0.333333333333333</v>
      </c>
      <c r="J657" s="19" t="n">
        <v>0.75</v>
      </c>
      <c r="K657" s="19" t="n">
        <v>0.75</v>
      </c>
      <c r="L657" s="19" t="n">
        <v>0.375</v>
      </c>
      <c r="M657" s="19" t="n">
        <v>0.375</v>
      </c>
      <c r="N657" s="19" t="n">
        <v>0</v>
      </c>
      <c r="O657" s="19" t="n">
        <v>0</v>
      </c>
      <c r="P657" s="17" t="n">
        <f aca="false">IF(AND(ISNUMBER(H657),ISNUMBER(I657)),MAX(0,ROUND((I657-H657)*1440,0)-'Bilan agents'!$C$4),0)</f>
        <v>0</v>
      </c>
      <c r="Q657" s="8" t="str">
        <f aca="false">IF(H657="Congé","CP",IF(H657="Férié","F",IF(H657="OFF","R",IF(N657&gt;0,"A",IF(ISNUMBER(I657),"P","NR")))))</f>
        <v>P</v>
      </c>
      <c r="R657" s="18"/>
    </row>
    <row r="658" customFormat="false" ht="15" hidden="false" customHeight="false" outlineLevel="0" collapsed="false">
      <c r="A658" s="18" t="s">
        <v>28</v>
      </c>
      <c r="B658" s="8" t="s">
        <v>29</v>
      </c>
      <c r="C658" s="9" t="n">
        <v>46287</v>
      </c>
      <c r="D658" s="8" t="n">
        <v>2026</v>
      </c>
      <c r="E658" s="8" t="n">
        <v>39</v>
      </c>
      <c r="F658" s="18" t="s">
        <v>131</v>
      </c>
      <c r="G658" s="8" t="s">
        <v>117</v>
      </c>
      <c r="H658" s="19" t="n">
        <v>0.333333333333333</v>
      </c>
      <c r="I658" s="19" t="n">
        <v>0.333333333333333</v>
      </c>
      <c r="J658" s="19" t="n">
        <v>0.75</v>
      </c>
      <c r="K658" s="19" t="n">
        <v>0.75</v>
      </c>
      <c r="L658" s="19" t="n">
        <v>0.375</v>
      </c>
      <c r="M658" s="19" t="n">
        <v>0.375</v>
      </c>
      <c r="N658" s="19" t="n">
        <v>0</v>
      </c>
      <c r="O658" s="19" t="n">
        <v>0</v>
      </c>
      <c r="P658" s="17" t="n">
        <f aca="false">IF(AND(ISNUMBER(H658),ISNUMBER(I658)),MAX(0,ROUND((I658-H658)*1440,0)-'Bilan agents'!$C$4),0)</f>
        <v>0</v>
      </c>
      <c r="Q658" s="8" t="str">
        <f aca="false">IF(H658="Congé","CP",IF(H658="Férié","F",IF(H658="OFF","R",IF(N658&gt;0,"A",IF(ISNUMBER(I658),"P","NR")))))</f>
        <v>P</v>
      </c>
      <c r="R658" s="18"/>
    </row>
    <row r="659" customFormat="false" ht="15" hidden="false" customHeight="false" outlineLevel="0" collapsed="false">
      <c r="A659" s="18" t="s">
        <v>28</v>
      </c>
      <c r="B659" s="8" t="s">
        <v>29</v>
      </c>
      <c r="C659" s="9" t="n">
        <v>46288</v>
      </c>
      <c r="D659" s="8" t="n">
        <v>2026</v>
      </c>
      <c r="E659" s="8" t="n">
        <v>39</v>
      </c>
      <c r="F659" s="18" t="s">
        <v>131</v>
      </c>
      <c r="G659" s="8" t="s">
        <v>118</v>
      </c>
      <c r="H659" s="19" t="n">
        <v>0.333333333333333</v>
      </c>
      <c r="I659" s="19" t="n">
        <v>0.333333333333333</v>
      </c>
      <c r="J659" s="19" t="n">
        <v>0.75</v>
      </c>
      <c r="K659" s="19" t="n">
        <v>0.75</v>
      </c>
      <c r="L659" s="19" t="n">
        <v>0.375</v>
      </c>
      <c r="M659" s="19" t="n">
        <v>0.375</v>
      </c>
      <c r="N659" s="19" t="n">
        <v>0</v>
      </c>
      <c r="O659" s="19" t="n">
        <v>0</v>
      </c>
      <c r="P659" s="17" t="n">
        <f aca="false">IF(AND(ISNUMBER(H659),ISNUMBER(I659)),MAX(0,ROUND((I659-H659)*1440,0)-'Bilan agents'!$C$4),0)</f>
        <v>0</v>
      </c>
      <c r="Q659" s="8" t="str">
        <f aca="false">IF(H659="Congé","CP",IF(H659="Férié","F",IF(H659="OFF","R",IF(N659&gt;0,"A",IF(ISNUMBER(I659),"P","NR")))))</f>
        <v>P</v>
      </c>
      <c r="R659" s="18"/>
    </row>
    <row r="660" customFormat="false" ht="15" hidden="false" customHeight="false" outlineLevel="0" collapsed="false">
      <c r="A660" s="18" t="s">
        <v>28</v>
      </c>
      <c r="B660" s="8" t="s">
        <v>29</v>
      </c>
      <c r="C660" s="9" t="n">
        <v>46289</v>
      </c>
      <c r="D660" s="8" t="n">
        <v>2026</v>
      </c>
      <c r="E660" s="8" t="n">
        <v>39</v>
      </c>
      <c r="F660" s="18" t="s">
        <v>131</v>
      </c>
      <c r="G660" s="8" t="s">
        <v>119</v>
      </c>
      <c r="H660" s="19" t="n">
        <v>0.333333333333333</v>
      </c>
      <c r="I660" s="19" t="n">
        <v>0.330555555555556</v>
      </c>
      <c r="J660" s="19" t="n">
        <v>0.75</v>
      </c>
      <c r="K660" s="19" t="n">
        <v>0.75</v>
      </c>
      <c r="L660" s="19" t="n">
        <v>0.375</v>
      </c>
      <c r="M660" s="19" t="n">
        <v>0.375</v>
      </c>
      <c r="N660" s="19" t="n">
        <v>0</v>
      </c>
      <c r="O660" s="19" t="n">
        <v>0.00277777777777778</v>
      </c>
      <c r="P660" s="17" t="n">
        <f aca="false">IF(AND(ISNUMBER(H660),ISNUMBER(I660)),MAX(0,ROUND((I660-H660)*1440,0)-'Bilan agents'!$C$4),0)</f>
        <v>0</v>
      </c>
      <c r="Q660" s="8" t="str">
        <f aca="false">IF(H660="Congé","CP",IF(H660="Férié","F",IF(H660="OFF","R",IF(N660&gt;0,"A",IF(ISNUMBER(I660),"P","NR")))))</f>
        <v>P</v>
      </c>
      <c r="R660" s="18"/>
    </row>
    <row r="661" customFormat="false" ht="15" hidden="false" customHeight="false" outlineLevel="0" collapsed="false">
      <c r="A661" s="18" t="s">
        <v>28</v>
      </c>
      <c r="B661" s="8" t="s">
        <v>29</v>
      </c>
      <c r="C661" s="9" t="n">
        <v>46290</v>
      </c>
      <c r="D661" s="8" t="n">
        <v>2026</v>
      </c>
      <c r="E661" s="8" t="n">
        <v>39</v>
      </c>
      <c r="F661" s="18" t="s">
        <v>131</v>
      </c>
      <c r="G661" s="8" t="s">
        <v>120</v>
      </c>
      <c r="H661" s="19" t="n">
        <v>0.333333333333333</v>
      </c>
      <c r="I661" s="19" t="n">
        <v>0.329861111111111</v>
      </c>
      <c r="J661" s="19" t="n">
        <v>0.708333333333333</v>
      </c>
      <c r="K661" s="19" t="n">
        <v>0.708333333333333</v>
      </c>
      <c r="L661" s="19" t="n">
        <v>0.333333333333333</v>
      </c>
      <c r="M661" s="19" t="n">
        <v>0.333333333333333</v>
      </c>
      <c r="N661" s="19" t="n">
        <v>0</v>
      </c>
      <c r="O661" s="19" t="n">
        <v>0.00347222222222222</v>
      </c>
      <c r="P661" s="17" t="n">
        <f aca="false">IF(AND(ISNUMBER(H661),ISNUMBER(I661)),MAX(0,ROUND((I661-H661)*1440,0)-'Bilan agents'!$C$4),0)</f>
        <v>0</v>
      </c>
      <c r="Q661" s="8" t="str">
        <f aca="false">IF(H661="Congé","CP",IF(H661="Férié","F",IF(H661="OFF","R",IF(N661&gt;0,"A",IF(ISNUMBER(I661),"P","NR")))))</f>
        <v>P</v>
      </c>
      <c r="R661" s="18"/>
    </row>
    <row r="662" customFormat="false" ht="15" hidden="false" customHeight="false" outlineLevel="0" collapsed="false">
      <c r="A662" s="18" t="s">
        <v>28</v>
      </c>
      <c r="B662" s="8" t="s">
        <v>29</v>
      </c>
      <c r="C662" s="9" t="n">
        <v>46291</v>
      </c>
      <c r="D662" s="8" t="n">
        <v>2026</v>
      </c>
      <c r="E662" s="8" t="n">
        <v>39</v>
      </c>
      <c r="F662" s="18" t="s">
        <v>131</v>
      </c>
      <c r="G662" s="8" t="s">
        <v>121</v>
      </c>
      <c r="H662" s="19" t="s">
        <v>115</v>
      </c>
      <c r="I662" s="19"/>
      <c r="J662" s="19"/>
      <c r="K662" s="19"/>
      <c r="L662" s="19" t="n">
        <v>0</v>
      </c>
      <c r="M662" s="19"/>
      <c r="N662" s="19" t="n">
        <v>0</v>
      </c>
      <c r="O662" s="19" t="n">
        <v>0</v>
      </c>
      <c r="P662" s="17" t="n">
        <f aca="false">IF(AND(ISNUMBER(H662),ISNUMBER(I662)),MAX(0,ROUND((I662-H662)*1440,0)-'Bilan agents'!$C$4),0)</f>
        <v>0</v>
      </c>
      <c r="Q662" s="8" t="str">
        <f aca="false">IF(H662="Congé","CP",IF(H662="Férié","F",IF(H662="OFF","R",IF(N662&gt;0,"A",IF(ISNUMBER(I662),"P","NR")))))</f>
        <v>R</v>
      </c>
      <c r="R662" s="18"/>
    </row>
    <row r="663" customFormat="false" ht="15" hidden="false" customHeight="false" outlineLevel="0" collapsed="false">
      <c r="A663" s="18" t="s">
        <v>28</v>
      </c>
      <c r="B663" s="8" t="s">
        <v>29</v>
      </c>
      <c r="C663" s="9" t="n">
        <v>46292</v>
      </c>
      <c r="D663" s="8" t="n">
        <v>2026</v>
      </c>
      <c r="E663" s="8" t="n">
        <v>39</v>
      </c>
      <c r="F663" s="18" t="s">
        <v>131</v>
      </c>
      <c r="G663" s="8" t="s">
        <v>114</v>
      </c>
      <c r="H663" s="19" t="s">
        <v>115</v>
      </c>
      <c r="I663" s="19"/>
      <c r="J663" s="19"/>
      <c r="K663" s="19"/>
      <c r="L663" s="19" t="n">
        <v>0</v>
      </c>
      <c r="M663" s="19"/>
      <c r="N663" s="19" t="n">
        <v>0</v>
      </c>
      <c r="O663" s="19" t="n">
        <v>0</v>
      </c>
      <c r="P663" s="17" t="n">
        <f aca="false">IF(AND(ISNUMBER(H663),ISNUMBER(I663)),MAX(0,ROUND((I663-H663)*1440,0)-'Bilan agents'!$C$4),0)</f>
        <v>0</v>
      </c>
      <c r="Q663" s="8" t="str">
        <f aca="false">IF(H663="Congé","CP",IF(H663="Férié","F",IF(H663="OFF","R",IF(N663&gt;0,"A",IF(ISNUMBER(I663),"P","NR")))))</f>
        <v>R</v>
      </c>
      <c r="R663" s="18"/>
    </row>
    <row r="664" customFormat="false" ht="15" hidden="false" customHeight="false" outlineLevel="0" collapsed="false">
      <c r="A664" s="18" t="s">
        <v>28</v>
      </c>
      <c r="B664" s="8" t="s">
        <v>29</v>
      </c>
      <c r="C664" s="9" t="n">
        <v>46293</v>
      </c>
      <c r="D664" s="8" t="n">
        <v>2026</v>
      </c>
      <c r="E664" s="8" t="n">
        <v>40</v>
      </c>
      <c r="F664" s="18" t="s">
        <v>131</v>
      </c>
      <c r="G664" s="8" t="s">
        <v>116</v>
      </c>
      <c r="H664" s="19" t="n">
        <v>0.333333333333333</v>
      </c>
      <c r="I664" s="19" t="n">
        <v>0.33125</v>
      </c>
      <c r="J664" s="19" t="n">
        <v>0.75</v>
      </c>
      <c r="K664" s="19" t="n">
        <v>0.75</v>
      </c>
      <c r="L664" s="19" t="n">
        <v>0.375</v>
      </c>
      <c r="M664" s="19" t="n">
        <v>0.375</v>
      </c>
      <c r="N664" s="19" t="n">
        <v>0</v>
      </c>
      <c r="O664" s="19" t="n">
        <v>0.00208333333333333</v>
      </c>
      <c r="P664" s="17" t="n">
        <f aca="false">IF(AND(ISNUMBER(H664),ISNUMBER(I664)),MAX(0,ROUND((I664-H664)*1440,0)-'Bilan agents'!$C$4),0)</f>
        <v>0</v>
      </c>
      <c r="Q664" s="8" t="str">
        <f aca="false">IF(H664="Congé","CP",IF(H664="Férié","F",IF(H664="OFF","R",IF(N664&gt;0,"A",IF(ISNUMBER(I664),"P","NR")))))</f>
        <v>P</v>
      </c>
      <c r="R664" s="18"/>
    </row>
    <row r="665" customFormat="false" ht="15" hidden="false" customHeight="false" outlineLevel="0" collapsed="false">
      <c r="A665" s="18" t="s">
        <v>28</v>
      </c>
      <c r="B665" s="8" t="s">
        <v>29</v>
      </c>
      <c r="C665" s="9" t="n">
        <v>46294</v>
      </c>
      <c r="D665" s="8" t="n">
        <v>2026</v>
      </c>
      <c r="E665" s="8" t="n">
        <v>40</v>
      </c>
      <c r="F665" s="18" t="s">
        <v>131</v>
      </c>
      <c r="G665" s="8" t="s">
        <v>117</v>
      </c>
      <c r="H665" s="19" t="n">
        <v>0.333333333333333</v>
      </c>
      <c r="I665" s="19" t="n">
        <v>0.329861111111111</v>
      </c>
      <c r="J665" s="19" t="n">
        <v>0.75</v>
      </c>
      <c r="K665" s="19" t="n">
        <v>0.75</v>
      </c>
      <c r="L665" s="19" t="n">
        <v>0.375</v>
      </c>
      <c r="M665" s="19" t="n">
        <v>0.375</v>
      </c>
      <c r="N665" s="19" t="n">
        <v>0</v>
      </c>
      <c r="O665" s="19" t="n">
        <v>0.00347222222222222</v>
      </c>
      <c r="P665" s="17" t="n">
        <f aca="false">IF(AND(ISNUMBER(H665),ISNUMBER(I665)),MAX(0,ROUND((I665-H665)*1440,0)-'Bilan agents'!$C$4),0)</f>
        <v>0</v>
      </c>
      <c r="Q665" s="8" t="str">
        <f aca="false">IF(H665="Congé","CP",IF(H665="Férié","F",IF(H665="OFF","R",IF(N665&gt;0,"A",IF(ISNUMBER(I665),"P","NR")))))</f>
        <v>P</v>
      </c>
      <c r="R665" s="18"/>
    </row>
    <row r="666" customFormat="false" ht="15" hidden="false" customHeight="false" outlineLevel="0" collapsed="false">
      <c r="A666" s="18" t="s">
        <v>28</v>
      </c>
      <c r="B666" s="8" t="s">
        <v>29</v>
      </c>
      <c r="C666" s="9" t="n">
        <v>46295</v>
      </c>
      <c r="D666" s="8" t="n">
        <v>2026</v>
      </c>
      <c r="E666" s="8" t="n">
        <v>40</v>
      </c>
      <c r="F666" s="18" t="s">
        <v>131</v>
      </c>
      <c r="G666" s="8" t="s">
        <v>118</v>
      </c>
      <c r="H666" s="19" t="n">
        <v>0.333333333333333</v>
      </c>
      <c r="I666" s="19" t="n">
        <v>0.332638888888889</v>
      </c>
      <c r="J666" s="19" t="n">
        <v>0.75</v>
      </c>
      <c r="K666" s="19" t="n">
        <v>0.75</v>
      </c>
      <c r="L666" s="19" t="n">
        <v>0.375</v>
      </c>
      <c r="M666" s="19" t="n">
        <v>0.375</v>
      </c>
      <c r="N666" s="19" t="n">
        <v>0</v>
      </c>
      <c r="O666" s="19" t="n">
        <v>0</v>
      </c>
      <c r="P666" s="17" t="n">
        <f aca="false">IF(AND(ISNUMBER(H666),ISNUMBER(I666)),MAX(0,ROUND((I666-H666)*1440,0)-'Bilan agents'!$C$4),0)</f>
        <v>0</v>
      </c>
      <c r="Q666" s="8" t="str">
        <f aca="false">IF(H666="Congé","CP",IF(H666="Férié","F",IF(H666="OFF","R",IF(N666&gt;0,"A",IF(ISNUMBER(I666),"P","NR")))))</f>
        <v>P</v>
      </c>
      <c r="R666" s="18"/>
    </row>
    <row r="667" customFormat="false" ht="15" hidden="false" customHeight="false" outlineLevel="0" collapsed="false">
      <c r="A667" s="18" t="s">
        <v>28</v>
      </c>
      <c r="B667" s="8" t="s">
        <v>29</v>
      </c>
      <c r="C667" s="9" t="n">
        <v>46296</v>
      </c>
      <c r="D667" s="8" t="n">
        <v>2026</v>
      </c>
      <c r="E667" s="8" t="n">
        <v>40</v>
      </c>
      <c r="F667" s="18" t="s">
        <v>133</v>
      </c>
      <c r="G667" s="8" t="s">
        <v>119</v>
      </c>
      <c r="H667" s="19" t="n">
        <v>0.333333333333333</v>
      </c>
      <c r="I667" s="19" t="n">
        <v>0.330555555555556</v>
      </c>
      <c r="J667" s="19" t="n">
        <v>0.75</v>
      </c>
      <c r="K667" s="19" t="n">
        <v>0.75</v>
      </c>
      <c r="L667" s="19" t="n">
        <v>0.375</v>
      </c>
      <c r="M667" s="19" t="n">
        <v>0.375</v>
      </c>
      <c r="N667" s="19" t="n">
        <v>0</v>
      </c>
      <c r="O667" s="19" t="n">
        <v>0.00277777777777778</v>
      </c>
      <c r="P667" s="17" t="n">
        <f aca="false">IF(AND(ISNUMBER(H667),ISNUMBER(I667)),MAX(0,ROUND((I667-H667)*1440,0)-'Bilan agents'!$C$4),0)</f>
        <v>0</v>
      </c>
      <c r="Q667" s="8" t="str">
        <f aca="false">IF(H667="Congé","CP",IF(H667="Férié","F",IF(H667="OFF","R",IF(N667&gt;0,"A",IF(ISNUMBER(I667),"P","NR")))))</f>
        <v>P</v>
      </c>
      <c r="R667" s="18"/>
    </row>
    <row r="668" customFormat="false" ht="15" hidden="false" customHeight="false" outlineLevel="0" collapsed="false">
      <c r="A668" s="18" t="s">
        <v>28</v>
      </c>
      <c r="B668" s="8" t="s">
        <v>29</v>
      </c>
      <c r="C668" s="9" t="n">
        <v>46297</v>
      </c>
      <c r="D668" s="8" t="n">
        <v>2026</v>
      </c>
      <c r="E668" s="8" t="n">
        <v>40</v>
      </c>
      <c r="F668" s="18" t="s">
        <v>133</v>
      </c>
      <c r="G668" s="8" t="s">
        <v>120</v>
      </c>
      <c r="H668" s="19" t="n">
        <v>0.333333333333333</v>
      </c>
      <c r="I668" s="19" t="n">
        <v>0.333333333333333</v>
      </c>
      <c r="J668" s="19" t="n">
        <v>0.708333333333333</v>
      </c>
      <c r="K668" s="19" t="n">
        <v>0.708333333333333</v>
      </c>
      <c r="L668" s="19" t="n">
        <v>0.333333333333333</v>
      </c>
      <c r="M668" s="19" t="n">
        <v>0.333333333333333</v>
      </c>
      <c r="N668" s="19" t="n">
        <v>0</v>
      </c>
      <c r="O668" s="19" t="n">
        <v>0</v>
      </c>
      <c r="P668" s="17" t="n">
        <f aca="false">IF(AND(ISNUMBER(H668),ISNUMBER(I668)),MAX(0,ROUND((I668-H668)*1440,0)-'Bilan agents'!$C$4),0)</f>
        <v>0</v>
      </c>
      <c r="Q668" s="8" t="str">
        <f aca="false">IF(H668="Congé","CP",IF(H668="Férié","F",IF(H668="OFF","R",IF(N668&gt;0,"A",IF(ISNUMBER(I668),"P","NR")))))</f>
        <v>P</v>
      </c>
      <c r="R668" s="18"/>
    </row>
    <row r="669" customFormat="false" ht="15" hidden="false" customHeight="false" outlineLevel="0" collapsed="false">
      <c r="A669" s="18" t="s">
        <v>28</v>
      </c>
      <c r="B669" s="8" t="s">
        <v>29</v>
      </c>
      <c r="C669" s="9" t="n">
        <v>46298</v>
      </c>
      <c r="D669" s="8" t="n">
        <v>2026</v>
      </c>
      <c r="E669" s="8" t="n">
        <v>40</v>
      </c>
      <c r="F669" s="18" t="s">
        <v>133</v>
      </c>
      <c r="G669" s="8" t="s">
        <v>121</v>
      </c>
      <c r="H669" s="19" t="s">
        <v>115</v>
      </c>
      <c r="I669" s="19"/>
      <c r="J669" s="19"/>
      <c r="K669" s="19"/>
      <c r="L669" s="19" t="n">
        <v>0</v>
      </c>
      <c r="M669" s="19"/>
      <c r="N669" s="19" t="n">
        <v>0</v>
      </c>
      <c r="O669" s="19" t="n">
        <v>0</v>
      </c>
      <c r="P669" s="17" t="n">
        <f aca="false">IF(AND(ISNUMBER(H669),ISNUMBER(I669)),MAX(0,ROUND((I669-H669)*1440,0)-'Bilan agents'!$C$4),0)</f>
        <v>0</v>
      </c>
      <c r="Q669" s="8" t="str">
        <f aca="false">IF(H669="Congé","CP",IF(H669="Férié","F",IF(H669="OFF","R",IF(N669&gt;0,"A",IF(ISNUMBER(I669),"P","NR")))))</f>
        <v>R</v>
      </c>
      <c r="R669" s="18"/>
    </row>
    <row r="670" customFormat="false" ht="15" hidden="false" customHeight="false" outlineLevel="0" collapsed="false">
      <c r="A670" s="18" t="s">
        <v>28</v>
      </c>
      <c r="B670" s="8" t="s">
        <v>29</v>
      </c>
      <c r="C670" s="9" t="n">
        <v>46299</v>
      </c>
      <c r="D670" s="8" t="n">
        <v>2026</v>
      </c>
      <c r="E670" s="8" t="n">
        <v>40</v>
      </c>
      <c r="F670" s="18" t="s">
        <v>133</v>
      </c>
      <c r="G670" s="8" t="s">
        <v>114</v>
      </c>
      <c r="H670" s="19" t="s">
        <v>115</v>
      </c>
      <c r="I670" s="19"/>
      <c r="J670" s="19"/>
      <c r="K670" s="19"/>
      <c r="L670" s="19" t="n">
        <v>0</v>
      </c>
      <c r="M670" s="19"/>
      <c r="N670" s="19" t="n">
        <v>0</v>
      </c>
      <c r="O670" s="19" t="n">
        <v>0</v>
      </c>
      <c r="P670" s="17" t="n">
        <f aca="false">IF(AND(ISNUMBER(H670),ISNUMBER(I670)),MAX(0,ROUND((I670-H670)*1440,0)-'Bilan agents'!$C$4),0)</f>
        <v>0</v>
      </c>
      <c r="Q670" s="8" t="str">
        <f aca="false">IF(H670="Congé","CP",IF(H670="Férié","F",IF(H670="OFF","R",IF(N670&gt;0,"A",IF(ISNUMBER(I670),"P","NR")))))</f>
        <v>R</v>
      </c>
      <c r="R670" s="18"/>
    </row>
    <row r="671" customFormat="false" ht="15" hidden="false" customHeight="false" outlineLevel="0" collapsed="false">
      <c r="A671" s="18" t="s">
        <v>28</v>
      </c>
      <c r="B671" s="8" t="s">
        <v>29</v>
      </c>
      <c r="C671" s="9" t="n">
        <v>46300</v>
      </c>
      <c r="D671" s="8" t="n">
        <v>2026</v>
      </c>
      <c r="E671" s="8" t="n">
        <v>41</v>
      </c>
      <c r="F671" s="18" t="s">
        <v>133</v>
      </c>
      <c r="G671" s="8" t="s">
        <v>116</v>
      </c>
      <c r="H671" s="19" t="n">
        <v>0.333333333333333</v>
      </c>
      <c r="I671" s="19" t="n">
        <v>0.333333333333333</v>
      </c>
      <c r="J671" s="19" t="n">
        <v>0.75</v>
      </c>
      <c r="K671" s="19" t="n">
        <v>0.75</v>
      </c>
      <c r="L671" s="19" t="n">
        <v>0.375</v>
      </c>
      <c r="M671" s="19" t="n">
        <v>0.375</v>
      </c>
      <c r="N671" s="19" t="n">
        <v>0</v>
      </c>
      <c r="O671" s="19" t="n">
        <v>0</v>
      </c>
      <c r="P671" s="17" t="n">
        <f aca="false">IF(AND(ISNUMBER(H671),ISNUMBER(I671)),MAX(0,ROUND((I671-H671)*1440,0)-'Bilan agents'!$C$4),0)</f>
        <v>0</v>
      </c>
      <c r="Q671" s="8" t="str">
        <f aca="false">IF(H671="Congé","CP",IF(H671="Férié","F",IF(H671="OFF","R",IF(N671&gt;0,"A",IF(ISNUMBER(I671),"P","NR")))))</f>
        <v>P</v>
      </c>
      <c r="R671" s="18"/>
    </row>
    <row r="672" customFormat="false" ht="15" hidden="false" customHeight="false" outlineLevel="0" collapsed="false">
      <c r="A672" s="18" t="s">
        <v>28</v>
      </c>
      <c r="B672" s="8" t="s">
        <v>29</v>
      </c>
      <c r="C672" s="9" t="n">
        <v>46301</v>
      </c>
      <c r="D672" s="8" t="n">
        <v>2026</v>
      </c>
      <c r="E672" s="8" t="n">
        <v>41</v>
      </c>
      <c r="F672" s="18" t="s">
        <v>133</v>
      </c>
      <c r="G672" s="8" t="s">
        <v>117</v>
      </c>
      <c r="H672" s="19" t="n">
        <v>0.333333333333333</v>
      </c>
      <c r="I672" s="19" t="n">
        <v>0.333333333333333</v>
      </c>
      <c r="J672" s="19" t="n">
        <v>0.75</v>
      </c>
      <c r="K672" s="19" t="n">
        <v>0.75</v>
      </c>
      <c r="L672" s="19" t="n">
        <v>0.375</v>
      </c>
      <c r="M672" s="19" t="n">
        <v>0.375</v>
      </c>
      <c r="N672" s="19" t="n">
        <v>0</v>
      </c>
      <c r="O672" s="19" t="n">
        <v>0</v>
      </c>
      <c r="P672" s="17" t="n">
        <f aca="false">IF(AND(ISNUMBER(H672),ISNUMBER(I672)),MAX(0,ROUND((I672-H672)*1440,0)-'Bilan agents'!$C$4),0)</f>
        <v>0</v>
      </c>
      <c r="Q672" s="8" t="str">
        <f aca="false">IF(H672="Congé","CP",IF(H672="Férié","F",IF(H672="OFF","R",IF(N672&gt;0,"A",IF(ISNUMBER(I672),"P","NR")))))</f>
        <v>P</v>
      </c>
      <c r="R672" s="18"/>
    </row>
    <row r="673" customFormat="false" ht="15" hidden="false" customHeight="false" outlineLevel="0" collapsed="false">
      <c r="A673" s="18" t="s">
        <v>28</v>
      </c>
      <c r="B673" s="8" t="s">
        <v>29</v>
      </c>
      <c r="C673" s="9" t="n">
        <v>46302</v>
      </c>
      <c r="D673" s="8" t="n">
        <v>2026</v>
      </c>
      <c r="E673" s="8" t="n">
        <v>41</v>
      </c>
      <c r="F673" s="18" t="s">
        <v>133</v>
      </c>
      <c r="G673" s="8" t="s">
        <v>118</v>
      </c>
      <c r="H673" s="19" t="n">
        <v>0.333333333333333</v>
      </c>
      <c r="I673" s="19" t="n">
        <v>0.333333333333333</v>
      </c>
      <c r="J673" s="19" t="n">
        <v>0.75</v>
      </c>
      <c r="K673" s="19" t="n">
        <v>0.75</v>
      </c>
      <c r="L673" s="19" t="n">
        <v>0.375</v>
      </c>
      <c r="M673" s="19" t="n">
        <v>0.375</v>
      </c>
      <c r="N673" s="19" t="n">
        <v>0</v>
      </c>
      <c r="O673" s="19" t="n">
        <v>0</v>
      </c>
      <c r="P673" s="17" t="n">
        <f aca="false">IF(AND(ISNUMBER(H673),ISNUMBER(I673)),MAX(0,ROUND((I673-H673)*1440,0)-'Bilan agents'!$C$4),0)</f>
        <v>0</v>
      </c>
      <c r="Q673" s="8" t="str">
        <f aca="false">IF(H673="Congé","CP",IF(H673="Férié","F",IF(H673="OFF","R",IF(N673&gt;0,"A",IF(ISNUMBER(I673),"P","NR")))))</f>
        <v>P</v>
      </c>
      <c r="R673" s="18"/>
    </row>
    <row r="674" customFormat="false" ht="15" hidden="false" customHeight="false" outlineLevel="0" collapsed="false">
      <c r="A674" s="18" t="s">
        <v>28</v>
      </c>
      <c r="B674" s="8" t="s">
        <v>29</v>
      </c>
      <c r="C674" s="9" t="n">
        <v>46303</v>
      </c>
      <c r="D674" s="8" t="n">
        <v>2026</v>
      </c>
      <c r="E674" s="8" t="n">
        <v>41</v>
      </c>
      <c r="F674" s="18" t="s">
        <v>133</v>
      </c>
      <c r="G674" s="8" t="s">
        <v>119</v>
      </c>
      <c r="H674" s="19" t="n">
        <v>0.333333333333333</v>
      </c>
      <c r="I674" s="19" t="n">
        <v>0.331944444444444</v>
      </c>
      <c r="J674" s="19" t="n">
        <v>0.75</v>
      </c>
      <c r="K674" s="19" t="n">
        <v>0.75</v>
      </c>
      <c r="L674" s="19" t="n">
        <v>0.375</v>
      </c>
      <c r="M674" s="19" t="n">
        <v>0.375</v>
      </c>
      <c r="N674" s="19" t="n">
        <v>0</v>
      </c>
      <c r="O674" s="19" t="n">
        <v>0.00138888888888889</v>
      </c>
      <c r="P674" s="17" t="n">
        <f aca="false">IF(AND(ISNUMBER(H674),ISNUMBER(I674)),MAX(0,ROUND((I674-H674)*1440,0)-'Bilan agents'!$C$4),0)</f>
        <v>0</v>
      </c>
      <c r="Q674" s="8" t="str">
        <f aca="false">IF(H674="Congé","CP",IF(H674="Férié","F",IF(H674="OFF","R",IF(N674&gt;0,"A",IF(ISNUMBER(I674),"P","NR")))))</f>
        <v>P</v>
      </c>
      <c r="R674" s="18"/>
    </row>
    <row r="675" customFormat="false" ht="15" hidden="false" customHeight="false" outlineLevel="0" collapsed="false">
      <c r="A675" s="18" t="s">
        <v>28</v>
      </c>
      <c r="B675" s="8" t="s">
        <v>29</v>
      </c>
      <c r="C675" s="9" t="n">
        <v>46304</v>
      </c>
      <c r="D675" s="8" t="n">
        <v>2026</v>
      </c>
      <c r="E675" s="8" t="n">
        <v>41</v>
      </c>
      <c r="F675" s="18" t="s">
        <v>133</v>
      </c>
      <c r="G675" s="8" t="s">
        <v>120</v>
      </c>
      <c r="H675" s="19" t="n">
        <v>0.333333333333333</v>
      </c>
      <c r="I675" s="19" t="n">
        <v>0.332638888888889</v>
      </c>
      <c r="J675" s="19" t="n">
        <v>0.708333333333333</v>
      </c>
      <c r="K675" s="19" t="n">
        <v>0.708333333333333</v>
      </c>
      <c r="L675" s="19" t="n">
        <v>0.333333333333333</v>
      </c>
      <c r="M675" s="19" t="n">
        <v>0.333333333333333</v>
      </c>
      <c r="N675" s="19" t="n">
        <v>0</v>
      </c>
      <c r="O675" s="19" t="n">
        <v>0</v>
      </c>
      <c r="P675" s="17" t="n">
        <f aca="false">IF(AND(ISNUMBER(H675),ISNUMBER(I675)),MAX(0,ROUND((I675-H675)*1440,0)-'Bilan agents'!$C$4),0)</f>
        <v>0</v>
      </c>
      <c r="Q675" s="8" t="str">
        <f aca="false">IF(H675="Congé","CP",IF(H675="Férié","F",IF(H675="OFF","R",IF(N675&gt;0,"A",IF(ISNUMBER(I675),"P","NR")))))</f>
        <v>P</v>
      </c>
      <c r="R675" s="18"/>
    </row>
    <row r="676" customFormat="false" ht="15" hidden="false" customHeight="false" outlineLevel="0" collapsed="false">
      <c r="A676" s="18" t="s">
        <v>28</v>
      </c>
      <c r="B676" s="8" t="s">
        <v>29</v>
      </c>
      <c r="C676" s="9" t="n">
        <v>46305</v>
      </c>
      <c r="D676" s="8" t="n">
        <v>2026</v>
      </c>
      <c r="E676" s="8" t="n">
        <v>41</v>
      </c>
      <c r="F676" s="18" t="s">
        <v>133</v>
      </c>
      <c r="G676" s="8" t="s">
        <v>121</v>
      </c>
      <c r="H676" s="19" t="s">
        <v>115</v>
      </c>
      <c r="I676" s="19"/>
      <c r="J676" s="19"/>
      <c r="K676" s="19"/>
      <c r="L676" s="19" t="n">
        <v>0</v>
      </c>
      <c r="M676" s="19"/>
      <c r="N676" s="19" t="n">
        <v>0</v>
      </c>
      <c r="O676" s="19" t="n">
        <v>0</v>
      </c>
      <c r="P676" s="17" t="n">
        <f aca="false">IF(AND(ISNUMBER(H676),ISNUMBER(I676)),MAX(0,ROUND((I676-H676)*1440,0)-'Bilan agents'!$C$4),0)</f>
        <v>0</v>
      </c>
      <c r="Q676" s="8" t="str">
        <f aca="false">IF(H676="Congé","CP",IF(H676="Férié","F",IF(H676="OFF","R",IF(N676&gt;0,"A",IF(ISNUMBER(I676),"P","NR")))))</f>
        <v>R</v>
      </c>
      <c r="R676" s="18"/>
    </row>
    <row r="677" customFormat="false" ht="15" hidden="false" customHeight="false" outlineLevel="0" collapsed="false">
      <c r="A677" s="18" t="s">
        <v>28</v>
      </c>
      <c r="B677" s="8" t="s">
        <v>29</v>
      </c>
      <c r="C677" s="9" t="n">
        <v>46306</v>
      </c>
      <c r="D677" s="8" t="n">
        <v>2026</v>
      </c>
      <c r="E677" s="8" t="n">
        <v>41</v>
      </c>
      <c r="F677" s="18" t="s">
        <v>133</v>
      </c>
      <c r="G677" s="8" t="s">
        <v>114</v>
      </c>
      <c r="H677" s="19" t="s">
        <v>115</v>
      </c>
      <c r="I677" s="19"/>
      <c r="J677" s="19"/>
      <c r="K677" s="19"/>
      <c r="L677" s="19" t="n">
        <v>0</v>
      </c>
      <c r="M677" s="19"/>
      <c r="N677" s="19" t="n">
        <v>0</v>
      </c>
      <c r="O677" s="19" t="n">
        <v>0</v>
      </c>
      <c r="P677" s="17" t="n">
        <f aca="false">IF(AND(ISNUMBER(H677),ISNUMBER(I677)),MAX(0,ROUND((I677-H677)*1440,0)-'Bilan agents'!$C$4),0)</f>
        <v>0</v>
      </c>
      <c r="Q677" s="8" t="str">
        <f aca="false">IF(H677="Congé","CP",IF(H677="Férié","F",IF(H677="OFF","R",IF(N677&gt;0,"A",IF(ISNUMBER(I677),"P","NR")))))</f>
        <v>R</v>
      </c>
      <c r="R677" s="18"/>
    </row>
    <row r="678" customFormat="false" ht="15" hidden="false" customHeight="false" outlineLevel="0" collapsed="false">
      <c r="A678" s="18" t="s">
        <v>30</v>
      </c>
      <c r="B678" s="8" t="s">
        <v>31</v>
      </c>
      <c r="C678" s="9" t="n">
        <v>46012</v>
      </c>
      <c r="D678" s="8" t="n">
        <v>2025</v>
      </c>
      <c r="E678" s="8" t="n">
        <v>51</v>
      </c>
      <c r="F678" s="18" t="s">
        <v>113</v>
      </c>
      <c r="G678" s="8" t="s">
        <v>114</v>
      </c>
      <c r="H678" s="19" t="s">
        <v>115</v>
      </c>
      <c r="I678" s="19"/>
      <c r="J678" s="19"/>
      <c r="K678" s="19"/>
      <c r="L678" s="19" t="n">
        <v>0</v>
      </c>
      <c r="M678" s="19"/>
      <c r="N678" s="19" t="n">
        <v>0</v>
      </c>
      <c r="O678" s="19" t="n">
        <v>0</v>
      </c>
      <c r="P678" s="17" t="n">
        <f aca="false">IF(AND(ISNUMBER(H678),ISNUMBER(I678)),MAX(0,ROUND((I678-H678)*1440,0)-'Bilan agents'!$C$4),0)</f>
        <v>0</v>
      </c>
      <c r="Q678" s="8" t="str">
        <f aca="false">IF(H678="Congé","CP",IF(H678="Férié","F",IF(H678="OFF","R",IF(N678&gt;0,"A",IF(ISNUMBER(I678),"P","NR")))))</f>
        <v>R</v>
      </c>
      <c r="R678" s="18"/>
    </row>
    <row r="679" customFormat="false" ht="15" hidden="false" customHeight="false" outlineLevel="0" collapsed="false">
      <c r="A679" s="18" t="s">
        <v>30</v>
      </c>
      <c r="B679" s="8" t="s">
        <v>31</v>
      </c>
      <c r="C679" s="9" t="n">
        <v>46013</v>
      </c>
      <c r="D679" s="8" t="n">
        <v>2025</v>
      </c>
      <c r="E679" s="8" t="n">
        <v>52</v>
      </c>
      <c r="F679" s="18" t="s">
        <v>113</v>
      </c>
      <c r="G679" s="8" t="s">
        <v>116</v>
      </c>
      <c r="H679" s="19" t="n">
        <v>0.333333333333333</v>
      </c>
      <c r="I679" s="19" t="n">
        <v>0.332638888888889</v>
      </c>
      <c r="J679" s="19" t="n">
        <v>0.75</v>
      </c>
      <c r="K679" s="19" t="n">
        <v>0.75</v>
      </c>
      <c r="L679" s="19" t="n">
        <v>0.375</v>
      </c>
      <c r="M679" s="19" t="n">
        <v>0.375</v>
      </c>
      <c r="N679" s="19" t="n">
        <v>0</v>
      </c>
      <c r="O679" s="19" t="n">
        <v>0</v>
      </c>
      <c r="P679" s="17" t="n">
        <f aca="false">IF(AND(ISNUMBER(H679),ISNUMBER(I679)),MAX(0,ROUND((I679-H679)*1440,0)-'Bilan agents'!$C$4),0)</f>
        <v>0</v>
      </c>
      <c r="Q679" s="8" t="str">
        <f aca="false">IF(H679="Congé","CP",IF(H679="Férié","F",IF(H679="OFF","R",IF(N679&gt;0,"A",IF(ISNUMBER(I679),"P","NR")))))</f>
        <v>P</v>
      </c>
      <c r="R679" s="18"/>
    </row>
    <row r="680" customFormat="false" ht="15" hidden="false" customHeight="false" outlineLevel="0" collapsed="false">
      <c r="A680" s="18" t="s">
        <v>30</v>
      </c>
      <c r="B680" s="8" t="s">
        <v>31</v>
      </c>
      <c r="C680" s="9" t="n">
        <v>46014</v>
      </c>
      <c r="D680" s="8" t="n">
        <v>2025</v>
      </c>
      <c r="E680" s="8" t="n">
        <v>52</v>
      </c>
      <c r="F680" s="18" t="s">
        <v>113</v>
      </c>
      <c r="G680" s="8" t="s">
        <v>117</v>
      </c>
      <c r="H680" s="19" t="n">
        <v>0.333333333333333</v>
      </c>
      <c r="I680" s="19" t="n">
        <v>0.333333333333333</v>
      </c>
      <c r="J680" s="19" t="n">
        <v>0.75</v>
      </c>
      <c r="K680" s="19" t="n">
        <v>0.75</v>
      </c>
      <c r="L680" s="19" t="n">
        <v>0.375</v>
      </c>
      <c r="M680" s="19" t="n">
        <v>0.375</v>
      </c>
      <c r="N680" s="19" t="n">
        <v>0</v>
      </c>
      <c r="O680" s="19" t="n">
        <v>0</v>
      </c>
      <c r="P680" s="17" t="n">
        <f aca="false">IF(AND(ISNUMBER(H680),ISNUMBER(I680)),MAX(0,ROUND((I680-H680)*1440,0)-'Bilan agents'!$C$4),0)</f>
        <v>0</v>
      </c>
      <c r="Q680" s="8" t="str">
        <f aca="false">IF(H680="Congé","CP",IF(H680="Férié","F",IF(H680="OFF","R",IF(N680&gt;0,"A",IF(ISNUMBER(I680),"P","NR")))))</f>
        <v>P</v>
      </c>
      <c r="R680" s="18"/>
    </row>
    <row r="681" customFormat="false" ht="15" hidden="false" customHeight="false" outlineLevel="0" collapsed="false">
      <c r="A681" s="18" t="s">
        <v>30</v>
      </c>
      <c r="B681" s="8" t="s">
        <v>31</v>
      </c>
      <c r="C681" s="9" t="n">
        <v>46015</v>
      </c>
      <c r="D681" s="8" t="n">
        <v>2025</v>
      </c>
      <c r="E681" s="8" t="n">
        <v>52</v>
      </c>
      <c r="F681" s="18" t="s">
        <v>113</v>
      </c>
      <c r="G681" s="8" t="s">
        <v>118</v>
      </c>
      <c r="H681" s="19" t="n">
        <v>0.333333333333333</v>
      </c>
      <c r="I681" s="19" t="n">
        <v>0.33125</v>
      </c>
      <c r="J681" s="19" t="n">
        <v>0.75</v>
      </c>
      <c r="K681" s="19" t="n">
        <v>0.75</v>
      </c>
      <c r="L681" s="19" t="n">
        <v>0.375</v>
      </c>
      <c r="M681" s="19" t="n">
        <v>0.375</v>
      </c>
      <c r="N681" s="19" t="n">
        <v>0</v>
      </c>
      <c r="O681" s="19" t="n">
        <v>0.00208333333333333</v>
      </c>
      <c r="P681" s="17" t="n">
        <f aca="false">IF(AND(ISNUMBER(H681),ISNUMBER(I681)),MAX(0,ROUND((I681-H681)*1440,0)-'Bilan agents'!$C$4),0)</f>
        <v>0</v>
      </c>
      <c r="Q681" s="8" t="str">
        <f aca="false">IF(H681="Congé","CP",IF(H681="Férié","F",IF(H681="OFF","R",IF(N681&gt;0,"A",IF(ISNUMBER(I681),"P","NR")))))</f>
        <v>P</v>
      </c>
      <c r="R681" s="18"/>
    </row>
    <row r="682" customFormat="false" ht="15" hidden="false" customHeight="false" outlineLevel="0" collapsed="false">
      <c r="A682" s="18" t="s">
        <v>30</v>
      </c>
      <c r="B682" s="8" t="s">
        <v>31</v>
      </c>
      <c r="C682" s="9" t="n">
        <v>46016</v>
      </c>
      <c r="D682" s="8" t="n">
        <v>2025</v>
      </c>
      <c r="E682" s="8" t="n">
        <v>52</v>
      </c>
      <c r="F682" s="18" t="s">
        <v>113</v>
      </c>
      <c r="G682" s="8" t="s">
        <v>119</v>
      </c>
      <c r="H682" s="19" t="s">
        <v>115</v>
      </c>
      <c r="I682" s="19"/>
      <c r="J682" s="19"/>
      <c r="K682" s="19"/>
      <c r="L682" s="19" t="n">
        <v>0</v>
      </c>
      <c r="M682" s="19"/>
      <c r="N682" s="19" t="n">
        <v>0</v>
      </c>
      <c r="O682" s="19" t="n">
        <v>0</v>
      </c>
      <c r="P682" s="17" t="n">
        <f aca="false">IF(AND(ISNUMBER(H682),ISNUMBER(I682)),MAX(0,ROUND((I682-H682)*1440,0)-'Bilan agents'!$C$4),0)</f>
        <v>0</v>
      </c>
      <c r="Q682" s="8" t="str">
        <f aca="false">IF(H682="Congé","CP",IF(H682="Férié","F",IF(H682="OFF","R",IF(N682&gt;0,"A",IF(ISNUMBER(I682),"P","NR")))))</f>
        <v>R</v>
      </c>
      <c r="R682" s="18"/>
    </row>
    <row r="683" customFormat="false" ht="15" hidden="false" customHeight="false" outlineLevel="0" collapsed="false">
      <c r="A683" s="18" t="s">
        <v>30</v>
      </c>
      <c r="B683" s="8" t="s">
        <v>31</v>
      </c>
      <c r="C683" s="9" t="n">
        <v>46017</v>
      </c>
      <c r="D683" s="8" t="n">
        <v>2025</v>
      </c>
      <c r="E683" s="8" t="n">
        <v>52</v>
      </c>
      <c r="F683" s="18" t="s">
        <v>113</v>
      </c>
      <c r="G683" s="8" t="s">
        <v>120</v>
      </c>
      <c r="H683" s="19" t="n">
        <v>0.333333333333333</v>
      </c>
      <c r="I683" s="19" t="n">
        <v>0.333333333333333</v>
      </c>
      <c r="J683" s="19" t="n">
        <v>0.708333333333333</v>
      </c>
      <c r="K683" s="19" t="n">
        <v>0.708333333333333</v>
      </c>
      <c r="L683" s="19" t="n">
        <v>0.333333333333333</v>
      </c>
      <c r="M683" s="19" t="n">
        <v>0.333333333333333</v>
      </c>
      <c r="N683" s="19" t="n">
        <v>0</v>
      </c>
      <c r="O683" s="19" t="n">
        <v>0</v>
      </c>
      <c r="P683" s="17" t="n">
        <f aca="false">IF(AND(ISNUMBER(H683),ISNUMBER(I683)),MAX(0,ROUND((I683-H683)*1440,0)-'Bilan agents'!$C$4),0)</f>
        <v>0</v>
      </c>
      <c r="Q683" s="8" t="str">
        <f aca="false">IF(H683="Congé","CP",IF(H683="Férié","F",IF(H683="OFF","R",IF(N683&gt;0,"A",IF(ISNUMBER(I683),"P","NR")))))</f>
        <v>P</v>
      </c>
      <c r="R683" s="18"/>
    </row>
    <row r="684" customFormat="false" ht="15" hidden="false" customHeight="false" outlineLevel="0" collapsed="false">
      <c r="A684" s="18" t="s">
        <v>30</v>
      </c>
      <c r="B684" s="8" t="s">
        <v>31</v>
      </c>
      <c r="C684" s="9" t="n">
        <v>46018</v>
      </c>
      <c r="D684" s="8" t="n">
        <v>2025</v>
      </c>
      <c r="E684" s="8" t="n">
        <v>52</v>
      </c>
      <c r="F684" s="18" t="s">
        <v>113</v>
      </c>
      <c r="G684" s="8" t="s">
        <v>121</v>
      </c>
      <c r="H684" s="19" t="s">
        <v>115</v>
      </c>
      <c r="I684" s="19"/>
      <c r="J684" s="19"/>
      <c r="K684" s="19"/>
      <c r="L684" s="19" t="n">
        <v>0</v>
      </c>
      <c r="M684" s="19"/>
      <c r="N684" s="19" t="n">
        <v>0</v>
      </c>
      <c r="O684" s="19" t="n">
        <v>0</v>
      </c>
      <c r="P684" s="17" t="n">
        <f aca="false">IF(AND(ISNUMBER(H684),ISNUMBER(I684)),MAX(0,ROUND((I684-H684)*1440,0)-'Bilan agents'!$C$4),0)</f>
        <v>0</v>
      </c>
      <c r="Q684" s="8" t="str">
        <f aca="false">IF(H684="Congé","CP",IF(H684="Férié","F",IF(H684="OFF","R",IF(N684&gt;0,"A",IF(ISNUMBER(I684),"P","NR")))))</f>
        <v>R</v>
      </c>
      <c r="R684" s="18"/>
    </row>
    <row r="685" customFormat="false" ht="15" hidden="false" customHeight="false" outlineLevel="0" collapsed="false">
      <c r="A685" s="18" t="s">
        <v>30</v>
      </c>
      <c r="B685" s="8" t="s">
        <v>31</v>
      </c>
      <c r="C685" s="9" t="n">
        <v>46019</v>
      </c>
      <c r="D685" s="8" t="n">
        <v>2025</v>
      </c>
      <c r="E685" s="8" t="n">
        <v>52</v>
      </c>
      <c r="F685" s="18" t="s">
        <v>113</v>
      </c>
      <c r="G685" s="8" t="s">
        <v>114</v>
      </c>
      <c r="H685" s="19" t="s">
        <v>115</v>
      </c>
      <c r="I685" s="19"/>
      <c r="J685" s="19"/>
      <c r="K685" s="19"/>
      <c r="L685" s="19" t="n">
        <v>0</v>
      </c>
      <c r="M685" s="19"/>
      <c r="N685" s="19" t="n">
        <v>0</v>
      </c>
      <c r="O685" s="19" t="n">
        <v>0</v>
      </c>
      <c r="P685" s="17" t="n">
        <f aca="false">IF(AND(ISNUMBER(H685),ISNUMBER(I685)),MAX(0,ROUND((I685-H685)*1440,0)-'Bilan agents'!$C$4),0)</f>
        <v>0</v>
      </c>
      <c r="Q685" s="8" t="str">
        <f aca="false">IF(H685="Congé","CP",IF(H685="Férié","F",IF(H685="OFF","R",IF(N685&gt;0,"A",IF(ISNUMBER(I685),"P","NR")))))</f>
        <v>R</v>
      </c>
      <c r="R685" s="18"/>
    </row>
    <row r="686" customFormat="false" ht="15" hidden="false" customHeight="false" outlineLevel="0" collapsed="false">
      <c r="A686" s="18" t="s">
        <v>30</v>
      </c>
      <c r="B686" s="8" t="s">
        <v>31</v>
      </c>
      <c r="C686" s="9" t="n">
        <v>46020</v>
      </c>
      <c r="D686" s="8" t="n">
        <v>2026</v>
      </c>
      <c r="E686" s="8" t="n">
        <v>1</v>
      </c>
      <c r="F686" s="18" t="s">
        <v>113</v>
      </c>
      <c r="G686" s="8" t="s">
        <v>116</v>
      </c>
      <c r="H686" s="19" t="n">
        <v>0.333333333333333</v>
      </c>
      <c r="I686" s="19" t="n">
        <v>0.333333333333333</v>
      </c>
      <c r="J686" s="19" t="n">
        <v>0.75</v>
      </c>
      <c r="K686" s="19" t="n">
        <v>0.75</v>
      </c>
      <c r="L686" s="19" t="n">
        <v>0.375</v>
      </c>
      <c r="M686" s="19" t="n">
        <v>0.375</v>
      </c>
      <c r="N686" s="19" t="n">
        <v>0</v>
      </c>
      <c r="O686" s="19" t="n">
        <v>0</v>
      </c>
      <c r="P686" s="17" t="n">
        <f aca="false">IF(AND(ISNUMBER(H686),ISNUMBER(I686)),MAX(0,ROUND((I686-H686)*1440,0)-'Bilan agents'!$C$4),0)</f>
        <v>0</v>
      </c>
      <c r="Q686" s="8" t="str">
        <f aca="false">IF(H686="Congé","CP",IF(H686="Férié","F",IF(H686="OFF","R",IF(N686&gt;0,"A",IF(ISNUMBER(I686),"P","NR")))))</f>
        <v>P</v>
      </c>
      <c r="R686" s="18"/>
    </row>
    <row r="687" customFormat="false" ht="15" hidden="false" customHeight="false" outlineLevel="0" collapsed="false">
      <c r="A687" s="18" t="s">
        <v>30</v>
      </c>
      <c r="B687" s="8" t="s">
        <v>31</v>
      </c>
      <c r="C687" s="9" t="n">
        <v>46021</v>
      </c>
      <c r="D687" s="8" t="n">
        <v>2026</v>
      </c>
      <c r="E687" s="8" t="n">
        <v>1</v>
      </c>
      <c r="F687" s="18" t="s">
        <v>113</v>
      </c>
      <c r="G687" s="8" t="s">
        <v>117</v>
      </c>
      <c r="H687" s="19" t="n">
        <v>0.333333333333333</v>
      </c>
      <c r="I687" s="19" t="n">
        <v>0.331944444444444</v>
      </c>
      <c r="J687" s="19" t="n">
        <v>0.75</v>
      </c>
      <c r="K687" s="19" t="n">
        <v>0.75</v>
      </c>
      <c r="L687" s="19" t="n">
        <v>0.375</v>
      </c>
      <c r="M687" s="19" t="n">
        <v>0.375</v>
      </c>
      <c r="N687" s="19" t="n">
        <v>0</v>
      </c>
      <c r="O687" s="19" t="n">
        <v>0.00138888888888889</v>
      </c>
      <c r="P687" s="17" t="n">
        <f aca="false">IF(AND(ISNUMBER(H687),ISNUMBER(I687)),MAX(0,ROUND((I687-H687)*1440,0)-'Bilan agents'!$C$4),0)</f>
        <v>0</v>
      </c>
      <c r="Q687" s="8" t="str">
        <f aca="false">IF(H687="Congé","CP",IF(H687="Férié","F",IF(H687="OFF","R",IF(N687&gt;0,"A",IF(ISNUMBER(I687),"P","NR")))))</f>
        <v>P</v>
      </c>
      <c r="R687" s="18"/>
    </row>
    <row r="688" customFormat="false" ht="15" hidden="false" customHeight="false" outlineLevel="0" collapsed="false">
      <c r="A688" s="18" t="s">
        <v>30</v>
      </c>
      <c r="B688" s="8" t="s">
        <v>31</v>
      </c>
      <c r="C688" s="9" t="n">
        <v>46022</v>
      </c>
      <c r="D688" s="8" t="n">
        <v>2026</v>
      </c>
      <c r="E688" s="8" t="n">
        <v>1</v>
      </c>
      <c r="F688" s="18" t="s">
        <v>113</v>
      </c>
      <c r="G688" s="8" t="s">
        <v>118</v>
      </c>
      <c r="H688" s="19" t="n">
        <v>0.333333333333333</v>
      </c>
      <c r="I688" s="19" t="n">
        <v>0.332638888888889</v>
      </c>
      <c r="J688" s="19" t="n">
        <v>0.75</v>
      </c>
      <c r="K688" s="19" t="n">
        <v>0.75</v>
      </c>
      <c r="L688" s="19" t="n">
        <v>0.375</v>
      </c>
      <c r="M688" s="19" t="n">
        <v>0.375</v>
      </c>
      <c r="N688" s="19" t="n">
        <v>0</v>
      </c>
      <c r="O688" s="19" t="n">
        <v>0</v>
      </c>
      <c r="P688" s="17" t="n">
        <f aca="false">IF(AND(ISNUMBER(H688),ISNUMBER(I688)),MAX(0,ROUND((I688-H688)*1440,0)-'Bilan agents'!$C$4),0)</f>
        <v>0</v>
      </c>
      <c r="Q688" s="8" t="str">
        <f aca="false">IF(H688="Congé","CP",IF(H688="Férié","F",IF(H688="OFF","R",IF(N688&gt;0,"A",IF(ISNUMBER(I688),"P","NR")))))</f>
        <v>P</v>
      </c>
      <c r="R688" s="18"/>
    </row>
    <row r="689" customFormat="false" ht="15" hidden="false" customHeight="false" outlineLevel="0" collapsed="false">
      <c r="A689" s="18" t="s">
        <v>30</v>
      </c>
      <c r="B689" s="8" t="s">
        <v>31</v>
      </c>
      <c r="C689" s="9" t="n">
        <v>46023</v>
      </c>
      <c r="D689" s="8" t="n">
        <v>2026</v>
      </c>
      <c r="E689" s="8" t="n">
        <v>1</v>
      </c>
      <c r="F689" s="18" t="s">
        <v>122</v>
      </c>
      <c r="G689" s="8" t="s">
        <v>119</v>
      </c>
      <c r="H689" s="19" t="s">
        <v>45</v>
      </c>
      <c r="I689" s="19"/>
      <c r="J689" s="19"/>
      <c r="K689" s="19"/>
      <c r="L689" s="19" t="n">
        <v>0</v>
      </c>
      <c r="M689" s="19"/>
      <c r="N689" s="19" t="n">
        <v>0</v>
      </c>
      <c r="O689" s="19" t="n">
        <v>0</v>
      </c>
      <c r="P689" s="17" t="n">
        <f aca="false">IF(AND(ISNUMBER(H689),ISNUMBER(I689)),MAX(0,ROUND((I689-H689)*1440,0)-'Bilan agents'!$C$4),0)</f>
        <v>0</v>
      </c>
      <c r="Q689" s="8" t="str">
        <f aca="false">IF(H689="Congé","CP",IF(H689="Férié","F",IF(H689="OFF","R",IF(N689&gt;0,"A",IF(ISNUMBER(I689),"P","NR")))))</f>
        <v>F</v>
      </c>
      <c r="R689" s="18"/>
    </row>
    <row r="690" customFormat="false" ht="15" hidden="false" customHeight="false" outlineLevel="0" collapsed="false">
      <c r="A690" s="18" t="s">
        <v>30</v>
      </c>
      <c r="B690" s="8" t="s">
        <v>31</v>
      </c>
      <c r="C690" s="9" t="n">
        <v>46024</v>
      </c>
      <c r="D690" s="8" t="n">
        <v>2026</v>
      </c>
      <c r="E690" s="8" t="n">
        <v>1</v>
      </c>
      <c r="F690" s="18" t="s">
        <v>122</v>
      </c>
      <c r="G690" s="8" t="s">
        <v>120</v>
      </c>
      <c r="H690" s="19" t="n">
        <v>0.333333333333333</v>
      </c>
      <c r="I690" s="19" t="n">
        <v>0.333333333333333</v>
      </c>
      <c r="J690" s="19" t="n">
        <v>0.708333333333333</v>
      </c>
      <c r="K690" s="19" t="n">
        <v>0.708333333333333</v>
      </c>
      <c r="L690" s="19" t="n">
        <v>0.333333333333333</v>
      </c>
      <c r="M690" s="19" t="n">
        <v>0.333333333333333</v>
      </c>
      <c r="N690" s="19" t="n">
        <v>0</v>
      </c>
      <c r="O690" s="19" t="n">
        <v>0</v>
      </c>
      <c r="P690" s="17" t="n">
        <f aca="false">IF(AND(ISNUMBER(H690),ISNUMBER(I690)),MAX(0,ROUND((I690-H690)*1440,0)-'Bilan agents'!$C$4),0)</f>
        <v>0</v>
      </c>
      <c r="Q690" s="8" t="str">
        <f aca="false">IF(H690="Congé","CP",IF(H690="Férié","F",IF(H690="OFF","R",IF(N690&gt;0,"A",IF(ISNUMBER(I690),"P","NR")))))</f>
        <v>P</v>
      </c>
      <c r="R690" s="18"/>
    </row>
    <row r="691" customFormat="false" ht="15" hidden="false" customHeight="false" outlineLevel="0" collapsed="false">
      <c r="A691" s="18" t="s">
        <v>30</v>
      </c>
      <c r="B691" s="8" t="s">
        <v>31</v>
      </c>
      <c r="C691" s="9" t="n">
        <v>46025</v>
      </c>
      <c r="D691" s="8" t="n">
        <v>2026</v>
      </c>
      <c r="E691" s="8" t="n">
        <v>1</v>
      </c>
      <c r="F691" s="18" t="s">
        <v>122</v>
      </c>
      <c r="G691" s="8" t="s">
        <v>121</v>
      </c>
      <c r="H691" s="19" t="s">
        <v>115</v>
      </c>
      <c r="I691" s="19"/>
      <c r="J691" s="19"/>
      <c r="K691" s="19"/>
      <c r="L691" s="19" t="n">
        <v>0</v>
      </c>
      <c r="M691" s="19"/>
      <c r="N691" s="19" t="n">
        <v>0</v>
      </c>
      <c r="O691" s="19" t="n">
        <v>0</v>
      </c>
      <c r="P691" s="17" t="n">
        <f aca="false">IF(AND(ISNUMBER(H691),ISNUMBER(I691)),MAX(0,ROUND((I691-H691)*1440,0)-'Bilan agents'!$C$4),0)</f>
        <v>0</v>
      </c>
      <c r="Q691" s="8" t="str">
        <f aca="false">IF(H691="Congé","CP",IF(H691="Férié","F",IF(H691="OFF","R",IF(N691&gt;0,"A",IF(ISNUMBER(I691),"P","NR")))))</f>
        <v>R</v>
      </c>
      <c r="R691" s="18"/>
    </row>
    <row r="692" customFormat="false" ht="15" hidden="false" customHeight="false" outlineLevel="0" collapsed="false">
      <c r="A692" s="18" t="s">
        <v>30</v>
      </c>
      <c r="B692" s="8" t="s">
        <v>31</v>
      </c>
      <c r="C692" s="9" t="n">
        <v>46026</v>
      </c>
      <c r="D692" s="8" t="n">
        <v>2026</v>
      </c>
      <c r="E692" s="8" t="n">
        <v>1</v>
      </c>
      <c r="F692" s="18" t="s">
        <v>122</v>
      </c>
      <c r="G692" s="8" t="s">
        <v>114</v>
      </c>
      <c r="H692" s="19" t="s">
        <v>115</v>
      </c>
      <c r="I692" s="19"/>
      <c r="J692" s="19"/>
      <c r="K692" s="19"/>
      <c r="L692" s="19" t="n">
        <v>0</v>
      </c>
      <c r="M692" s="19"/>
      <c r="N692" s="19" t="n">
        <v>0</v>
      </c>
      <c r="O692" s="19" t="n">
        <v>0</v>
      </c>
      <c r="P692" s="17" t="n">
        <f aca="false">IF(AND(ISNUMBER(H692),ISNUMBER(I692)),MAX(0,ROUND((I692-H692)*1440,0)-'Bilan agents'!$C$4),0)</f>
        <v>0</v>
      </c>
      <c r="Q692" s="8" t="str">
        <f aca="false">IF(H692="Congé","CP",IF(H692="Férié","F",IF(H692="OFF","R",IF(N692&gt;0,"A",IF(ISNUMBER(I692),"P","NR")))))</f>
        <v>R</v>
      </c>
      <c r="R692" s="18"/>
    </row>
    <row r="693" customFormat="false" ht="15" hidden="false" customHeight="false" outlineLevel="0" collapsed="false">
      <c r="A693" s="18" t="s">
        <v>30</v>
      </c>
      <c r="B693" s="8" t="s">
        <v>31</v>
      </c>
      <c r="C693" s="9" t="n">
        <v>46027</v>
      </c>
      <c r="D693" s="8" t="n">
        <v>2026</v>
      </c>
      <c r="E693" s="8" t="n">
        <v>2</v>
      </c>
      <c r="F693" s="18" t="s">
        <v>122</v>
      </c>
      <c r="G693" s="8" t="s">
        <v>116</v>
      </c>
      <c r="H693" s="19" t="n">
        <v>0.333333333333333</v>
      </c>
      <c r="I693" s="19" t="n">
        <v>0.332638888888889</v>
      </c>
      <c r="J693" s="19" t="n">
        <v>0.75</v>
      </c>
      <c r="K693" s="19" t="n">
        <v>0.75</v>
      </c>
      <c r="L693" s="19" t="n">
        <v>0.375</v>
      </c>
      <c r="M693" s="19" t="n">
        <v>0.375</v>
      </c>
      <c r="N693" s="19" t="n">
        <v>0</v>
      </c>
      <c r="O693" s="19" t="n">
        <v>0</v>
      </c>
      <c r="P693" s="17" t="n">
        <f aca="false">IF(AND(ISNUMBER(H693),ISNUMBER(I693)),MAX(0,ROUND((I693-H693)*1440,0)-'Bilan agents'!$C$4),0)</f>
        <v>0</v>
      </c>
      <c r="Q693" s="8" t="str">
        <f aca="false">IF(H693="Congé","CP",IF(H693="Férié","F",IF(H693="OFF","R",IF(N693&gt;0,"A",IF(ISNUMBER(I693),"P","NR")))))</f>
        <v>P</v>
      </c>
      <c r="R693" s="18"/>
    </row>
    <row r="694" customFormat="false" ht="15" hidden="false" customHeight="false" outlineLevel="0" collapsed="false">
      <c r="A694" s="18" t="s">
        <v>30</v>
      </c>
      <c r="B694" s="8" t="s">
        <v>31</v>
      </c>
      <c r="C694" s="9" t="n">
        <v>46028</v>
      </c>
      <c r="D694" s="8" t="n">
        <v>2026</v>
      </c>
      <c r="E694" s="8" t="n">
        <v>2</v>
      </c>
      <c r="F694" s="18" t="s">
        <v>122</v>
      </c>
      <c r="G694" s="8" t="s">
        <v>117</v>
      </c>
      <c r="H694" s="19" t="n">
        <v>0.333333333333333</v>
      </c>
      <c r="I694" s="19" t="n">
        <v>0.333333333333333</v>
      </c>
      <c r="J694" s="19" t="n">
        <v>0.75</v>
      </c>
      <c r="K694" s="19" t="n">
        <v>0.75</v>
      </c>
      <c r="L694" s="19" t="n">
        <v>0.375</v>
      </c>
      <c r="M694" s="19" t="n">
        <v>0.375</v>
      </c>
      <c r="N694" s="19" t="n">
        <v>0</v>
      </c>
      <c r="O694" s="19" t="n">
        <v>0</v>
      </c>
      <c r="P694" s="17" t="n">
        <f aca="false">IF(AND(ISNUMBER(H694),ISNUMBER(I694)),MAX(0,ROUND((I694-H694)*1440,0)-'Bilan agents'!$C$4),0)</f>
        <v>0</v>
      </c>
      <c r="Q694" s="8" t="str">
        <f aca="false">IF(H694="Congé","CP",IF(H694="Férié","F",IF(H694="OFF","R",IF(N694&gt;0,"A",IF(ISNUMBER(I694),"P","NR")))))</f>
        <v>P</v>
      </c>
      <c r="R694" s="18"/>
    </row>
    <row r="695" customFormat="false" ht="15" hidden="false" customHeight="false" outlineLevel="0" collapsed="false">
      <c r="A695" s="18" t="s">
        <v>30</v>
      </c>
      <c r="B695" s="8" t="s">
        <v>31</v>
      </c>
      <c r="C695" s="9" t="n">
        <v>46029</v>
      </c>
      <c r="D695" s="8" t="n">
        <v>2026</v>
      </c>
      <c r="E695" s="8" t="n">
        <v>2</v>
      </c>
      <c r="F695" s="18" t="s">
        <v>122</v>
      </c>
      <c r="G695" s="8" t="s">
        <v>118</v>
      </c>
      <c r="H695" s="19" t="n">
        <v>0.333333333333333</v>
      </c>
      <c r="I695" s="19" t="n">
        <v>0.331944444444444</v>
      </c>
      <c r="J695" s="19" t="n">
        <v>0.75</v>
      </c>
      <c r="K695" s="19" t="n">
        <v>0.75</v>
      </c>
      <c r="L695" s="19" t="n">
        <v>0.375</v>
      </c>
      <c r="M695" s="19" t="n">
        <v>0.375</v>
      </c>
      <c r="N695" s="19" t="n">
        <v>0</v>
      </c>
      <c r="O695" s="19" t="n">
        <v>0.00138888888888889</v>
      </c>
      <c r="P695" s="17" t="n">
        <f aca="false">IF(AND(ISNUMBER(H695),ISNUMBER(I695)),MAX(0,ROUND((I695-H695)*1440,0)-'Bilan agents'!$C$4),0)</f>
        <v>0</v>
      </c>
      <c r="Q695" s="8" t="str">
        <f aca="false">IF(H695="Congé","CP",IF(H695="Férié","F",IF(H695="OFF","R",IF(N695&gt;0,"A",IF(ISNUMBER(I695),"P","NR")))))</f>
        <v>P</v>
      </c>
      <c r="R695" s="18"/>
    </row>
    <row r="696" customFormat="false" ht="15" hidden="false" customHeight="false" outlineLevel="0" collapsed="false">
      <c r="A696" s="18" t="s">
        <v>30</v>
      </c>
      <c r="B696" s="8" t="s">
        <v>31</v>
      </c>
      <c r="C696" s="9" t="n">
        <v>46030</v>
      </c>
      <c r="D696" s="8" t="n">
        <v>2026</v>
      </c>
      <c r="E696" s="8" t="n">
        <v>2</v>
      </c>
      <c r="F696" s="18" t="s">
        <v>122</v>
      </c>
      <c r="G696" s="8" t="s">
        <v>119</v>
      </c>
      <c r="H696" s="19" t="n">
        <v>0.333333333333333</v>
      </c>
      <c r="I696" s="19" t="n">
        <v>0.332638888888889</v>
      </c>
      <c r="J696" s="19" t="n">
        <v>0.75</v>
      </c>
      <c r="K696" s="19" t="n">
        <v>0.75</v>
      </c>
      <c r="L696" s="19" t="n">
        <v>0.375</v>
      </c>
      <c r="M696" s="19" t="n">
        <v>0.375</v>
      </c>
      <c r="N696" s="19" t="n">
        <v>0</v>
      </c>
      <c r="O696" s="19" t="n">
        <v>0</v>
      </c>
      <c r="P696" s="17" t="n">
        <f aca="false">IF(AND(ISNUMBER(H696),ISNUMBER(I696)),MAX(0,ROUND((I696-H696)*1440,0)-'Bilan agents'!$C$4),0)</f>
        <v>0</v>
      </c>
      <c r="Q696" s="8" t="str">
        <f aca="false">IF(H696="Congé","CP",IF(H696="Férié","F",IF(H696="OFF","R",IF(N696&gt;0,"A",IF(ISNUMBER(I696),"P","NR")))))</f>
        <v>P</v>
      </c>
      <c r="R696" s="18"/>
    </row>
    <row r="697" customFormat="false" ht="15" hidden="false" customHeight="false" outlineLevel="0" collapsed="false">
      <c r="A697" s="18" t="s">
        <v>30</v>
      </c>
      <c r="B697" s="8" t="s">
        <v>31</v>
      </c>
      <c r="C697" s="9" t="n">
        <v>46031</v>
      </c>
      <c r="D697" s="8" t="n">
        <v>2026</v>
      </c>
      <c r="E697" s="8" t="n">
        <v>2</v>
      </c>
      <c r="F697" s="18" t="s">
        <v>122</v>
      </c>
      <c r="G697" s="8" t="s">
        <v>120</v>
      </c>
      <c r="H697" s="19" t="n">
        <v>0.333333333333333</v>
      </c>
      <c r="I697" s="19" t="n">
        <v>0.332638888888889</v>
      </c>
      <c r="J697" s="19" t="n">
        <v>0.708333333333333</v>
      </c>
      <c r="K697" s="19" t="n">
        <v>0.708333333333333</v>
      </c>
      <c r="L697" s="19" t="n">
        <v>0.333333333333333</v>
      </c>
      <c r="M697" s="19" t="n">
        <v>0.333333333333333</v>
      </c>
      <c r="N697" s="19" t="n">
        <v>0</v>
      </c>
      <c r="O697" s="19" t="n">
        <v>0</v>
      </c>
      <c r="P697" s="17" t="n">
        <f aca="false">IF(AND(ISNUMBER(H697),ISNUMBER(I697)),MAX(0,ROUND((I697-H697)*1440,0)-'Bilan agents'!$C$4),0)</f>
        <v>0</v>
      </c>
      <c r="Q697" s="8" t="str">
        <f aca="false">IF(H697="Congé","CP",IF(H697="Férié","F",IF(H697="OFF","R",IF(N697&gt;0,"A",IF(ISNUMBER(I697),"P","NR")))))</f>
        <v>P</v>
      </c>
      <c r="R697" s="18"/>
    </row>
    <row r="698" customFormat="false" ht="15" hidden="false" customHeight="false" outlineLevel="0" collapsed="false">
      <c r="A698" s="18" t="s">
        <v>30</v>
      </c>
      <c r="B698" s="8" t="s">
        <v>31</v>
      </c>
      <c r="C698" s="9" t="n">
        <v>46032</v>
      </c>
      <c r="D698" s="8" t="n">
        <v>2026</v>
      </c>
      <c r="E698" s="8" t="n">
        <v>2</v>
      </c>
      <c r="F698" s="18" t="s">
        <v>122</v>
      </c>
      <c r="G698" s="8" t="s">
        <v>121</v>
      </c>
      <c r="H698" s="19" t="s">
        <v>115</v>
      </c>
      <c r="I698" s="19"/>
      <c r="J698" s="19"/>
      <c r="K698" s="19"/>
      <c r="L698" s="19" t="n">
        <v>0</v>
      </c>
      <c r="M698" s="19"/>
      <c r="N698" s="19" t="n">
        <v>0</v>
      </c>
      <c r="O698" s="19" t="n">
        <v>0</v>
      </c>
      <c r="P698" s="17" t="n">
        <f aca="false">IF(AND(ISNUMBER(H698),ISNUMBER(I698)),MAX(0,ROUND((I698-H698)*1440,0)-'Bilan agents'!$C$4),0)</f>
        <v>0</v>
      </c>
      <c r="Q698" s="8" t="str">
        <f aca="false">IF(H698="Congé","CP",IF(H698="Férié","F",IF(H698="OFF","R",IF(N698&gt;0,"A",IF(ISNUMBER(I698),"P","NR")))))</f>
        <v>R</v>
      </c>
      <c r="R698" s="18"/>
    </row>
    <row r="699" customFormat="false" ht="15" hidden="false" customHeight="false" outlineLevel="0" collapsed="false">
      <c r="A699" s="18" t="s">
        <v>30</v>
      </c>
      <c r="B699" s="8" t="s">
        <v>31</v>
      </c>
      <c r="C699" s="9" t="n">
        <v>46033</v>
      </c>
      <c r="D699" s="8" t="n">
        <v>2026</v>
      </c>
      <c r="E699" s="8" t="n">
        <v>2</v>
      </c>
      <c r="F699" s="18" t="s">
        <v>122</v>
      </c>
      <c r="G699" s="8" t="s">
        <v>114</v>
      </c>
      <c r="H699" s="19" t="s">
        <v>115</v>
      </c>
      <c r="I699" s="19"/>
      <c r="J699" s="19"/>
      <c r="K699" s="19"/>
      <c r="L699" s="19" t="n">
        <v>0</v>
      </c>
      <c r="M699" s="19"/>
      <c r="N699" s="19" t="n">
        <v>0</v>
      </c>
      <c r="O699" s="19" t="n">
        <v>0</v>
      </c>
      <c r="P699" s="17" t="n">
        <f aca="false">IF(AND(ISNUMBER(H699),ISNUMBER(I699)),MAX(0,ROUND((I699-H699)*1440,0)-'Bilan agents'!$C$4),0)</f>
        <v>0</v>
      </c>
      <c r="Q699" s="8" t="str">
        <f aca="false">IF(H699="Congé","CP",IF(H699="Férié","F",IF(H699="OFF","R",IF(N699&gt;0,"A",IF(ISNUMBER(I699),"P","NR")))))</f>
        <v>R</v>
      </c>
      <c r="R699" s="18"/>
    </row>
    <row r="700" customFormat="false" ht="15" hidden="false" customHeight="false" outlineLevel="0" collapsed="false">
      <c r="A700" s="18" t="s">
        <v>30</v>
      </c>
      <c r="B700" s="8" t="s">
        <v>31</v>
      </c>
      <c r="C700" s="9" t="n">
        <v>46034</v>
      </c>
      <c r="D700" s="8" t="n">
        <v>2026</v>
      </c>
      <c r="E700" s="8" t="n">
        <v>3</v>
      </c>
      <c r="F700" s="18" t="s">
        <v>122</v>
      </c>
      <c r="G700" s="8" t="s">
        <v>116</v>
      </c>
      <c r="H700" s="19" t="n">
        <v>0.333333333333333</v>
      </c>
      <c r="I700" s="19" t="n">
        <v>0.33125</v>
      </c>
      <c r="J700" s="19" t="n">
        <v>0.75</v>
      </c>
      <c r="K700" s="19" t="n">
        <v>0.75</v>
      </c>
      <c r="L700" s="19" t="n">
        <v>0.375</v>
      </c>
      <c r="M700" s="19" t="n">
        <v>0.375</v>
      </c>
      <c r="N700" s="19" t="n">
        <v>0</v>
      </c>
      <c r="O700" s="19" t="n">
        <v>0.00208333333333333</v>
      </c>
      <c r="P700" s="17" t="n">
        <f aca="false">IF(AND(ISNUMBER(H700),ISNUMBER(I700)),MAX(0,ROUND((I700-H700)*1440,0)-'Bilan agents'!$C$4),0)</f>
        <v>0</v>
      </c>
      <c r="Q700" s="8" t="str">
        <f aca="false">IF(H700="Congé","CP",IF(H700="Férié","F",IF(H700="OFF","R",IF(N700&gt;0,"A",IF(ISNUMBER(I700),"P","NR")))))</f>
        <v>P</v>
      </c>
      <c r="R700" s="18"/>
    </row>
    <row r="701" customFormat="false" ht="15" hidden="false" customHeight="false" outlineLevel="0" collapsed="false">
      <c r="A701" s="18" t="s">
        <v>30</v>
      </c>
      <c r="B701" s="8" t="s">
        <v>31</v>
      </c>
      <c r="C701" s="9" t="n">
        <v>46035</v>
      </c>
      <c r="D701" s="8" t="n">
        <v>2026</v>
      </c>
      <c r="E701" s="8" t="n">
        <v>3</v>
      </c>
      <c r="F701" s="18" t="s">
        <v>122</v>
      </c>
      <c r="G701" s="8" t="s">
        <v>117</v>
      </c>
      <c r="H701" s="19" t="n">
        <v>0.333333333333333</v>
      </c>
      <c r="I701" s="19" t="n">
        <v>0.33125</v>
      </c>
      <c r="J701" s="19" t="n">
        <v>0.75</v>
      </c>
      <c r="K701" s="19" t="n">
        <v>0.75</v>
      </c>
      <c r="L701" s="19" t="n">
        <v>0.375</v>
      </c>
      <c r="M701" s="19" t="n">
        <v>0.375</v>
      </c>
      <c r="N701" s="19" t="n">
        <v>0</v>
      </c>
      <c r="O701" s="19" t="n">
        <v>0.00208333333333333</v>
      </c>
      <c r="P701" s="17" t="n">
        <f aca="false">IF(AND(ISNUMBER(H701),ISNUMBER(I701)),MAX(0,ROUND((I701-H701)*1440,0)-'Bilan agents'!$C$4),0)</f>
        <v>0</v>
      </c>
      <c r="Q701" s="8" t="str">
        <f aca="false">IF(H701="Congé","CP",IF(H701="Férié","F",IF(H701="OFF","R",IF(N701&gt;0,"A",IF(ISNUMBER(I701),"P","NR")))))</f>
        <v>P</v>
      </c>
      <c r="R701" s="18"/>
    </row>
    <row r="702" customFormat="false" ht="15" hidden="false" customHeight="false" outlineLevel="0" collapsed="false">
      <c r="A702" s="18" t="s">
        <v>30</v>
      </c>
      <c r="B702" s="8" t="s">
        <v>31</v>
      </c>
      <c r="C702" s="9" t="n">
        <v>46036</v>
      </c>
      <c r="D702" s="8" t="n">
        <v>2026</v>
      </c>
      <c r="E702" s="8" t="n">
        <v>3</v>
      </c>
      <c r="F702" s="18" t="s">
        <v>122</v>
      </c>
      <c r="G702" s="8" t="s">
        <v>118</v>
      </c>
      <c r="H702" s="19" t="n">
        <v>0.333333333333333</v>
      </c>
      <c r="I702" s="19" t="n">
        <v>0.333333333333333</v>
      </c>
      <c r="J702" s="19" t="n">
        <v>0.75</v>
      </c>
      <c r="K702" s="19" t="n">
        <v>0.75</v>
      </c>
      <c r="L702" s="19" t="n">
        <v>0.375</v>
      </c>
      <c r="M702" s="19" t="n">
        <v>0.375</v>
      </c>
      <c r="N702" s="19" t="n">
        <v>0</v>
      </c>
      <c r="O702" s="19" t="n">
        <v>0</v>
      </c>
      <c r="P702" s="17" t="n">
        <f aca="false">IF(AND(ISNUMBER(H702),ISNUMBER(I702)),MAX(0,ROUND((I702-H702)*1440,0)-'Bilan agents'!$C$4),0)</f>
        <v>0</v>
      </c>
      <c r="Q702" s="8" t="str">
        <f aca="false">IF(H702="Congé","CP",IF(H702="Férié","F",IF(H702="OFF","R",IF(N702&gt;0,"A",IF(ISNUMBER(I702),"P","NR")))))</f>
        <v>P</v>
      </c>
      <c r="R702" s="18"/>
    </row>
    <row r="703" customFormat="false" ht="15" hidden="false" customHeight="false" outlineLevel="0" collapsed="false">
      <c r="A703" s="18" t="s">
        <v>30</v>
      </c>
      <c r="B703" s="8" t="s">
        <v>31</v>
      </c>
      <c r="C703" s="9" t="n">
        <v>46037</v>
      </c>
      <c r="D703" s="8" t="n">
        <v>2026</v>
      </c>
      <c r="E703" s="8" t="n">
        <v>3</v>
      </c>
      <c r="F703" s="18" t="s">
        <v>122</v>
      </c>
      <c r="G703" s="8" t="s">
        <v>119</v>
      </c>
      <c r="H703" s="19" t="n">
        <v>0.333333333333333</v>
      </c>
      <c r="I703" s="19" t="n">
        <v>0.331944444444444</v>
      </c>
      <c r="J703" s="19" t="n">
        <v>0.75</v>
      </c>
      <c r="K703" s="19" t="n">
        <v>0.75</v>
      </c>
      <c r="L703" s="19" t="n">
        <v>0.375</v>
      </c>
      <c r="M703" s="19" t="n">
        <v>0.375</v>
      </c>
      <c r="N703" s="19" t="n">
        <v>0</v>
      </c>
      <c r="O703" s="19" t="n">
        <v>0.00138888888888889</v>
      </c>
      <c r="P703" s="17" t="n">
        <f aca="false">IF(AND(ISNUMBER(H703),ISNUMBER(I703)),MAX(0,ROUND((I703-H703)*1440,0)-'Bilan agents'!$C$4),0)</f>
        <v>0</v>
      </c>
      <c r="Q703" s="8" t="str">
        <f aca="false">IF(H703="Congé","CP",IF(H703="Férié","F",IF(H703="OFF","R",IF(N703&gt;0,"A",IF(ISNUMBER(I703),"P","NR")))))</f>
        <v>P</v>
      </c>
      <c r="R703" s="18"/>
    </row>
    <row r="704" customFormat="false" ht="15" hidden="false" customHeight="false" outlineLevel="0" collapsed="false">
      <c r="A704" s="18" t="s">
        <v>30</v>
      </c>
      <c r="B704" s="8" t="s">
        <v>31</v>
      </c>
      <c r="C704" s="9" t="n">
        <v>46038</v>
      </c>
      <c r="D704" s="8" t="n">
        <v>2026</v>
      </c>
      <c r="E704" s="8" t="n">
        <v>3</v>
      </c>
      <c r="F704" s="18" t="s">
        <v>122</v>
      </c>
      <c r="G704" s="8" t="s">
        <v>120</v>
      </c>
      <c r="H704" s="19" t="n">
        <v>0.333333333333333</v>
      </c>
      <c r="I704" s="19" t="n">
        <v>0.333333333333333</v>
      </c>
      <c r="J704" s="19" t="n">
        <v>0.708333333333333</v>
      </c>
      <c r="K704" s="19" t="n">
        <v>0.708333333333333</v>
      </c>
      <c r="L704" s="19" t="n">
        <v>0.333333333333333</v>
      </c>
      <c r="M704" s="19" t="n">
        <v>0.333333333333333</v>
      </c>
      <c r="N704" s="19" t="n">
        <v>0</v>
      </c>
      <c r="O704" s="19" t="n">
        <v>0</v>
      </c>
      <c r="P704" s="17" t="n">
        <f aca="false">IF(AND(ISNUMBER(H704),ISNUMBER(I704)),MAX(0,ROUND((I704-H704)*1440,0)-'Bilan agents'!$C$4),0)</f>
        <v>0</v>
      </c>
      <c r="Q704" s="8" t="str">
        <f aca="false">IF(H704="Congé","CP",IF(H704="Férié","F",IF(H704="OFF","R",IF(N704&gt;0,"A",IF(ISNUMBER(I704),"P","NR")))))</f>
        <v>P</v>
      </c>
      <c r="R704" s="18"/>
    </row>
    <row r="705" customFormat="false" ht="15" hidden="false" customHeight="false" outlineLevel="0" collapsed="false">
      <c r="A705" s="18" t="s">
        <v>30</v>
      </c>
      <c r="B705" s="8" t="s">
        <v>31</v>
      </c>
      <c r="C705" s="9" t="n">
        <v>46039</v>
      </c>
      <c r="D705" s="8" t="n">
        <v>2026</v>
      </c>
      <c r="E705" s="8" t="n">
        <v>3</v>
      </c>
      <c r="F705" s="18" t="s">
        <v>122</v>
      </c>
      <c r="G705" s="8" t="s">
        <v>121</v>
      </c>
      <c r="H705" s="19" t="s">
        <v>115</v>
      </c>
      <c r="I705" s="19"/>
      <c r="J705" s="19"/>
      <c r="K705" s="19"/>
      <c r="L705" s="19" t="n">
        <v>0</v>
      </c>
      <c r="M705" s="19"/>
      <c r="N705" s="19" t="n">
        <v>0</v>
      </c>
      <c r="O705" s="19" t="n">
        <v>0</v>
      </c>
      <c r="P705" s="17" t="n">
        <f aca="false">IF(AND(ISNUMBER(H705),ISNUMBER(I705)),MAX(0,ROUND((I705-H705)*1440,0)-'Bilan agents'!$C$4),0)</f>
        <v>0</v>
      </c>
      <c r="Q705" s="8" t="str">
        <f aca="false">IF(H705="Congé","CP",IF(H705="Férié","F",IF(H705="OFF","R",IF(N705&gt;0,"A",IF(ISNUMBER(I705),"P","NR")))))</f>
        <v>R</v>
      </c>
      <c r="R705" s="18"/>
    </row>
    <row r="706" customFormat="false" ht="15" hidden="false" customHeight="false" outlineLevel="0" collapsed="false">
      <c r="A706" s="18" t="s">
        <v>30</v>
      </c>
      <c r="B706" s="8" t="s">
        <v>31</v>
      </c>
      <c r="C706" s="9" t="n">
        <v>46040</v>
      </c>
      <c r="D706" s="8" t="n">
        <v>2026</v>
      </c>
      <c r="E706" s="8" t="n">
        <v>3</v>
      </c>
      <c r="F706" s="18" t="s">
        <v>122</v>
      </c>
      <c r="G706" s="8" t="s">
        <v>114</v>
      </c>
      <c r="H706" s="19" t="s">
        <v>115</v>
      </c>
      <c r="I706" s="19"/>
      <c r="J706" s="19"/>
      <c r="K706" s="19"/>
      <c r="L706" s="19" t="n">
        <v>0</v>
      </c>
      <c r="M706" s="19"/>
      <c r="N706" s="19" t="n">
        <v>0</v>
      </c>
      <c r="O706" s="19" t="n">
        <v>0</v>
      </c>
      <c r="P706" s="17" t="n">
        <f aca="false">IF(AND(ISNUMBER(H706),ISNUMBER(I706)),MAX(0,ROUND((I706-H706)*1440,0)-'Bilan agents'!$C$4),0)</f>
        <v>0</v>
      </c>
      <c r="Q706" s="8" t="str">
        <f aca="false">IF(H706="Congé","CP",IF(H706="Férié","F",IF(H706="OFF","R",IF(N706&gt;0,"A",IF(ISNUMBER(I706),"P","NR")))))</f>
        <v>R</v>
      </c>
      <c r="R706" s="18"/>
    </row>
    <row r="707" customFormat="false" ht="15" hidden="false" customHeight="false" outlineLevel="0" collapsed="false">
      <c r="A707" s="18" t="s">
        <v>30</v>
      </c>
      <c r="B707" s="8" t="s">
        <v>31</v>
      </c>
      <c r="C707" s="9" t="n">
        <v>46043</v>
      </c>
      <c r="D707" s="8" t="n">
        <v>2026</v>
      </c>
      <c r="E707" s="8" t="n">
        <v>4</v>
      </c>
      <c r="F707" s="18" t="s">
        <v>122</v>
      </c>
      <c r="G707" s="8" t="s">
        <v>118</v>
      </c>
      <c r="H707" s="19" t="n">
        <v>0.333333333333333</v>
      </c>
      <c r="I707" s="19" t="n">
        <v>0.341666666666667</v>
      </c>
      <c r="J707" s="19" t="n">
        <v>0.75</v>
      </c>
      <c r="K707" s="19" t="n">
        <v>0.75</v>
      </c>
      <c r="L707" s="19" t="n">
        <v>0.375</v>
      </c>
      <c r="M707" s="19" t="n">
        <v>0.375</v>
      </c>
      <c r="N707" s="19" t="n">
        <v>0</v>
      </c>
      <c r="O707" s="19" t="n">
        <v>0</v>
      </c>
      <c r="P707" s="17" t="n">
        <f aca="false">IF(AND(ISNUMBER(H707),ISNUMBER(I707)),MAX(0,ROUND((I707-H707)*1440,0)-'Bilan agents'!$C$4),0)</f>
        <v>12</v>
      </c>
      <c r="Q707" s="8" t="str">
        <f aca="false">IF(H707="Congé","CP",IF(H707="Férié","F",IF(H707="OFF","R",IF(N707&gt;0,"A",IF(ISNUMBER(I707),"P","NR")))))</f>
        <v>P</v>
      </c>
      <c r="R707" s="18"/>
    </row>
    <row r="708" customFormat="false" ht="15" hidden="false" customHeight="false" outlineLevel="0" collapsed="false">
      <c r="A708" s="18" t="s">
        <v>30</v>
      </c>
      <c r="B708" s="8" t="s">
        <v>31</v>
      </c>
      <c r="C708" s="9" t="n">
        <v>46044</v>
      </c>
      <c r="D708" s="8" t="n">
        <v>2026</v>
      </c>
      <c r="E708" s="8" t="n">
        <v>4</v>
      </c>
      <c r="F708" s="18" t="s">
        <v>122</v>
      </c>
      <c r="G708" s="8" t="s">
        <v>119</v>
      </c>
      <c r="H708" s="19" t="n">
        <v>0.333333333333333</v>
      </c>
      <c r="I708" s="19" t="n">
        <v>0.333333333333333</v>
      </c>
      <c r="J708" s="19" t="n">
        <v>0.75</v>
      </c>
      <c r="K708" s="19" t="n">
        <v>0.75</v>
      </c>
      <c r="L708" s="19" t="n">
        <v>0.375</v>
      </c>
      <c r="M708" s="19" t="n">
        <v>0.375</v>
      </c>
      <c r="N708" s="19" t="n">
        <v>0</v>
      </c>
      <c r="O708" s="19" t="n">
        <v>0</v>
      </c>
      <c r="P708" s="17" t="n">
        <f aca="false">IF(AND(ISNUMBER(H708),ISNUMBER(I708)),MAX(0,ROUND((I708-H708)*1440,0)-'Bilan agents'!$C$4),0)</f>
        <v>0</v>
      </c>
      <c r="Q708" s="8" t="str">
        <f aca="false">IF(H708="Congé","CP",IF(H708="Férié","F",IF(H708="OFF","R",IF(N708&gt;0,"A",IF(ISNUMBER(I708),"P","NR")))))</f>
        <v>P</v>
      </c>
      <c r="R708" s="18"/>
    </row>
    <row r="709" customFormat="false" ht="15" hidden="false" customHeight="false" outlineLevel="0" collapsed="false">
      <c r="A709" s="18" t="s">
        <v>30</v>
      </c>
      <c r="B709" s="8" t="s">
        <v>31</v>
      </c>
      <c r="C709" s="9" t="n">
        <v>46045</v>
      </c>
      <c r="D709" s="8" t="n">
        <v>2026</v>
      </c>
      <c r="E709" s="8" t="n">
        <v>4</v>
      </c>
      <c r="F709" s="18" t="s">
        <v>122</v>
      </c>
      <c r="G709" s="8" t="s">
        <v>120</v>
      </c>
      <c r="H709" s="19" t="n">
        <v>0.333333333333333</v>
      </c>
      <c r="I709" s="19" t="n">
        <v>0.332638888888889</v>
      </c>
      <c r="J709" s="19" t="n">
        <v>0.708333333333333</v>
      </c>
      <c r="K709" s="19" t="n">
        <v>0.708333333333333</v>
      </c>
      <c r="L709" s="19" t="n">
        <v>0.333333333333333</v>
      </c>
      <c r="M709" s="19" t="n">
        <v>0.333333333333333</v>
      </c>
      <c r="N709" s="19" t="n">
        <v>0</v>
      </c>
      <c r="O709" s="19" t="n">
        <v>0</v>
      </c>
      <c r="P709" s="17" t="n">
        <f aca="false">IF(AND(ISNUMBER(H709),ISNUMBER(I709)),MAX(0,ROUND((I709-H709)*1440,0)-'Bilan agents'!$C$4),0)</f>
        <v>0</v>
      </c>
      <c r="Q709" s="8" t="str">
        <f aca="false">IF(H709="Congé","CP",IF(H709="Férié","F",IF(H709="OFF","R",IF(N709&gt;0,"A",IF(ISNUMBER(I709),"P","NR")))))</f>
        <v>P</v>
      </c>
      <c r="R709" s="18"/>
    </row>
    <row r="710" customFormat="false" ht="15" hidden="false" customHeight="false" outlineLevel="0" collapsed="false">
      <c r="A710" s="18" t="s">
        <v>30</v>
      </c>
      <c r="B710" s="8" t="s">
        <v>31</v>
      </c>
      <c r="C710" s="9" t="n">
        <v>46046</v>
      </c>
      <c r="D710" s="8" t="n">
        <v>2026</v>
      </c>
      <c r="E710" s="8" t="n">
        <v>4</v>
      </c>
      <c r="F710" s="18" t="s">
        <v>122</v>
      </c>
      <c r="G710" s="8" t="s">
        <v>121</v>
      </c>
      <c r="H710" s="19" t="s">
        <v>115</v>
      </c>
      <c r="I710" s="19"/>
      <c r="J710" s="19"/>
      <c r="K710" s="19"/>
      <c r="L710" s="19" t="n">
        <v>0</v>
      </c>
      <c r="M710" s="19"/>
      <c r="N710" s="19" t="n">
        <v>0</v>
      </c>
      <c r="O710" s="19" t="n">
        <v>0</v>
      </c>
      <c r="P710" s="17" t="n">
        <f aca="false">IF(AND(ISNUMBER(H710),ISNUMBER(I710)),MAX(0,ROUND((I710-H710)*1440,0)-'Bilan agents'!$C$4),0)</f>
        <v>0</v>
      </c>
      <c r="Q710" s="8" t="str">
        <f aca="false">IF(H710="Congé","CP",IF(H710="Férié","F",IF(H710="OFF","R",IF(N710&gt;0,"A",IF(ISNUMBER(I710),"P","NR")))))</f>
        <v>R</v>
      </c>
      <c r="R710" s="18"/>
    </row>
    <row r="711" customFormat="false" ht="15" hidden="false" customHeight="false" outlineLevel="0" collapsed="false">
      <c r="A711" s="18" t="s">
        <v>30</v>
      </c>
      <c r="B711" s="8" t="s">
        <v>31</v>
      </c>
      <c r="C711" s="9" t="n">
        <v>46047</v>
      </c>
      <c r="D711" s="8" t="n">
        <v>2026</v>
      </c>
      <c r="E711" s="8" t="n">
        <v>4</v>
      </c>
      <c r="F711" s="18" t="s">
        <v>122</v>
      </c>
      <c r="G711" s="8" t="s">
        <v>114</v>
      </c>
      <c r="H711" s="19" t="s">
        <v>115</v>
      </c>
      <c r="I711" s="19"/>
      <c r="J711" s="19"/>
      <c r="K711" s="19"/>
      <c r="L711" s="19" t="n">
        <v>0</v>
      </c>
      <c r="M711" s="19"/>
      <c r="N711" s="19" t="n">
        <v>0</v>
      </c>
      <c r="O711" s="19" t="n">
        <v>0</v>
      </c>
      <c r="P711" s="17" t="n">
        <f aca="false">IF(AND(ISNUMBER(H711),ISNUMBER(I711)),MAX(0,ROUND((I711-H711)*1440,0)-'Bilan agents'!$C$4),0)</f>
        <v>0</v>
      </c>
      <c r="Q711" s="8" t="str">
        <f aca="false">IF(H711="Congé","CP",IF(H711="Férié","F",IF(H711="OFF","R",IF(N711&gt;0,"A",IF(ISNUMBER(I711),"P","NR")))))</f>
        <v>R</v>
      </c>
      <c r="R711" s="18"/>
    </row>
    <row r="712" customFormat="false" ht="15" hidden="false" customHeight="false" outlineLevel="0" collapsed="false">
      <c r="A712" s="18" t="s">
        <v>30</v>
      </c>
      <c r="B712" s="8" t="s">
        <v>31</v>
      </c>
      <c r="C712" s="9" t="n">
        <v>46048</v>
      </c>
      <c r="D712" s="8" t="n">
        <v>2026</v>
      </c>
      <c r="E712" s="8" t="n">
        <v>5</v>
      </c>
      <c r="F712" s="18" t="s">
        <v>122</v>
      </c>
      <c r="G712" s="8" t="s">
        <v>116</v>
      </c>
      <c r="H712" s="19" t="n">
        <v>0.333333333333333</v>
      </c>
      <c r="I712" s="19" t="n">
        <v>0.333333333333333</v>
      </c>
      <c r="J712" s="19" t="n">
        <v>0.75</v>
      </c>
      <c r="K712" s="19" t="n">
        <v>0.75</v>
      </c>
      <c r="L712" s="19" t="n">
        <v>0.375</v>
      </c>
      <c r="M712" s="19" t="n">
        <v>0.375</v>
      </c>
      <c r="N712" s="19" t="n">
        <v>0</v>
      </c>
      <c r="O712" s="19" t="n">
        <v>0</v>
      </c>
      <c r="P712" s="17" t="n">
        <f aca="false">IF(AND(ISNUMBER(H712),ISNUMBER(I712)),MAX(0,ROUND((I712-H712)*1440,0)-'Bilan agents'!$C$4),0)</f>
        <v>0</v>
      </c>
      <c r="Q712" s="8" t="str">
        <f aca="false">IF(H712="Congé","CP",IF(H712="Férié","F",IF(H712="OFF","R",IF(N712&gt;0,"A",IF(ISNUMBER(I712),"P","NR")))))</f>
        <v>P</v>
      </c>
      <c r="R712" s="18"/>
    </row>
    <row r="713" customFormat="false" ht="15" hidden="false" customHeight="false" outlineLevel="0" collapsed="false">
      <c r="A713" s="18" t="s">
        <v>30</v>
      </c>
      <c r="B713" s="8" t="s">
        <v>31</v>
      </c>
      <c r="C713" s="9" t="n">
        <v>46049</v>
      </c>
      <c r="D713" s="8" t="n">
        <v>2026</v>
      </c>
      <c r="E713" s="8" t="n">
        <v>5</v>
      </c>
      <c r="F713" s="18" t="s">
        <v>122</v>
      </c>
      <c r="G713" s="8" t="s">
        <v>117</v>
      </c>
      <c r="H713" s="19" t="n">
        <v>0.333333333333333</v>
      </c>
      <c r="I713" s="19" t="n">
        <v>0.333333333333333</v>
      </c>
      <c r="J713" s="19" t="n">
        <v>0.75</v>
      </c>
      <c r="K713" s="19" t="n">
        <v>0.75</v>
      </c>
      <c r="L713" s="19" t="n">
        <v>0.375</v>
      </c>
      <c r="M713" s="19" t="n">
        <v>0.375</v>
      </c>
      <c r="N713" s="19" t="n">
        <v>0</v>
      </c>
      <c r="O713" s="19" t="n">
        <v>0</v>
      </c>
      <c r="P713" s="17" t="n">
        <f aca="false">IF(AND(ISNUMBER(H713),ISNUMBER(I713)),MAX(0,ROUND((I713-H713)*1440,0)-'Bilan agents'!$C$4),0)</f>
        <v>0</v>
      </c>
      <c r="Q713" s="8" t="str">
        <f aca="false">IF(H713="Congé","CP",IF(H713="Férié","F",IF(H713="OFF","R",IF(N713&gt;0,"A",IF(ISNUMBER(I713),"P","NR")))))</f>
        <v>P</v>
      </c>
      <c r="R713" s="18"/>
    </row>
    <row r="714" customFormat="false" ht="15" hidden="false" customHeight="false" outlineLevel="0" collapsed="false">
      <c r="A714" s="18" t="s">
        <v>30</v>
      </c>
      <c r="B714" s="8" t="s">
        <v>31</v>
      </c>
      <c r="C714" s="9" t="n">
        <v>46050</v>
      </c>
      <c r="D714" s="8" t="n">
        <v>2026</v>
      </c>
      <c r="E714" s="8" t="n">
        <v>5</v>
      </c>
      <c r="F714" s="18" t="s">
        <v>122</v>
      </c>
      <c r="G714" s="8" t="s">
        <v>118</v>
      </c>
      <c r="H714" s="19" t="n">
        <v>0.333333333333333</v>
      </c>
      <c r="I714" s="19" t="n">
        <v>0.331944444444444</v>
      </c>
      <c r="J714" s="19" t="n">
        <v>0.75</v>
      </c>
      <c r="K714" s="19" t="n">
        <v>0.75</v>
      </c>
      <c r="L714" s="19" t="n">
        <v>0.375</v>
      </c>
      <c r="M714" s="19" t="n">
        <v>0.375</v>
      </c>
      <c r="N714" s="19" t="n">
        <v>0</v>
      </c>
      <c r="O714" s="19" t="n">
        <v>0.00138888888888889</v>
      </c>
      <c r="P714" s="17" t="n">
        <f aca="false">IF(AND(ISNUMBER(H714),ISNUMBER(I714)),MAX(0,ROUND((I714-H714)*1440,0)-'Bilan agents'!$C$4),0)</f>
        <v>0</v>
      </c>
      <c r="Q714" s="8" t="str">
        <f aca="false">IF(H714="Congé","CP",IF(H714="Férié","F",IF(H714="OFF","R",IF(N714&gt;0,"A",IF(ISNUMBER(I714),"P","NR")))))</f>
        <v>P</v>
      </c>
      <c r="R714" s="18"/>
    </row>
    <row r="715" customFormat="false" ht="15" hidden="false" customHeight="false" outlineLevel="0" collapsed="false">
      <c r="A715" s="18" t="s">
        <v>30</v>
      </c>
      <c r="B715" s="8" t="s">
        <v>31</v>
      </c>
      <c r="C715" s="9" t="n">
        <v>46051</v>
      </c>
      <c r="D715" s="8" t="n">
        <v>2026</v>
      </c>
      <c r="E715" s="8" t="n">
        <v>5</v>
      </c>
      <c r="F715" s="18" t="s">
        <v>122</v>
      </c>
      <c r="G715" s="8" t="s">
        <v>119</v>
      </c>
      <c r="H715" s="19" t="n">
        <v>0.333333333333333</v>
      </c>
      <c r="I715" s="19" t="n">
        <v>0.33125</v>
      </c>
      <c r="J715" s="19" t="n">
        <v>0.75</v>
      </c>
      <c r="K715" s="19" t="n">
        <v>0.75</v>
      </c>
      <c r="L715" s="19" t="n">
        <v>0.375</v>
      </c>
      <c r="M715" s="19" t="n">
        <v>0.375</v>
      </c>
      <c r="N715" s="19" t="n">
        <v>0</v>
      </c>
      <c r="O715" s="19" t="n">
        <v>0.00208333333333333</v>
      </c>
      <c r="P715" s="17" t="n">
        <f aca="false">IF(AND(ISNUMBER(H715),ISNUMBER(I715)),MAX(0,ROUND((I715-H715)*1440,0)-'Bilan agents'!$C$4),0)</f>
        <v>0</v>
      </c>
      <c r="Q715" s="8" t="str">
        <f aca="false">IF(H715="Congé","CP",IF(H715="Férié","F",IF(H715="OFF","R",IF(N715&gt;0,"A",IF(ISNUMBER(I715),"P","NR")))))</f>
        <v>P</v>
      </c>
      <c r="R715" s="18"/>
    </row>
    <row r="716" customFormat="false" ht="15" hidden="false" customHeight="false" outlineLevel="0" collapsed="false">
      <c r="A716" s="18" t="s">
        <v>30</v>
      </c>
      <c r="B716" s="8" t="s">
        <v>31</v>
      </c>
      <c r="C716" s="9" t="n">
        <v>46052</v>
      </c>
      <c r="D716" s="8" t="n">
        <v>2026</v>
      </c>
      <c r="E716" s="8" t="n">
        <v>5</v>
      </c>
      <c r="F716" s="18" t="s">
        <v>122</v>
      </c>
      <c r="G716" s="8" t="s">
        <v>120</v>
      </c>
      <c r="H716" s="19" t="n">
        <v>0.333333333333333</v>
      </c>
      <c r="I716" s="19" t="n">
        <v>0.333333333333333</v>
      </c>
      <c r="J716" s="19" t="n">
        <v>0.708333333333333</v>
      </c>
      <c r="K716" s="19" t="n">
        <v>0.708333333333333</v>
      </c>
      <c r="L716" s="19" t="n">
        <v>0.333333333333333</v>
      </c>
      <c r="M716" s="19" t="n">
        <v>0.333333333333333</v>
      </c>
      <c r="N716" s="19" t="n">
        <v>0</v>
      </c>
      <c r="O716" s="19" t="n">
        <v>0</v>
      </c>
      <c r="P716" s="17" t="n">
        <f aca="false">IF(AND(ISNUMBER(H716),ISNUMBER(I716)),MAX(0,ROUND((I716-H716)*1440,0)-'Bilan agents'!$C$4),0)</f>
        <v>0</v>
      </c>
      <c r="Q716" s="8" t="str">
        <f aca="false">IF(H716="Congé","CP",IF(H716="Férié","F",IF(H716="OFF","R",IF(N716&gt;0,"A",IF(ISNUMBER(I716),"P","NR")))))</f>
        <v>P</v>
      </c>
      <c r="R716" s="18"/>
    </row>
    <row r="717" customFormat="false" ht="15" hidden="false" customHeight="false" outlineLevel="0" collapsed="false">
      <c r="A717" s="18" t="s">
        <v>30</v>
      </c>
      <c r="B717" s="8" t="s">
        <v>31</v>
      </c>
      <c r="C717" s="9" t="n">
        <v>46053</v>
      </c>
      <c r="D717" s="8" t="n">
        <v>2026</v>
      </c>
      <c r="E717" s="8" t="n">
        <v>5</v>
      </c>
      <c r="F717" s="18" t="s">
        <v>122</v>
      </c>
      <c r="G717" s="8" t="s">
        <v>121</v>
      </c>
      <c r="H717" s="19" t="s">
        <v>115</v>
      </c>
      <c r="I717" s="19"/>
      <c r="J717" s="19"/>
      <c r="K717" s="19"/>
      <c r="L717" s="19" t="n">
        <v>0</v>
      </c>
      <c r="M717" s="19"/>
      <c r="N717" s="19" t="n">
        <v>0</v>
      </c>
      <c r="O717" s="19" t="n">
        <v>0</v>
      </c>
      <c r="P717" s="17" t="n">
        <f aca="false">IF(AND(ISNUMBER(H717),ISNUMBER(I717)),MAX(0,ROUND((I717-H717)*1440,0)-'Bilan agents'!$C$4),0)</f>
        <v>0</v>
      </c>
      <c r="Q717" s="8" t="str">
        <f aca="false">IF(H717="Congé","CP",IF(H717="Férié","F",IF(H717="OFF","R",IF(N717&gt;0,"A",IF(ISNUMBER(I717),"P","NR")))))</f>
        <v>R</v>
      </c>
      <c r="R717" s="18"/>
    </row>
    <row r="718" customFormat="false" ht="15" hidden="false" customHeight="false" outlineLevel="0" collapsed="false">
      <c r="A718" s="18" t="s">
        <v>30</v>
      </c>
      <c r="B718" s="8" t="s">
        <v>31</v>
      </c>
      <c r="C718" s="9" t="n">
        <v>46054</v>
      </c>
      <c r="D718" s="8" t="n">
        <v>2026</v>
      </c>
      <c r="E718" s="8" t="n">
        <v>5</v>
      </c>
      <c r="F718" s="18" t="s">
        <v>123</v>
      </c>
      <c r="G718" s="8" t="s">
        <v>114</v>
      </c>
      <c r="H718" s="19" t="s">
        <v>115</v>
      </c>
      <c r="I718" s="19"/>
      <c r="J718" s="19"/>
      <c r="K718" s="19"/>
      <c r="L718" s="19" t="n">
        <v>0</v>
      </c>
      <c r="M718" s="19"/>
      <c r="N718" s="19" t="n">
        <v>0</v>
      </c>
      <c r="O718" s="19" t="n">
        <v>0</v>
      </c>
      <c r="P718" s="17" t="n">
        <f aca="false">IF(AND(ISNUMBER(H718),ISNUMBER(I718)),MAX(0,ROUND((I718-H718)*1440,0)-'Bilan agents'!$C$4),0)</f>
        <v>0</v>
      </c>
      <c r="Q718" s="8" t="str">
        <f aca="false">IF(H718="Congé","CP",IF(H718="Férié","F",IF(H718="OFF","R",IF(N718&gt;0,"A",IF(ISNUMBER(I718),"P","NR")))))</f>
        <v>R</v>
      </c>
      <c r="R718" s="18"/>
    </row>
    <row r="719" customFormat="false" ht="15" hidden="false" customHeight="false" outlineLevel="0" collapsed="false">
      <c r="A719" s="18" t="s">
        <v>30</v>
      </c>
      <c r="B719" s="8" t="s">
        <v>31</v>
      </c>
      <c r="C719" s="9" t="n">
        <v>46055</v>
      </c>
      <c r="D719" s="8" t="n">
        <v>2026</v>
      </c>
      <c r="E719" s="8" t="n">
        <v>6</v>
      </c>
      <c r="F719" s="18" t="s">
        <v>123</v>
      </c>
      <c r="G719" s="8" t="s">
        <v>116</v>
      </c>
      <c r="H719" s="19" t="n">
        <v>0.333333333333333</v>
      </c>
      <c r="I719" s="19" t="n">
        <v>0.340972222222222</v>
      </c>
      <c r="J719" s="19" t="n">
        <v>0.75</v>
      </c>
      <c r="K719" s="19" t="n">
        <v>0.75</v>
      </c>
      <c r="L719" s="19" t="n">
        <v>0.375</v>
      </c>
      <c r="M719" s="19" t="n">
        <v>0.375</v>
      </c>
      <c r="N719" s="19" t="n">
        <v>0</v>
      </c>
      <c r="O719" s="19" t="n">
        <v>0</v>
      </c>
      <c r="P719" s="17" t="n">
        <f aca="false">IF(AND(ISNUMBER(H719),ISNUMBER(I719)),MAX(0,ROUND((I719-H719)*1440,0)-'Bilan agents'!$C$4),0)</f>
        <v>11</v>
      </c>
      <c r="Q719" s="8" t="str">
        <f aca="false">IF(H719="Congé","CP",IF(H719="Férié","F",IF(H719="OFF","R",IF(N719&gt;0,"A",IF(ISNUMBER(I719),"P","NR")))))</f>
        <v>P</v>
      </c>
      <c r="R719" s="18"/>
    </row>
    <row r="720" customFormat="false" ht="15" hidden="false" customHeight="false" outlineLevel="0" collapsed="false">
      <c r="A720" s="18" t="s">
        <v>30</v>
      </c>
      <c r="B720" s="8" t="s">
        <v>31</v>
      </c>
      <c r="C720" s="9" t="n">
        <v>46056</v>
      </c>
      <c r="D720" s="8" t="n">
        <v>2026</v>
      </c>
      <c r="E720" s="8" t="n">
        <v>6</v>
      </c>
      <c r="F720" s="18" t="s">
        <v>123</v>
      </c>
      <c r="G720" s="8" t="s">
        <v>117</v>
      </c>
      <c r="H720" s="19" t="n">
        <v>0.333333333333333</v>
      </c>
      <c r="I720" s="19" t="n">
        <v>0.331944444444444</v>
      </c>
      <c r="J720" s="19" t="n">
        <v>0.75</v>
      </c>
      <c r="K720" s="19" t="n">
        <v>0.75</v>
      </c>
      <c r="L720" s="19" t="n">
        <v>0.375</v>
      </c>
      <c r="M720" s="19" t="n">
        <v>0.375</v>
      </c>
      <c r="N720" s="19" t="n">
        <v>0</v>
      </c>
      <c r="O720" s="19" t="n">
        <v>0.00138888888888889</v>
      </c>
      <c r="P720" s="17" t="n">
        <f aca="false">IF(AND(ISNUMBER(H720),ISNUMBER(I720)),MAX(0,ROUND((I720-H720)*1440,0)-'Bilan agents'!$C$4),0)</f>
        <v>0</v>
      </c>
      <c r="Q720" s="8" t="str">
        <f aca="false">IF(H720="Congé","CP",IF(H720="Férié","F",IF(H720="OFF","R",IF(N720&gt;0,"A",IF(ISNUMBER(I720),"P","NR")))))</f>
        <v>P</v>
      </c>
      <c r="R720" s="18"/>
    </row>
    <row r="721" customFormat="false" ht="15" hidden="false" customHeight="false" outlineLevel="0" collapsed="false">
      <c r="A721" s="18" t="s">
        <v>30</v>
      </c>
      <c r="B721" s="8" t="s">
        <v>31</v>
      </c>
      <c r="C721" s="9" t="n">
        <v>46057</v>
      </c>
      <c r="D721" s="8" t="n">
        <v>2026</v>
      </c>
      <c r="E721" s="8" t="n">
        <v>6</v>
      </c>
      <c r="F721" s="18" t="s">
        <v>123</v>
      </c>
      <c r="G721" s="8" t="s">
        <v>118</v>
      </c>
      <c r="H721" s="19" t="n">
        <v>0.333333333333333</v>
      </c>
      <c r="I721" s="19" t="n">
        <v>0.332638888888889</v>
      </c>
      <c r="J721" s="19" t="n">
        <v>0.75</v>
      </c>
      <c r="K721" s="19" t="n">
        <v>0.75</v>
      </c>
      <c r="L721" s="19" t="n">
        <v>0.375</v>
      </c>
      <c r="M721" s="19" t="n">
        <v>0.375</v>
      </c>
      <c r="N721" s="19" t="n">
        <v>0</v>
      </c>
      <c r="O721" s="19" t="n">
        <v>0</v>
      </c>
      <c r="P721" s="17" t="n">
        <f aca="false">IF(AND(ISNUMBER(H721),ISNUMBER(I721)),MAX(0,ROUND((I721-H721)*1440,0)-'Bilan agents'!$C$4),0)</f>
        <v>0</v>
      </c>
      <c r="Q721" s="8" t="str">
        <f aca="false">IF(H721="Congé","CP",IF(H721="Férié","F",IF(H721="OFF","R",IF(N721&gt;0,"A",IF(ISNUMBER(I721),"P","NR")))))</f>
        <v>P</v>
      </c>
      <c r="R721" s="18"/>
    </row>
    <row r="722" customFormat="false" ht="15" hidden="false" customHeight="false" outlineLevel="0" collapsed="false">
      <c r="A722" s="18" t="s">
        <v>30</v>
      </c>
      <c r="B722" s="8" t="s">
        <v>31</v>
      </c>
      <c r="C722" s="9" t="n">
        <v>46058</v>
      </c>
      <c r="D722" s="8" t="n">
        <v>2026</v>
      </c>
      <c r="E722" s="8" t="n">
        <v>6</v>
      </c>
      <c r="F722" s="18" t="s">
        <v>123</v>
      </c>
      <c r="G722" s="8" t="s">
        <v>119</v>
      </c>
      <c r="H722" s="19" t="n">
        <v>0.333333333333333</v>
      </c>
      <c r="I722" s="19" t="n">
        <v>0.331944444444444</v>
      </c>
      <c r="J722" s="19" t="n">
        <v>0.75</v>
      </c>
      <c r="K722" s="19" t="n">
        <v>0.75</v>
      </c>
      <c r="L722" s="19" t="n">
        <v>0.375</v>
      </c>
      <c r="M722" s="19" t="n">
        <v>0.375</v>
      </c>
      <c r="N722" s="19" t="n">
        <v>0</v>
      </c>
      <c r="O722" s="19" t="n">
        <v>0.00138888888888889</v>
      </c>
      <c r="P722" s="17" t="n">
        <f aca="false">IF(AND(ISNUMBER(H722),ISNUMBER(I722)),MAX(0,ROUND((I722-H722)*1440,0)-'Bilan agents'!$C$4),0)</f>
        <v>0</v>
      </c>
      <c r="Q722" s="8" t="str">
        <f aca="false">IF(H722="Congé","CP",IF(H722="Férié","F",IF(H722="OFF","R",IF(N722&gt;0,"A",IF(ISNUMBER(I722),"P","NR")))))</f>
        <v>P</v>
      </c>
      <c r="R722" s="18"/>
    </row>
    <row r="723" customFormat="false" ht="15" hidden="false" customHeight="false" outlineLevel="0" collapsed="false">
      <c r="A723" s="18" t="s">
        <v>30</v>
      </c>
      <c r="B723" s="8" t="s">
        <v>31</v>
      </c>
      <c r="C723" s="9" t="n">
        <v>46059</v>
      </c>
      <c r="D723" s="8" t="n">
        <v>2026</v>
      </c>
      <c r="E723" s="8" t="n">
        <v>6</v>
      </c>
      <c r="F723" s="18" t="s">
        <v>123</v>
      </c>
      <c r="G723" s="8" t="s">
        <v>120</v>
      </c>
      <c r="H723" s="19" t="n">
        <v>0.333333333333333</v>
      </c>
      <c r="I723" s="19" t="n">
        <v>0.331944444444444</v>
      </c>
      <c r="J723" s="19" t="n">
        <v>0.708333333333333</v>
      </c>
      <c r="K723" s="19" t="n">
        <v>0.708333333333333</v>
      </c>
      <c r="L723" s="19" t="n">
        <v>0.333333333333333</v>
      </c>
      <c r="M723" s="19" t="n">
        <v>0.333333333333333</v>
      </c>
      <c r="N723" s="19" t="n">
        <v>0</v>
      </c>
      <c r="O723" s="19" t="n">
        <v>0.00138888888888889</v>
      </c>
      <c r="P723" s="17" t="n">
        <f aca="false">IF(AND(ISNUMBER(H723),ISNUMBER(I723)),MAX(0,ROUND((I723-H723)*1440,0)-'Bilan agents'!$C$4),0)</f>
        <v>0</v>
      </c>
      <c r="Q723" s="8" t="str">
        <f aca="false">IF(H723="Congé","CP",IF(H723="Férié","F",IF(H723="OFF","R",IF(N723&gt;0,"A",IF(ISNUMBER(I723),"P","NR")))))</f>
        <v>P</v>
      </c>
      <c r="R723" s="18"/>
    </row>
    <row r="724" customFormat="false" ht="15" hidden="false" customHeight="false" outlineLevel="0" collapsed="false">
      <c r="A724" s="18" t="s">
        <v>30</v>
      </c>
      <c r="B724" s="8" t="s">
        <v>31</v>
      </c>
      <c r="C724" s="9" t="n">
        <v>46060</v>
      </c>
      <c r="D724" s="8" t="n">
        <v>2026</v>
      </c>
      <c r="E724" s="8" t="n">
        <v>6</v>
      </c>
      <c r="F724" s="18" t="s">
        <v>123</v>
      </c>
      <c r="G724" s="8" t="s">
        <v>121</v>
      </c>
      <c r="H724" s="19" t="s">
        <v>115</v>
      </c>
      <c r="I724" s="19"/>
      <c r="J724" s="19"/>
      <c r="K724" s="19"/>
      <c r="L724" s="19" t="n">
        <v>0</v>
      </c>
      <c r="M724" s="19"/>
      <c r="N724" s="19" t="n">
        <v>0</v>
      </c>
      <c r="O724" s="19" t="n">
        <v>0</v>
      </c>
      <c r="P724" s="17" t="n">
        <f aca="false">IF(AND(ISNUMBER(H724),ISNUMBER(I724)),MAX(0,ROUND((I724-H724)*1440,0)-'Bilan agents'!$C$4),0)</f>
        <v>0</v>
      </c>
      <c r="Q724" s="8" t="str">
        <f aca="false">IF(H724="Congé","CP",IF(H724="Férié","F",IF(H724="OFF","R",IF(N724&gt;0,"A",IF(ISNUMBER(I724),"P","NR")))))</f>
        <v>R</v>
      </c>
      <c r="R724" s="18"/>
    </row>
    <row r="725" customFormat="false" ht="15" hidden="false" customHeight="false" outlineLevel="0" collapsed="false">
      <c r="A725" s="18" t="s">
        <v>30</v>
      </c>
      <c r="B725" s="8" t="s">
        <v>31</v>
      </c>
      <c r="C725" s="9" t="n">
        <v>46061</v>
      </c>
      <c r="D725" s="8" t="n">
        <v>2026</v>
      </c>
      <c r="E725" s="8" t="n">
        <v>6</v>
      </c>
      <c r="F725" s="18" t="s">
        <v>123</v>
      </c>
      <c r="G725" s="8" t="s">
        <v>114</v>
      </c>
      <c r="H725" s="19" t="s">
        <v>115</v>
      </c>
      <c r="I725" s="19"/>
      <c r="J725" s="19"/>
      <c r="K725" s="19"/>
      <c r="L725" s="19" t="n">
        <v>0</v>
      </c>
      <c r="M725" s="19"/>
      <c r="N725" s="19" t="n">
        <v>0</v>
      </c>
      <c r="O725" s="19" t="n">
        <v>0</v>
      </c>
      <c r="P725" s="17" t="n">
        <f aca="false">IF(AND(ISNUMBER(H725),ISNUMBER(I725)),MAX(0,ROUND((I725-H725)*1440,0)-'Bilan agents'!$C$4),0)</f>
        <v>0</v>
      </c>
      <c r="Q725" s="8" t="str">
        <f aca="false">IF(H725="Congé","CP",IF(H725="Férié","F",IF(H725="OFF","R",IF(N725&gt;0,"A",IF(ISNUMBER(I725),"P","NR")))))</f>
        <v>R</v>
      </c>
      <c r="R725" s="18"/>
    </row>
    <row r="726" customFormat="false" ht="15" hidden="false" customHeight="false" outlineLevel="0" collapsed="false">
      <c r="A726" s="18" t="s">
        <v>30</v>
      </c>
      <c r="B726" s="8" t="s">
        <v>31</v>
      </c>
      <c r="C726" s="9" t="n">
        <v>46062</v>
      </c>
      <c r="D726" s="8" t="n">
        <v>2026</v>
      </c>
      <c r="E726" s="8" t="n">
        <v>7</v>
      </c>
      <c r="F726" s="18" t="s">
        <v>123</v>
      </c>
      <c r="G726" s="8" t="s">
        <v>116</v>
      </c>
      <c r="H726" s="19" t="n">
        <v>0.333333333333333</v>
      </c>
      <c r="I726" s="19" t="n">
        <v>0.331944444444444</v>
      </c>
      <c r="J726" s="19" t="n">
        <v>0.75</v>
      </c>
      <c r="K726" s="19" t="n">
        <v>0.75</v>
      </c>
      <c r="L726" s="19" t="n">
        <v>0.375</v>
      </c>
      <c r="M726" s="19" t="n">
        <v>0.375</v>
      </c>
      <c r="N726" s="19" t="n">
        <v>0</v>
      </c>
      <c r="O726" s="19" t="n">
        <v>0.00138888888888889</v>
      </c>
      <c r="P726" s="17" t="n">
        <f aca="false">IF(AND(ISNUMBER(H726),ISNUMBER(I726)),MAX(0,ROUND((I726-H726)*1440,0)-'Bilan agents'!$C$4),0)</f>
        <v>0</v>
      </c>
      <c r="Q726" s="8" t="str">
        <f aca="false">IF(H726="Congé","CP",IF(H726="Férié","F",IF(H726="OFF","R",IF(N726&gt;0,"A",IF(ISNUMBER(I726),"P","NR")))))</f>
        <v>P</v>
      </c>
      <c r="R726" s="18"/>
    </row>
    <row r="727" customFormat="false" ht="15" hidden="false" customHeight="false" outlineLevel="0" collapsed="false">
      <c r="A727" s="18" t="s">
        <v>30</v>
      </c>
      <c r="B727" s="8" t="s">
        <v>31</v>
      </c>
      <c r="C727" s="9" t="n">
        <v>46063</v>
      </c>
      <c r="D727" s="8" t="n">
        <v>2026</v>
      </c>
      <c r="E727" s="8" t="n">
        <v>7</v>
      </c>
      <c r="F727" s="18" t="s">
        <v>123</v>
      </c>
      <c r="G727" s="8" t="s">
        <v>117</v>
      </c>
      <c r="H727" s="19" t="n">
        <v>0.333333333333333</v>
      </c>
      <c r="I727" s="19" t="n">
        <v>0.331944444444444</v>
      </c>
      <c r="J727" s="19" t="n">
        <v>0.75</v>
      </c>
      <c r="K727" s="19" t="n">
        <v>0.75</v>
      </c>
      <c r="L727" s="19" t="n">
        <v>0.375</v>
      </c>
      <c r="M727" s="19" t="n">
        <v>0.375</v>
      </c>
      <c r="N727" s="19" t="n">
        <v>0</v>
      </c>
      <c r="O727" s="19" t="n">
        <v>0.00138888888888889</v>
      </c>
      <c r="P727" s="17" t="n">
        <f aca="false">IF(AND(ISNUMBER(H727),ISNUMBER(I727)),MAX(0,ROUND((I727-H727)*1440,0)-'Bilan agents'!$C$4),0)</f>
        <v>0</v>
      </c>
      <c r="Q727" s="8" t="str">
        <f aca="false">IF(H727="Congé","CP",IF(H727="Férié","F",IF(H727="OFF","R",IF(N727&gt;0,"A",IF(ISNUMBER(I727),"P","NR")))))</f>
        <v>P</v>
      </c>
      <c r="R727" s="18"/>
    </row>
    <row r="728" customFormat="false" ht="15" hidden="false" customHeight="false" outlineLevel="0" collapsed="false">
      <c r="A728" s="18" t="s">
        <v>30</v>
      </c>
      <c r="B728" s="8" t="s">
        <v>31</v>
      </c>
      <c r="C728" s="9" t="n">
        <v>46064</v>
      </c>
      <c r="D728" s="8" t="n">
        <v>2026</v>
      </c>
      <c r="E728" s="8" t="n">
        <v>7</v>
      </c>
      <c r="F728" s="18" t="s">
        <v>123</v>
      </c>
      <c r="G728" s="8" t="s">
        <v>118</v>
      </c>
      <c r="H728" s="19" t="n">
        <v>0.333333333333333</v>
      </c>
      <c r="I728" s="19" t="n">
        <v>0.33125</v>
      </c>
      <c r="J728" s="19" t="n">
        <v>0.75</v>
      </c>
      <c r="K728" s="19" t="n">
        <v>0.75</v>
      </c>
      <c r="L728" s="19" t="n">
        <v>0.375</v>
      </c>
      <c r="M728" s="19" t="n">
        <v>0.375</v>
      </c>
      <c r="N728" s="19" t="n">
        <v>0</v>
      </c>
      <c r="O728" s="19" t="n">
        <v>0.00208333333333333</v>
      </c>
      <c r="P728" s="17" t="n">
        <f aca="false">IF(AND(ISNUMBER(H728),ISNUMBER(I728)),MAX(0,ROUND((I728-H728)*1440,0)-'Bilan agents'!$C$4),0)</f>
        <v>0</v>
      </c>
      <c r="Q728" s="8" t="str">
        <f aca="false">IF(H728="Congé","CP",IF(H728="Férié","F",IF(H728="OFF","R",IF(N728&gt;0,"A",IF(ISNUMBER(I728),"P","NR")))))</f>
        <v>P</v>
      </c>
      <c r="R728" s="18"/>
    </row>
    <row r="729" customFormat="false" ht="15" hidden="false" customHeight="false" outlineLevel="0" collapsed="false">
      <c r="A729" s="18" t="s">
        <v>30</v>
      </c>
      <c r="B729" s="8" t="s">
        <v>31</v>
      </c>
      <c r="C729" s="9" t="n">
        <v>46065</v>
      </c>
      <c r="D729" s="8" t="n">
        <v>2026</v>
      </c>
      <c r="E729" s="8" t="n">
        <v>7</v>
      </c>
      <c r="F729" s="18" t="s">
        <v>123</v>
      </c>
      <c r="G729" s="8" t="s">
        <v>119</v>
      </c>
      <c r="H729" s="19" t="n">
        <v>0.333333333333333</v>
      </c>
      <c r="I729" s="19" t="n">
        <v>0.333333333333333</v>
      </c>
      <c r="J729" s="19" t="n">
        <v>0.75</v>
      </c>
      <c r="K729" s="19" t="n">
        <v>0.75</v>
      </c>
      <c r="L729" s="19" t="n">
        <v>0.375</v>
      </c>
      <c r="M729" s="19" t="n">
        <v>0.375</v>
      </c>
      <c r="N729" s="19" t="n">
        <v>0</v>
      </c>
      <c r="O729" s="19" t="n">
        <v>0</v>
      </c>
      <c r="P729" s="17" t="n">
        <f aca="false">IF(AND(ISNUMBER(H729),ISNUMBER(I729)),MAX(0,ROUND((I729-H729)*1440,0)-'Bilan agents'!$C$4),0)</f>
        <v>0</v>
      </c>
      <c r="Q729" s="8" t="str">
        <f aca="false">IF(H729="Congé","CP",IF(H729="Férié","F",IF(H729="OFF","R",IF(N729&gt;0,"A",IF(ISNUMBER(I729),"P","NR")))))</f>
        <v>P</v>
      </c>
      <c r="R729" s="18"/>
    </row>
    <row r="730" customFormat="false" ht="15" hidden="false" customHeight="false" outlineLevel="0" collapsed="false">
      <c r="A730" s="18" t="s">
        <v>30</v>
      </c>
      <c r="B730" s="8" t="s">
        <v>31</v>
      </c>
      <c r="C730" s="9" t="n">
        <v>46066</v>
      </c>
      <c r="D730" s="8" t="n">
        <v>2026</v>
      </c>
      <c r="E730" s="8" t="n">
        <v>7</v>
      </c>
      <c r="F730" s="18" t="s">
        <v>123</v>
      </c>
      <c r="G730" s="8" t="s">
        <v>120</v>
      </c>
      <c r="H730" s="19" t="n">
        <v>0.333333333333333</v>
      </c>
      <c r="I730" s="19" t="n">
        <v>0.333333333333333</v>
      </c>
      <c r="J730" s="19" t="n">
        <v>0.708333333333333</v>
      </c>
      <c r="K730" s="19" t="n">
        <v>0.708333333333333</v>
      </c>
      <c r="L730" s="19" t="n">
        <v>0.333333333333333</v>
      </c>
      <c r="M730" s="19" t="n">
        <v>0.333333333333333</v>
      </c>
      <c r="N730" s="19" t="n">
        <v>0</v>
      </c>
      <c r="O730" s="19" t="n">
        <v>0</v>
      </c>
      <c r="P730" s="17" t="n">
        <f aca="false">IF(AND(ISNUMBER(H730),ISNUMBER(I730)),MAX(0,ROUND((I730-H730)*1440,0)-'Bilan agents'!$C$4),0)</f>
        <v>0</v>
      </c>
      <c r="Q730" s="8" t="str">
        <f aca="false">IF(H730="Congé","CP",IF(H730="Férié","F",IF(H730="OFF","R",IF(N730&gt;0,"A",IF(ISNUMBER(I730),"P","NR")))))</f>
        <v>P</v>
      </c>
      <c r="R730" s="18"/>
    </row>
    <row r="731" customFormat="false" ht="15" hidden="false" customHeight="false" outlineLevel="0" collapsed="false">
      <c r="A731" s="18" t="s">
        <v>30</v>
      </c>
      <c r="B731" s="8" t="s">
        <v>31</v>
      </c>
      <c r="C731" s="9" t="n">
        <v>46067</v>
      </c>
      <c r="D731" s="8" t="n">
        <v>2026</v>
      </c>
      <c r="E731" s="8" t="n">
        <v>7</v>
      </c>
      <c r="F731" s="18" t="s">
        <v>123</v>
      </c>
      <c r="G731" s="8" t="s">
        <v>121</v>
      </c>
      <c r="H731" s="19" t="s">
        <v>115</v>
      </c>
      <c r="I731" s="19"/>
      <c r="J731" s="19"/>
      <c r="K731" s="19"/>
      <c r="L731" s="19" t="n">
        <v>0</v>
      </c>
      <c r="M731" s="19"/>
      <c r="N731" s="19" t="n">
        <v>0</v>
      </c>
      <c r="O731" s="19" t="n">
        <v>0</v>
      </c>
      <c r="P731" s="17" t="n">
        <f aca="false">IF(AND(ISNUMBER(H731),ISNUMBER(I731)),MAX(0,ROUND((I731-H731)*1440,0)-'Bilan agents'!$C$4),0)</f>
        <v>0</v>
      </c>
      <c r="Q731" s="8" t="str">
        <f aca="false">IF(H731="Congé","CP",IF(H731="Férié","F",IF(H731="OFF","R",IF(N731&gt;0,"A",IF(ISNUMBER(I731),"P","NR")))))</f>
        <v>R</v>
      </c>
      <c r="R731" s="18"/>
    </row>
    <row r="732" customFormat="false" ht="15" hidden="false" customHeight="false" outlineLevel="0" collapsed="false">
      <c r="A732" s="18" t="s">
        <v>30</v>
      </c>
      <c r="B732" s="8" t="s">
        <v>31</v>
      </c>
      <c r="C732" s="9" t="n">
        <v>46068</v>
      </c>
      <c r="D732" s="8" t="n">
        <v>2026</v>
      </c>
      <c r="E732" s="8" t="n">
        <v>7</v>
      </c>
      <c r="F732" s="18" t="s">
        <v>123</v>
      </c>
      <c r="G732" s="8" t="s">
        <v>114</v>
      </c>
      <c r="H732" s="19" t="s">
        <v>115</v>
      </c>
      <c r="I732" s="19"/>
      <c r="J732" s="19"/>
      <c r="K732" s="19"/>
      <c r="L732" s="19" t="n">
        <v>0</v>
      </c>
      <c r="M732" s="19"/>
      <c r="N732" s="19" t="n">
        <v>0</v>
      </c>
      <c r="O732" s="19" t="n">
        <v>0</v>
      </c>
      <c r="P732" s="17" t="n">
        <f aca="false">IF(AND(ISNUMBER(H732),ISNUMBER(I732)),MAX(0,ROUND((I732-H732)*1440,0)-'Bilan agents'!$C$4),0)</f>
        <v>0</v>
      </c>
      <c r="Q732" s="8" t="str">
        <f aca="false">IF(H732="Congé","CP",IF(H732="Férié","F",IF(H732="OFF","R",IF(N732&gt;0,"A",IF(ISNUMBER(I732),"P","NR")))))</f>
        <v>R</v>
      </c>
      <c r="R732" s="18"/>
    </row>
    <row r="733" customFormat="false" ht="15" hidden="false" customHeight="false" outlineLevel="0" collapsed="false">
      <c r="A733" s="18" t="s">
        <v>30</v>
      </c>
      <c r="B733" s="8" t="s">
        <v>31</v>
      </c>
      <c r="C733" s="9" t="n">
        <v>46074</v>
      </c>
      <c r="D733" s="8" t="n">
        <v>2026</v>
      </c>
      <c r="E733" s="8" t="n">
        <v>8</v>
      </c>
      <c r="F733" s="18" t="s">
        <v>123</v>
      </c>
      <c r="G733" s="8" t="s">
        <v>121</v>
      </c>
      <c r="H733" s="19" t="s">
        <v>115</v>
      </c>
      <c r="I733" s="19"/>
      <c r="J733" s="19"/>
      <c r="K733" s="19"/>
      <c r="L733" s="19" t="n">
        <v>0</v>
      </c>
      <c r="M733" s="19"/>
      <c r="N733" s="19" t="n">
        <v>0</v>
      </c>
      <c r="O733" s="19" t="n">
        <v>0</v>
      </c>
      <c r="P733" s="17" t="n">
        <f aca="false">IF(AND(ISNUMBER(H733),ISNUMBER(I733)),MAX(0,ROUND((I733-H733)*1440,0)-'Bilan agents'!$C$4),0)</f>
        <v>0</v>
      </c>
      <c r="Q733" s="8" t="str">
        <f aca="false">IF(H733="Congé","CP",IF(H733="Férié","F",IF(H733="OFF","R",IF(N733&gt;0,"A",IF(ISNUMBER(I733),"P","NR")))))</f>
        <v>R</v>
      </c>
      <c r="R733" s="18"/>
    </row>
    <row r="734" customFormat="false" ht="15" hidden="false" customHeight="false" outlineLevel="0" collapsed="false">
      <c r="A734" s="18" t="s">
        <v>30</v>
      </c>
      <c r="B734" s="8" t="s">
        <v>31</v>
      </c>
      <c r="C734" s="9" t="n">
        <v>46075</v>
      </c>
      <c r="D734" s="8" t="n">
        <v>2026</v>
      </c>
      <c r="E734" s="8" t="n">
        <v>8</v>
      </c>
      <c r="F734" s="18" t="s">
        <v>123</v>
      </c>
      <c r="G734" s="8" t="s">
        <v>114</v>
      </c>
      <c r="H734" s="19" t="s">
        <v>115</v>
      </c>
      <c r="I734" s="19"/>
      <c r="J734" s="19"/>
      <c r="K734" s="19"/>
      <c r="L734" s="19" t="n">
        <v>0</v>
      </c>
      <c r="M734" s="19"/>
      <c r="N734" s="19" t="n">
        <v>0</v>
      </c>
      <c r="O734" s="19" t="n">
        <v>0</v>
      </c>
      <c r="P734" s="17" t="n">
        <f aca="false">IF(AND(ISNUMBER(H734),ISNUMBER(I734)),MAX(0,ROUND((I734-H734)*1440,0)-'Bilan agents'!$C$4),0)</f>
        <v>0</v>
      </c>
      <c r="Q734" s="8" t="str">
        <f aca="false">IF(H734="Congé","CP",IF(H734="Férié","F",IF(H734="OFF","R",IF(N734&gt;0,"A",IF(ISNUMBER(I734),"P","NR")))))</f>
        <v>R</v>
      </c>
      <c r="R734" s="18"/>
    </row>
    <row r="735" customFormat="false" ht="15" hidden="false" customHeight="false" outlineLevel="0" collapsed="false">
      <c r="A735" s="18" t="s">
        <v>30</v>
      </c>
      <c r="B735" s="8" t="s">
        <v>31</v>
      </c>
      <c r="C735" s="9" t="n">
        <v>46076</v>
      </c>
      <c r="D735" s="8" t="n">
        <v>2026</v>
      </c>
      <c r="E735" s="8" t="n">
        <v>9</v>
      </c>
      <c r="F735" s="18" t="s">
        <v>123</v>
      </c>
      <c r="G735" s="8" t="s">
        <v>116</v>
      </c>
      <c r="H735" s="19" t="n">
        <v>0.333333333333333</v>
      </c>
      <c r="I735" s="19" t="n">
        <v>0.333333333333333</v>
      </c>
      <c r="J735" s="19" t="n">
        <v>0.708333333333333</v>
      </c>
      <c r="K735" s="19" t="n">
        <v>0.708333333333333</v>
      </c>
      <c r="L735" s="19" t="n">
        <v>0.375</v>
      </c>
      <c r="M735" s="19" t="n">
        <v>0.375</v>
      </c>
      <c r="N735" s="19" t="n">
        <v>0</v>
      </c>
      <c r="O735" s="19" t="n">
        <v>0</v>
      </c>
      <c r="P735" s="17" t="n">
        <f aca="false">IF(AND(ISNUMBER(H735),ISNUMBER(I735)),MAX(0,ROUND((I735-H735)*1440,0)-'Bilan agents'!$C$4),0)</f>
        <v>0</v>
      </c>
      <c r="Q735" s="8" t="str">
        <f aca="false">IF(H735="Congé","CP",IF(H735="Férié","F",IF(H735="OFF","R",IF(N735&gt;0,"A",IF(ISNUMBER(I735),"P","NR")))))</f>
        <v>P</v>
      </c>
      <c r="R735" s="18"/>
    </row>
    <row r="736" customFormat="false" ht="15" hidden="false" customHeight="false" outlineLevel="0" collapsed="false">
      <c r="A736" s="18" t="s">
        <v>30</v>
      </c>
      <c r="B736" s="8" t="s">
        <v>31</v>
      </c>
      <c r="C736" s="9" t="n">
        <v>46077</v>
      </c>
      <c r="D736" s="8" t="n">
        <v>2026</v>
      </c>
      <c r="E736" s="8" t="n">
        <v>9</v>
      </c>
      <c r="F736" s="18" t="s">
        <v>123</v>
      </c>
      <c r="G736" s="8" t="s">
        <v>117</v>
      </c>
      <c r="H736" s="19" t="n">
        <v>0.333333333333333</v>
      </c>
      <c r="I736" s="19" t="n">
        <v>0.332638888888889</v>
      </c>
      <c r="J736" s="19" t="n">
        <v>0.708333333333333</v>
      </c>
      <c r="K736" s="19" t="n">
        <v>0.708333333333333</v>
      </c>
      <c r="L736" s="19" t="n">
        <v>0.375</v>
      </c>
      <c r="M736" s="19" t="n">
        <v>0.375</v>
      </c>
      <c r="N736" s="19" t="n">
        <v>0</v>
      </c>
      <c r="O736" s="19" t="n">
        <v>0</v>
      </c>
      <c r="P736" s="17" t="n">
        <f aca="false">IF(AND(ISNUMBER(H736),ISNUMBER(I736)),MAX(0,ROUND((I736-H736)*1440,0)-'Bilan agents'!$C$4),0)</f>
        <v>0</v>
      </c>
      <c r="Q736" s="8" t="str">
        <f aca="false">IF(H736="Congé","CP",IF(H736="Férié","F",IF(H736="OFF","R",IF(N736&gt;0,"A",IF(ISNUMBER(I736),"P","NR")))))</f>
        <v>P</v>
      </c>
      <c r="R736" s="18"/>
    </row>
    <row r="737" customFormat="false" ht="15" hidden="false" customHeight="false" outlineLevel="0" collapsed="false">
      <c r="A737" s="18" t="s">
        <v>30</v>
      </c>
      <c r="B737" s="8" t="s">
        <v>31</v>
      </c>
      <c r="C737" s="9" t="n">
        <v>46078</v>
      </c>
      <c r="D737" s="8" t="n">
        <v>2026</v>
      </c>
      <c r="E737" s="8" t="n">
        <v>9</v>
      </c>
      <c r="F737" s="18" t="s">
        <v>123</v>
      </c>
      <c r="G737" s="8" t="s">
        <v>118</v>
      </c>
      <c r="H737" s="19" t="n">
        <v>0.333333333333333</v>
      </c>
      <c r="I737" s="19" t="n">
        <v>0.33125</v>
      </c>
      <c r="J737" s="19" t="n">
        <v>0.708333333333333</v>
      </c>
      <c r="K737" s="19" t="n">
        <v>0.708333333333333</v>
      </c>
      <c r="L737" s="19" t="n">
        <v>0.375</v>
      </c>
      <c r="M737" s="19" t="n">
        <v>0.375</v>
      </c>
      <c r="N737" s="19" t="n">
        <v>0</v>
      </c>
      <c r="O737" s="19" t="n">
        <v>0.00208333333333333</v>
      </c>
      <c r="P737" s="17" t="n">
        <f aca="false">IF(AND(ISNUMBER(H737),ISNUMBER(I737)),MAX(0,ROUND((I737-H737)*1440,0)-'Bilan agents'!$C$4),0)</f>
        <v>0</v>
      </c>
      <c r="Q737" s="8" t="str">
        <f aca="false">IF(H737="Congé","CP",IF(H737="Férié","F",IF(H737="OFF","R",IF(N737&gt;0,"A",IF(ISNUMBER(I737),"P","NR")))))</f>
        <v>P</v>
      </c>
      <c r="R737" s="18"/>
    </row>
    <row r="738" customFormat="false" ht="15" hidden="false" customHeight="false" outlineLevel="0" collapsed="false">
      <c r="A738" s="18" t="s">
        <v>30</v>
      </c>
      <c r="B738" s="8" t="s">
        <v>31</v>
      </c>
      <c r="C738" s="9" t="n">
        <v>46079</v>
      </c>
      <c r="D738" s="8" t="n">
        <v>2026</v>
      </c>
      <c r="E738" s="8" t="n">
        <v>9</v>
      </c>
      <c r="F738" s="18" t="s">
        <v>123</v>
      </c>
      <c r="G738" s="8" t="s">
        <v>119</v>
      </c>
      <c r="H738" s="19" t="n">
        <v>0.333333333333333</v>
      </c>
      <c r="I738" s="19" t="n">
        <v>0.333333333333333</v>
      </c>
      <c r="J738" s="19" t="n">
        <v>0.708333333333333</v>
      </c>
      <c r="K738" s="19" t="n">
        <v>0.708333333333333</v>
      </c>
      <c r="L738" s="19" t="n">
        <v>0.375</v>
      </c>
      <c r="M738" s="19" t="n">
        <v>0.375</v>
      </c>
      <c r="N738" s="19" t="n">
        <v>0</v>
      </c>
      <c r="O738" s="19" t="n">
        <v>0</v>
      </c>
      <c r="P738" s="17" t="n">
        <f aca="false">IF(AND(ISNUMBER(H738),ISNUMBER(I738)),MAX(0,ROUND((I738-H738)*1440,0)-'Bilan agents'!$C$4),0)</f>
        <v>0</v>
      </c>
      <c r="Q738" s="8" t="str">
        <f aca="false">IF(H738="Congé","CP",IF(H738="Férié","F",IF(H738="OFF","R",IF(N738&gt;0,"A",IF(ISNUMBER(I738),"P","NR")))))</f>
        <v>P</v>
      </c>
      <c r="R738" s="18"/>
    </row>
    <row r="739" customFormat="false" ht="15" hidden="false" customHeight="false" outlineLevel="0" collapsed="false">
      <c r="A739" s="18" t="s">
        <v>30</v>
      </c>
      <c r="B739" s="8" t="s">
        <v>31</v>
      </c>
      <c r="C739" s="9" t="n">
        <v>46080</v>
      </c>
      <c r="D739" s="8" t="n">
        <v>2026</v>
      </c>
      <c r="E739" s="8" t="n">
        <v>9</v>
      </c>
      <c r="F739" s="18" t="s">
        <v>123</v>
      </c>
      <c r="G739" s="8" t="s">
        <v>120</v>
      </c>
      <c r="H739" s="19" t="n">
        <v>0.333333333333333</v>
      </c>
      <c r="I739" s="19" t="n">
        <v>0.333333333333333</v>
      </c>
      <c r="J739" s="19" t="n">
        <v>0.666666666666667</v>
      </c>
      <c r="K739" s="19" t="n">
        <v>0.666666666666667</v>
      </c>
      <c r="L739" s="19" t="n">
        <v>0.333333333333333</v>
      </c>
      <c r="M739" s="19" t="n">
        <v>0.333333333333333</v>
      </c>
      <c r="N739" s="19" t="n">
        <v>0</v>
      </c>
      <c r="O739" s="19" t="n">
        <v>0</v>
      </c>
      <c r="P739" s="17" t="n">
        <f aca="false">IF(AND(ISNUMBER(H739),ISNUMBER(I739)),MAX(0,ROUND((I739-H739)*1440,0)-'Bilan agents'!$C$4),0)</f>
        <v>0</v>
      </c>
      <c r="Q739" s="8" t="str">
        <f aca="false">IF(H739="Congé","CP",IF(H739="Férié","F",IF(H739="OFF","R",IF(N739&gt;0,"A",IF(ISNUMBER(I739),"P","NR")))))</f>
        <v>P</v>
      </c>
      <c r="R739" s="18"/>
    </row>
    <row r="740" customFormat="false" ht="15" hidden="false" customHeight="false" outlineLevel="0" collapsed="false">
      <c r="A740" s="18" t="s">
        <v>30</v>
      </c>
      <c r="B740" s="8" t="s">
        <v>31</v>
      </c>
      <c r="C740" s="9" t="n">
        <v>46081</v>
      </c>
      <c r="D740" s="8" t="n">
        <v>2026</v>
      </c>
      <c r="E740" s="8" t="n">
        <v>9</v>
      </c>
      <c r="F740" s="18" t="s">
        <v>123</v>
      </c>
      <c r="G740" s="8" t="s">
        <v>121</v>
      </c>
      <c r="H740" s="19" t="s">
        <v>115</v>
      </c>
      <c r="I740" s="19"/>
      <c r="J740" s="19"/>
      <c r="K740" s="19"/>
      <c r="L740" s="19" t="n">
        <v>0</v>
      </c>
      <c r="M740" s="19"/>
      <c r="N740" s="19" t="n">
        <v>0</v>
      </c>
      <c r="O740" s="19" t="n">
        <v>0</v>
      </c>
      <c r="P740" s="17" t="n">
        <f aca="false">IF(AND(ISNUMBER(H740),ISNUMBER(I740)),MAX(0,ROUND((I740-H740)*1440,0)-'Bilan agents'!$C$4),0)</f>
        <v>0</v>
      </c>
      <c r="Q740" s="8" t="str">
        <f aca="false">IF(H740="Congé","CP",IF(H740="Férié","F",IF(H740="OFF","R",IF(N740&gt;0,"A",IF(ISNUMBER(I740),"P","NR")))))</f>
        <v>R</v>
      </c>
      <c r="R740" s="18"/>
    </row>
    <row r="741" customFormat="false" ht="15" hidden="false" customHeight="false" outlineLevel="0" collapsed="false">
      <c r="A741" s="18" t="s">
        <v>30</v>
      </c>
      <c r="B741" s="8" t="s">
        <v>31</v>
      </c>
      <c r="C741" s="9" t="n">
        <v>46082</v>
      </c>
      <c r="D741" s="8" t="n">
        <v>2026</v>
      </c>
      <c r="E741" s="8" t="n">
        <v>9</v>
      </c>
      <c r="F741" s="18" t="s">
        <v>124</v>
      </c>
      <c r="G741" s="8" t="s">
        <v>114</v>
      </c>
      <c r="H741" s="19" t="s">
        <v>115</v>
      </c>
      <c r="I741" s="19"/>
      <c r="J741" s="19"/>
      <c r="K741" s="19"/>
      <c r="L741" s="19" t="n">
        <v>0</v>
      </c>
      <c r="M741" s="19"/>
      <c r="N741" s="19" t="n">
        <v>0</v>
      </c>
      <c r="O741" s="19" t="n">
        <v>0</v>
      </c>
      <c r="P741" s="17" t="n">
        <f aca="false">IF(AND(ISNUMBER(H741),ISNUMBER(I741)),MAX(0,ROUND((I741-H741)*1440,0)-'Bilan agents'!$C$4),0)</f>
        <v>0</v>
      </c>
      <c r="Q741" s="8" t="str">
        <f aca="false">IF(H741="Congé","CP",IF(H741="Férié","F",IF(H741="OFF","R",IF(N741&gt;0,"A",IF(ISNUMBER(I741),"P","NR")))))</f>
        <v>R</v>
      </c>
      <c r="R741" s="18"/>
    </row>
    <row r="742" customFormat="false" ht="15" hidden="false" customHeight="false" outlineLevel="0" collapsed="false">
      <c r="A742" s="18" t="s">
        <v>30</v>
      </c>
      <c r="B742" s="8" t="s">
        <v>31</v>
      </c>
      <c r="C742" s="9" t="n">
        <v>46083</v>
      </c>
      <c r="D742" s="8" t="n">
        <v>2026</v>
      </c>
      <c r="E742" s="8" t="n">
        <v>10</v>
      </c>
      <c r="F742" s="18" t="s">
        <v>124</v>
      </c>
      <c r="G742" s="8" t="s">
        <v>116</v>
      </c>
      <c r="H742" s="19" t="n">
        <v>0.333333333333333</v>
      </c>
      <c r="I742" s="19" t="n">
        <v>0.333333333333333</v>
      </c>
      <c r="J742" s="19" t="n">
        <v>0.708333333333333</v>
      </c>
      <c r="K742" s="19" t="n">
        <v>0.708333333333333</v>
      </c>
      <c r="L742" s="19" t="n">
        <v>0.375</v>
      </c>
      <c r="M742" s="19" t="n">
        <v>0.375</v>
      </c>
      <c r="N742" s="19" t="n">
        <v>0</v>
      </c>
      <c r="O742" s="19" t="n">
        <v>0</v>
      </c>
      <c r="P742" s="17" t="n">
        <f aca="false">IF(AND(ISNUMBER(H742),ISNUMBER(I742)),MAX(0,ROUND((I742-H742)*1440,0)-'Bilan agents'!$C$4),0)</f>
        <v>0</v>
      </c>
      <c r="Q742" s="8" t="str">
        <f aca="false">IF(H742="Congé","CP",IF(H742="Férié","F",IF(H742="OFF","R",IF(N742&gt;0,"A",IF(ISNUMBER(I742),"P","NR")))))</f>
        <v>P</v>
      </c>
      <c r="R742" s="18"/>
    </row>
    <row r="743" customFormat="false" ht="15" hidden="false" customHeight="false" outlineLevel="0" collapsed="false">
      <c r="A743" s="18" t="s">
        <v>30</v>
      </c>
      <c r="B743" s="8" t="s">
        <v>31</v>
      </c>
      <c r="C743" s="9" t="n">
        <v>46084</v>
      </c>
      <c r="D743" s="8" t="n">
        <v>2026</v>
      </c>
      <c r="E743" s="8" t="n">
        <v>10</v>
      </c>
      <c r="F743" s="18" t="s">
        <v>124</v>
      </c>
      <c r="G743" s="8" t="s">
        <v>117</v>
      </c>
      <c r="H743" s="19" t="n">
        <v>0.333333333333333</v>
      </c>
      <c r="I743" s="19" t="n">
        <v>0.333333333333333</v>
      </c>
      <c r="J743" s="19" t="n">
        <v>0.708333333333333</v>
      </c>
      <c r="K743" s="19" t="n">
        <v>0.708333333333333</v>
      </c>
      <c r="L743" s="19" t="n">
        <v>0.375</v>
      </c>
      <c r="M743" s="19" t="n">
        <v>0.375</v>
      </c>
      <c r="N743" s="19" t="n">
        <v>0</v>
      </c>
      <c r="O743" s="19" t="n">
        <v>0</v>
      </c>
      <c r="P743" s="17" t="n">
        <f aca="false">IF(AND(ISNUMBER(H743),ISNUMBER(I743)),MAX(0,ROUND((I743-H743)*1440,0)-'Bilan agents'!$C$4),0)</f>
        <v>0</v>
      </c>
      <c r="Q743" s="8" t="str">
        <f aca="false">IF(H743="Congé","CP",IF(H743="Férié","F",IF(H743="OFF","R",IF(N743&gt;0,"A",IF(ISNUMBER(I743),"P","NR")))))</f>
        <v>P</v>
      </c>
      <c r="R743" s="18"/>
    </row>
    <row r="744" customFormat="false" ht="15" hidden="false" customHeight="false" outlineLevel="0" collapsed="false">
      <c r="A744" s="18" t="s">
        <v>30</v>
      </c>
      <c r="B744" s="8" t="s">
        <v>31</v>
      </c>
      <c r="C744" s="9" t="n">
        <v>46085</v>
      </c>
      <c r="D744" s="8" t="n">
        <v>2026</v>
      </c>
      <c r="E744" s="8" t="n">
        <v>10</v>
      </c>
      <c r="F744" s="18" t="s">
        <v>124</v>
      </c>
      <c r="G744" s="8" t="s">
        <v>118</v>
      </c>
      <c r="H744" s="19" t="n">
        <v>0.333333333333333</v>
      </c>
      <c r="I744" s="19" t="n">
        <v>0.330555555555556</v>
      </c>
      <c r="J744" s="19" t="n">
        <v>0.708333333333333</v>
      </c>
      <c r="K744" s="19" t="n">
        <v>0.708333333333333</v>
      </c>
      <c r="L744" s="19" t="n">
        <v>0.375</v>
      </c>
      <c r="M744" s="19" t="n">
        <v>0.375</v>
      </c>
      <c r="N744" s="19" t="n">
        <v>0</v>
      </c>
      <c r="O744" s="19" t="n">
        <v>0.00277777777777778</v>
      </c>
      <c r="P744" s="17" t="n">
        <f aca="false">IF(AND(ISNUMBER(H744),ISNUMBER(I744)),MAX(0,ROUND((I744-H744)*1440,0)-'Bilan agents'!$C$4),0)</f>
        <v>0</v>
      </c>
      <c r="Q744" s="8" t="str">
        <f aca="false">IF(H744="Congé","CP",IF(H744="Férié","F",IF(H744="OFF","R",IF(N744&gt;0,"A",IF(ISNUMBER(I744),"P","NR")))))</f>
        <v>P</v>
      </c>
      <c r="R744" s="18"/>
    </row>
    <row r="745" customFormat="false" ht="15" hidden="false" customHeight="false" outlineLevel="0" collapsed="false">
      <c r="A745" s="18" t="s">
        <v>30</v>
      </c>
      <c r="B745" s="8" t="s">
        <v>31</v>
      </c>
      <c r="C745" s="9" t="n">
        <v>46086</v>
      </c>
      <c r="D745" s="8" t="n">
        <v>2026</v>
      </c>
      <c r="E745" s="8" t="n">
        <v>10</v>
      </c>
      <c r="F745" s="18" t="s">
        <v>124</v>
      </c>
      <c r="G745" s="8" t="s">
        <v>119</v>
      </c>
      <c r="H745" s="19" t="n">
        <v>0.333333333333333</v>
      </c>
      <c r="I745" s="19" t="n">
        <v>0.333333333333333</v>
      </c>
      <c r="J745" s="19" t="n">
        <v>0.708333333333333</v>
      </c>
      <c r="K745" s="19" t="n">
        <v>0.708333333333333</v>
      </c>
      <c r="L745" s="19" t="n">
        <v>0.375</v>
      </c>
      <c r="M745" s="19" t="n">
        <v>0.375</v>
      </c>
      <c r="N745" s="19" t="n">
        <v>0</v>
      </c>
      <c r="O745" s="19" t="n">
        <v>0</v>
      </c>
      <c r="P745" s="17" t="n">
        <f aca="false">IF(AND(ISNUMBER(H745),ISNUMBER(I745)),MAX(0,ROUND((I745-H745)*1440,0)-'Bilan agents'!$C$4),0)</f>
        <v>0</v>
      </c>
      <c r="Q745" s="8" t="str">
        <f aca="false">IF(H745="Congé","CP",IF(H745="Férié","F",IF(H745="OFF","R",IF(N745&gt;0,"A",IF(ISNUMBER(I745),"P","NR")))))</f>
        <v>P</v>
      </c>
      <c r="R745" s="18"/>
    </row>
    <row r="746" customFormat="false" ht="15" hidden="false" customHeight="false" outlineLevel="0" collapsed="false">
      <c r="A746" s="18" t="s">
        <v>30</v>
      </c>
      <c r="B746" s="8" t="s">
        <v>31</v>
      </c>
      <c r="C746" s="9" t="n">
        <v>46087</v>
      </c>
      <c r="D746" s="8" t="n">
        <v>2026</v>
      </c>
      <c r="E746" s="8" t="n">
        <v>10</v>
      </c>
      <c r="F746" s="18" t="s">
        <v>124</v>
      </c>
      <c r="G746" s="8" t="s">
        <v>120</v>
      </c>
      <c r="H746" s="19" t="n">
        <v>0.333333333333333</v>
      </c>
      <c r="I746" s="19" t="n">
        <v>0.333333333333333</v>
      </c>
      <c r="J746" s="19" t="n">
        <v>0.666666666666667</v>
      </c>
      <c r="K746" s="19" t="n">
        <v>0.666666666666667</v>
      </c>
      <c r="L746" s="19" t="n">
        <v>0.333333333333333</v>
      </c>
      <c r="M746" s="19" t="n">
        <v>0.333333333333333</v>
      </c>
      <c r="N746" s="19" t="n">
        <v>0</v>
      </c>
      <c r="O746" s="19" t="n">
        <v>0</v>
      </c>
      <c r="P746" s="17" t="n">
        <f aca="false">IF(AND(ISNUMBER(H746),ISNUMBER(I746)),MAX(0,ROUND((I746-H746)*1440,0)-'Bilan agents'!$C$4),0)</f>
        <v>0</v>
      </c>
      <c r="Q746" s="8" t="str">
        <f aca="false">IF(H746="Congé","CP",IF(H746="Férié","F",IF(H746="OFF","R",IF(N746&gt;0,"A",IF(ISNUMBER(I746),"P","NR")))))</f>
        <v>P</v>
      </c>
      <c r="R746" s="18"/>
    </row>
    <row r="747" customFormat="false" ht="15" hidden="false" customHeight="false" outlineLevel="0" collapsed="false">
      <c r="A747" s="18" t="s">
        <v>30</v>
      </c>
      <c r="B747" s="8" t="s">
        <v>31</v>
      </c>
      <c r="C747" s="9" t="n">
        <v>46088</v>
      </c>
      <c r="D747" s="8" t="n">
        <v>2026</v>
      </c>
      <c r="E747" s="8" t="n">
        <v>10</v>
      </c>
      <c r="F747" s="18" t="s">
        <v>124</v>
      </c>
      <c r="G747" s="8" t="s">
        <v>121</v>
      </c>
      <c r="H747" s="19" t="s">
        <v>115</v>
      </c>
      <c r="I747" s="19"/>
      <c r="J747" s="19"/>
      <c r="K747" s="19"/>
      <c r="L747" s="19" t="n">
        <v>0</v>
      </c>
      <c r="M747" s="19"/>
      <c r="N747" s="19" t="n">
        <v>0</v>
      </c>
      <c r="O747" s="19" t="n">
        <v>0</v>
      </c>
      <c r="P747" s="17" t="n">
        <f aca="false">IF(AND(ISNUMBER(H747),ISNUMBER(I747)),MAX(0,ROUND((I747-H747)*1440,0)-'Bilan agents'!$C$4),0)</f>
        <v>0</v>
      </c>
      <c r="Q747" s="8" t="str">
        <f aca="false">IF(H747="Congé","CP",IF(H747="Férié","F",IF(H747="OFF","R",IF(N747&gt;0,"A",IF(ISNUMBER(I747),"P","NR")))))</f>
        <v>R</v>
      </c>
      <c r="R747" s="18"/>
    </row>
    <row r="748" customFormat="false" ht="15" hidden="false" customHeight="false" outlineLevel="0" collapsed="false">
      <c r="A748" s="18" t="s">
        <v>30</v>
      </c>
      <c r="B748" s="8" t="s">
        <v>31</v>
      </c>
      <c r="C748" s="9" t="n">
        <v>46089</v>
      </c>
      <c r="D748" s="8" t="n">
        <v>2026</v>
      </c>
      <c r="E748" s="8" t="n">
        <v>10</v>
      </c>
      <c r="F748" s="18" t="s">
        <v>124</v>
      </c>
      <c r="G748" s="8" t="s">
        <v>114</v>
      </c>
      <c r="H748" s="19" t="s">
        <v>115</v>
      </c>
      <c r="I748" s="19"/>
      <c r="J748" s="19"/>
      <c r="K748" s="19"/>
      <c r="L748" s="19" t="n">
        <v>0</v>
      </c>
      <c r="M748" s="19"/>
      <c r="N748" s="19" t="n">
        <v>0</v>
      </c>
      <c r="O748" s="19" t="n">
        <v>0</v>
      </c>
      <c r="P748" s="17" t="n">
        <f aca="false">IF(AND(ISNUMBER(H748),ISNUMBER(I748)),MAX(0,ROUND((I748-H748)*1440,0)-'Bilan agents'!$C$4),0)</f>
        <v>0</v>
      </c>
      <c r="Q748" s="8" t="str">
        <f aca="false">IF(H748="Congé","CP",IF(H748="Férié","F",IF(H748="OFF","R",IF(N748&gt;0,"A",IF(ISNUMBER(I748),"P","NR")))))</f>
        <v>R</v>
      </c>
      <c r="R748" s="18"/>
    </row>
    <row r="749" customFormat="false" ht="15" hidden="false" customHeight="false" outlineLevel="0" collapsed="false">
      <c r="A749" s="18" t="s">
        <v>30</v>
      </c>
      <c r="B749" s="8" t="s">
        <v>31</v>
      </c>
      <c r="C749" s="9" t="n">
        <v>46090</v>
      </c>
      <c r="D749" s="8" t="n">
        <v>2026</v>
      </c>
      <c r="E749" s="8" t="n">
        <v>11</v>
      </c>
      <c r="F749" s="18" t="s">
        <v>124</v>
      </c>
      <c r="G749" s="8" t="s">
        <v>116</v>
      </c>
      <c r="H749" s="19" t="n">
        <v>0.333333333333333</v>
      </c>
      <c r="I749" s="19" t="n">
        <v>0.33125</v>
      </c>
      <c r="J749" s="19" t="n">
        <v>0.708333333333333</v>
      </c>
      <c r="K749" s="19" t="n">
        <v>0.708333333333333</v>
      </c>
      <c r="L749" s="19" t="n">
        <v>0.375</v>
      </c>
      <c r="M749" s="19" t="n">
        <v>0.375</v>
      </c>
      <c r="N749" s="19" t="n">
        <v>0</v>
      </c>
      <c r="O749" s="19" t="n">
        <v>0.00208333333333333</v>
      </c>
      <c r="P749" s="17" t="n">
        <f aca="false">IF(AND(ISNUMBER(H749),ISNUMBER(I749)),MAX(0,ROUND((I749-H749)*1440,0)-'Bilan agents'!$C$4),0)</f>
        <v>0</v>
      </c>
      <c r="Q749" s="8" t="str">
        <f aca="false">IF(H749="Congé","CP",IF(H749="Férié","F",IF(H749="OFF","R",IF(N749&gt;0,"A",IF(ISNUMBER(I749),"P","NR")))))</f>
        <v>P</v>
      </c>
      <c r="R749" s="18"/>
    </row>
    <row r="750" customFormat="false" ht="15" hidden="false" customHeight="false" outlineLevel="0" collapsed="false">
      <c r="A750" s="18" t="s">
        <v>30</v>
      </c>
      <c r="B750" s="8" t="s">
        <v>31</v>
      </c>
      <c r="C750" s="9" t="n">
        <v>46091</v>
      </c>
      <c r="D750" s="8" t="n">
        <v>2026</v>
      </c>
      <c r="E750" s="8" t="n">
        <v>11</v>
      </c>
      <c r="F750" s="18" t="s">
        <v>124</v>
      </c>
      <c r="G750" s="8" t="s">
        <v>117</v>
      </c>
      <c r="H750" s="19" t="n">
        <v>0.333333333333333</v>
      </c>
      <c r="I750" s="19" t="n">
        <v>0.332638888888889</v>
      </c>
      <c r="J750" s="19" t="n">
        <v>0.708333333333333</v>
      </c>
      <c r="K750" s="19" t="n">
        <v>0.708333333333333</v>
      </c>
      <c r="L750" s="19" t="n">
        <v>0.375</v>
      </c>
      <c r="M750" s="19" t="n">
        <v>0.375</v>
      </c>
      <c r="N750" s="19" t="n">
        <v>0</v>
      </c>
      <c r="O750" s="19" t="n">
        <v>0</v>
      </c>
      <c r="P750" s="17" t="n">
        <f aca="false">IF(AND(ISNUMBER(H750),ISNUMBER(I750)),MAX(0,ROUND((I750-H750)*1440,0)-'Bilan agents'!$C$4),0)</f>
        <v>0</v>
      </c>
      <c r="Q750" s="8" t="str">
        <f aca="false">IF(H750="Congé","CP",IF(H750="Férié","F",IF(H750="OFF","R",IF(N750&gt;0,"A",IF(ISNUMBER(I750),"P","NR")))))</f>
        <v>P</v>
      </c>
      <c r="R750" s="18"/>
    </row>
    <row r="751" customFormat="false" ht="15" hidden="false" customHeight="false" outlineLevel="0" collapsed="false">
      <c r="A751" s="18" t="s">
        <v>30</v>
      </c>
      <c r="B751" s="8" t="s">
        <v>31</v>
      </c>
      <c r="C751" s="9" t="n">
        <v>46092</v>
      </c>
      <c r="D751" s="8" t="n">
        <v>2026</v>
      </c>
      <c r="E751" s="8" t="n">
        <v>11</v>
      </c>
      <c r="F751" s="18" t="s">
        <v>124</v>
      </c>
      <c r="G751" s="8" t="s">
        <v>118</v>
      </c>
      <c r="H751" s="19" t="n">
        <v>0.333333333333333</v>
      </c>
      <c r="I751" s="19" t="n">
        <v>0.333333333333333</v>
      </c>
      <c r="J751" s="19" t="n">
        <v>0.708333333333333</v>
      </c>
      <c r="K751" s="19" t="n">
        <v>0.708333333333333</v>
      </c>
      <c r="L751" s="19" t="n">
        <v>0.375</v>
      </c>
      <c r="M751" s="19" t="n">
        <v>0.375</v>
      </c>
      <c r="N751" s="19" t="n">
        <v>0</v>
      </c>
      <c r="O751" s="19" t="n">
        <v>0</v>
      </c>
      <c r="P751" s="17" t="n">
        <f aca="false">IF(AND(ISNUMBER(H751),ISNUMBER(I751)),MAX(0,ROUND((I751-H751)*1440,0)-'Bilan agents'!$C$4),0)</f>
        <v>0</v>
      </c>
      <c r="Q751" s="8" t="str">
        <f aca="false">IF(H751="Congé","CP",IF(H751="Férié","F",IF(H751="OFF","R",IF(N751&gt;0,"A",IF(ISNUMBER(I751),"P","NR")))))</f>
        <v>P</v>
      </c>
      <c r="R751" s="18"/>
    </row>
    <row r="752" customFormat="false" ht="15" hidden="false" customHeight="false" outlineLevel="0" collapsed="false">
      <c r="A752" s="18" t="s">
        <v>30</v>
      </c>
      <c r="B752" s="8" t="s">
        <v>31</v>
      </c>
      <c r="C752" s="9" t="n">
        <v>46093</v>
      </c>
      <c r="D752" s="8" t="n">
        <v>2026</v>
      </c>
      <c r="E752" s="8" t="n">
        <v>11</v>
      </c>
      <c r="F752" s="18" t="s">
        <v>124</v>
      </c>
      <c r="G752" s="8" t="s">
        <v>119</v>
      </c>
      <c r="H752" s="19" t="n">
        <v>0.333333333333333</v>
      </c>
      <c r="I752" s="19" t="n">
        <v>0.333333333333333</v>
      </c>
      <c r="J752" s="19" t="n">
        <v>0.708333333333333</v>
      </c>
      <c r="K752" s="19" t="n">
        <v>0.708333333333333</v>
      </c>
      <c r="L752" s="19" t="n">
        <v>0.375</v>
      </c>
      <c r="M752" s="19" t="n">
        <v>0.375</v>
      </c>
      <c r="N752" s="19" t="n">
        <v>0</v>
      </c>
      <c r="O752" s="19" t="n">
        <v>0</v>
      </c>
      <c r="P752" s="17" t="n">
        <f aca="false">IF(AND(ISNUMBER(H752),ISNUMBER(I752)),MAX(0,ROUND((I752-H752)*1440,0)-'Bilan agents'!$C$4),0)</f>
        <v>0</v>
      </c>
      <c r="Q752" s="8" t="str">
        <f aca="false">IF(H752="Congé","CP",IF(H752="Férié","F",IF(H752="OFF","R",IF(N752&gt;0,"A",IF(ISNUMBER(I752),"P","NR")))))</f>
        <v>P</v>
      </c>
      <c r="R752" s="18"/>
    </row>
    <row r="753" customFormat="false" ht="15" hidden="false" customHeight="false" outlineLevel="0" collapsed="false">
      <c r="A753" s="18" t="s">
        <v>30</v>
      </c>
      <c r="B753" s="8" t="s">
        <v>31</v>
      </c>
      <c r="C753" s="9" t="n">
        <v>46094</v>
      </c>
      <c r="D753" s="8" t="n">
        <v>2026</v>
      </c>
      <c r="E753" s="8" t="n">
        <v>11</v>
      </c>
      <c r="F753" s="18" t="s">
        <v>124</v>
      </c>
      <c r="G753" s="8" t="s">
        <v>120</v>
      </c>
      <c r="H753" s="19" t="n">
        <v>0.333333333333333</v>
      </c>
      <c r="I753" s="19" t="n">
        <v>0.333333333333333</v>
      </c>
      <c r="J753" s="19" t="n">
        <v>0.666666666666667</v>
      </c>
      <c r="K753" s="19" t="n">
        <v>0.666666666666667</v>
      </c>
      <c r="L753" s="19" t="n">
        <v>0.333333333333333</v>
      </c>
      <c r="M753" s="19" t="n">
        <v>0.333333333333333</v>
      </c>
      <c r="N753" s="19" t="n">
        <v>0</v>
      </c>
      <c r="O753" s="19" t="n">
        <v>0</v>
      </c>
      <c r="P753" s="17" t="n">
        <f aca="false">IF(AND(ISNUMBER(H753),ISNUMBER(I753)),MAX(0,ROUND((I753-H753)*1440,0)-'Bilan agents'!$C$4),0)</f>
        <v>0</v>
      </c>
      <c r="Q753" s="8" t="str">
        <f aca="false">IF(H753="Congé","CP",IF(H753="Férié","F",IF(H753="OFF","R",IF(N753&gt;0,"A",IF(ISNUMBER(I753),"P","NR")))))</f>
        <v>P</v>
      </c>
      <c r="R753" s="18"/>
    </row>
    <row r="754" customFormat="false" ht="15" hidden="false" customHeight="false" outlineLevel="0" collapsed="false">
      <c r="A754" s="18" t="s">
        <v>30</v>
      </c>
      <c r="B754" s="8" t="s">
        <v>31</v>
      </c>
      <c r="C754" s="9" t="n">
        <v>46095</v>
      </c>
      <c r="D754" s="8" t="n">
        <v>2026</v>
      </c>
      <c r="E754" s="8" t="n">
        <v>11</v>
      </c>
      <c r="F754" s="18" t="s">
        <v>124</v>
      </c>
      <c r="G754" s="8" t="s">
        <v>121</v>
      </c>
      <c r="H754" s="19" t="s">
        <v>115</v>
      </c>
      <c r="I754" s="19"/>
      <c r="J754" s="19"/>
      <c r="K754" s="19"/>
      <c r="L754" s="19" t="n">
        <v>0</v>
      </c>
      <c r="M754" s="19"/>
      <c r="N754" s="19" t="n">
        <v>0</v>
      </c>
      <c r="O754" s="19" t="n">
        <v>0</v>
      </c>
      <c r="P754" s="17" t="n">
        <f aca="false">IF(AND(ISNUMBER(H754),ISNUMBER(I754)),MAX(0,ROUND((I754-H754)*1440,0)-'Bilan agents'!$C$4),0)</f>
        <v>0</v>
      </c>
      <c r="Q754" s="8" t="str">
        <f aca="false">IF(H754="Congé","CP",IF(H754="Férié","F",IF(H754="OFF","R",IF(N754&gt;0,"A",IF(ISNUMBER(I754),"P","NR")))))</f>
        <v>R</v>
      </c>
      <c r="R754" s="18"/>
    </row>
    <row r="755" customFormat="false" ht="15" hidden="false" customHeight="false" outlineLevel="0" collapsed="false">
      <c r="A755" s="18" t="s">
        <v>30</v>
      </c>
      <c r="B755" s="8" t="s">
        <v>31</v>
      </c>
      <c r="C755" s="9" t="n">
        <v>46096</v>
      </c>
      <c r="D755" s="8" t="n">
        <v>2026</v>
      </c>
      <c r="E755" s="8" t="n">
        <v>11</v>
      </c>
      <c r="F755" s="18" t="s">
        <v>124</v>
      </c>
      <c r="G755" s="8" t="s">
        <v>114</v>
      </c>
      <c r="H755" s="19" t="s">
        <v>115</v>
      </c>
      <c r="I755" s="19"/>
      <c r="J755" s="19"/>
      <c r="K755" s="19"/>
      <c r="L755" s="19" t="n">
        <v>0</v>
      </c>
      <c r="M755" s="19"/>
      <c r="N755" s="19" t="n">
        <v>0</v>
      </c>
      <c r="O755" s="19" t="n">
        <v>0</v>
      </c>
      <c r="P755" s="17" t="n">
        <f aca="false">IF(AND(ISNUMBER(H755),ISNUMBER(I755)),MAX(0,ROUND((I755-H755)*1440,0)-'Bilan agents'!$C$4),0)</f>
        <v>0</v>
      </c>
      <c r="Q755" s="8" t="str">
        <f aca="false">IF(H755="Congé","CP",IF(H755="Férié","F",IF(H755="OFF","R",IF(N755&gt;0,"A",IF(ISNUMBER(I755),"P","NR")))))</f>
        <v>R</v>
      </c>
      <c r="R755" s="18"/>
    </row>
    <row r="756" customFormat="false" ht="15" hidden="false" customHeight="false" outlineLevel="0" collapsed="false">
      <c r="A756" s="18" t="s">
        <v>30</v>
      </c>
      <c r="B756" s="8" t="s">
        <v>31</v>
      </c>
      <c r="C756" s="9" t="n">
        <v>46102</v>
      </c>
      <c r="D756" s="8" t="n">
        <v>2026</v>
      </c>
      <c r="E756" s="8" t="n">
        <v>12</v>
      </c>
      <c r="F756" s="18" t="s">
        <v>124</v>
      </c>
      <c r="G756" s="8" t="s">
        <v>121</v>
      </c>
      <c r="H756" s="19" t="s">
        <v>115</v>
      </c>
      <c r="I756" s="19"/>
      <c r="J756" s="19"/>
      <c r="K756" s="19"/>
      <c r="L756" s="19" t="n">
        <v>0</v>
      </c>
      <c r="M756" s="19"/>
      <c r="N756" s="19" t="n">
        <v>0</v>
      </c>
      <c r="O756" s="19" t="n">
        <v>0</v>
      </c>
      <c r="P756" s="17" t="n">
        <f aca="false">IF(AND(ISNUMBER(H756),ISNUMBER(I756)),MAX(0,ROUND((I756-H756)*1440,0)-'Bilan agents'!$C$4),0)</f>
        <v>0</v>
      </c>
      <c r="Q756" s="8" t="str">
        <f aca="false">IF(H756="Congé","CP",IF(H756="Férié","F",IF(H756="OFF","R",IF(N756&gt;0,"A",IF(ISNUMBER(I756),"P","NR")))))</f>
        <v>R</v>
      </c>
      <c r="R756" s="18"/>
    </row>
    <row r="757" customFormat="false" ht="15" hidden="false" customHeight="false" outlineLevel="0" collapsed="false">
      <c r="A757" s="18" t="s">
        <v>30</v>
      </c>
      <c r="B757" s="8" t="s">
        <v>31</v>
      </c>
      <c r="C757" s="9" t="n">
        <v>46103</v>
      </c>
      <c r="D757" s="8" t="n">
        <v>2026</v>
      </c>
      <c r="E757" s="8" t="n">
        <v>12</v>
      </c>
      <c r="F757" s="18" t="s">
        <v>124</v>
      </c>
      <c r="G757" s="8" t="s">
        <v>114</v>
      </c>
      <c r="H757" s="19" t="s">
        <v>115</v>
      </c>
      <c r="I757" s="19"/>
      <c r="J757" s="19"/>
      <c r="K757" s="19"/>
      <c r="L757" s="19" t="n">
        <v>0</v>
      </c>
      <c r="M757" s="19"/>
      <c r="N757" s="19" t="n">
        <v>0</v>
      </c>
      <c r="O757" s="19" t="n">
        <v>0</v>
      </c>
      <c r="P757" s="17" t="n">
        <f aca="false">IF(AND(ISNUMBER(H757),ISNUMBER(I757)),MAX(0,ROUND((I757-H757)*1440,0)-'Bilan agents'!$C$4),0)</f>
        <v>0</v>
      </c>
      <c r="Q757" s="8" t="str">
        <f aca="false">IF(H757="Congé","CP",IF(H757="Férié","F",IF(H757="OFF","R",IF(N757&gt;0,"A",IF(ISNUMBER(I757),"P","NR")))))</f>
        <v>R</v>
      </c>
      <c r="R757" s="18"/>
    </row>
    <row r="758" customFormat="false" ht="15" hidden="false" customHeight="false" outlineLevel="0" collapsed="false">
      <c r="A758" s="18" t="s">
        <v>30</v>
      </c>
      <c r="B758" s="8" t="s">
        <v>31</v>
      </c>
      <c r="C758" s="9" t="n">
        <v>46104</v>
      </c>
      <c r="D758" s="8" t="n">
        <v>2026</v>
      </c>
      <c r="E758" s="8" t="n">
        <v>13</v>
      </c>
      <c r="F758" s="18" t="s">
        <v>124</v>
      </c>
      <c r="G758" s="8" t="s">
        <v>116</v>
      </c>
      <c r="H758" s="19" t="n">
        <v>0.333333333333333</v>
      </c>
      <c r="I758" s="19" t="n">
        <v>0.333333333333333</v>
      </c>
      <c r="J758" s="19" t="n">
        <v>0.75</v>
      </c>
      <c r="K758" s="19" t="n">
        <v>0.75</v>
      </c>
      <c r="L758" s="19" t="n">
        <v>0.375</v>
      </c>
      <c r="M758" s="19" t="n">
        <v>0.375</v>
      </c>
      <c r="N758" s="19" t="n">
        <v>0</v>
      </c>
      <c r="O758" s="19" t="n">
        <v>0</v>
      </c>
      <c r="P758" s="17" t="n">
        <f aca="false">IF(AND(ISNUMBER(H758),ISNUMBER(I758)),MAX(0,ROUND((I758-H758)*1440,0)-'Bilan agents'!$C$4),0)</f>
        <v>0</v>
      </c>
      <c r="Q758" s="8" t="str">
        <f aca="false">IF(H758="Congé","CP",IF(H758="Férié","F",IF(H758="OFF","R",IF(N758&gt;0,"A",IF(ISNUMBER(I758),"P","NR")))))</f>
        <v>P</v>
      </c>
      <c r="R758" s="18"/>
    </row>
    <row r="759" customFormat="false" ht="15" hidden="false" customHeight="false" outlineLevel="0" collapsed="false">
      <c r="A759" s="18" t="s">
        <v>30</v>
      </c>
      <c r="B759" s="8" t="s">
        <v>31</v>
      </c>
      <c r="C759" s="9" t="n">
        <v>46105</v>
      </c>
      <c r="D759" s="8" t="n">
        <v>2026</v>
      </c>
      <c r="E759" s="8" t="n">
        <v>13</v>
      </c>
      <c r="F759" s="18" t="s">
        <v>124</v>
      </c>
      <c r="G759" s="8" t="s">
        <v>117</v>
      </c>
      <c r="H759" s="19" t="n">
        <v>0.333333333333333</v>
      </c>
      <c r="I759" s="19" t="n">
        <v>0.332638888888889</v>
      </c>
      <c r="J759" s="19" t="n">
        <v>0.75</v>
      </c>
      <c r="K759" s="19" t="n">
        <v>0.75</v>
      </c>
      <c r="L759" s="19" t="n">
        <v>0.375</v>
      </c>
      <c r="M759" s="19" t="n">
        <v>0.375</v>
      </c>
      <c r="N759" s="19" t="n">
        <v>0</v>
      </c>
      <c r="O759" s="19" t="n">
        <v>0</v>
      </c>
      <c r="P759" s="17" t="n">
        <f aca="false">IF(AND(ISNUMBER(H759),ISNUMBER(I759)),MAX(0,ROUND((I759-H759)*1440,0)-'Bilan agents'!$C$4),0)</f>
        <v>0</v>
      </c>
      <c r="Q759" s="8" t="str">
        <f aca="false">IF(H759="Congé","CP",IF(H759="Férié","F",IF(H759="OFF","R",IF(N759&gt;0,"A",IF(ISNUMBER(I759),"P","NR")))))</f>
        <v>P</v>
      </c>
      <c r="R759" s="18"/>
    </row>
    <row r="760" customFormat="false" ht="15" hidden="false" customHeight="false" outlineLevel="0" collapsed="false">
      <c r="A760" s="18" t="s">
        <v>30</v>
      </c>
      <c r="B760" s="8" t="s">
        <v>31</v>
      </c>
      <c r="C760" s="9" t="n">
        <v>46106</v>
      </c>
      <c r="D760" s="8" t="n">
        <v>2026</v>
      </c>
      <c r="E760" s="8" t="n">
        <v>13</v>
      </c>
      <c r="F760" s="18" t="s">
        <v>124</v>
      </c>
      <c r="G760" s="8" t="s">
        <v>118</v>
      </c>
      <c r="H760" s="19" t="n">
        <v>0.333333333333333</v>
      </c>
      <c r="I760" s="19" t="n">
        <v>0.331944444444444</v>
      </c>
      <c r="J760" s="19" t="n">
        <v>0.75</v>
      </c>
      <c r="K760" s="19" t="n">
        <v>0.75</v>
      </c>
      <c r="L760" s="19" t="n">
        <v>0.375</v>
      </c>
      <c r="M760" s="19" t="n">
        <v>0.375</v>
      </c>
      <c r="N760" s="19" t="n">
        <v>0</v>
      </c>
      <c r="O760" s="19" t="n">
        <v>0.00138888888888889</v>
      </c>
      <c r="P760" s="17" t="n">
        <f aca="false">IF(AND(ISNUMBER(H760),ISNUMBER(I760)),MAX(0,ROUND((I760-H760)*1440,0)-'Bilan agents'!$C$4),0)</f>
        <v>0</v>
      </c>
      <c r="Q760" s="8" t="str">
        <f aca="false">IF(H760="Congé","CP",IF(H760="Férié","F",IF(H760="OFF","R",IF(N760&gt;0,"A",IF(ISNUMBER(I760),"P","NR")))))</f>
        <v>P</v>
      </c>
      <c r="R760" s="18"/>
    </row>
    <row r="761" customFormat="false" ht="15" hidden="false" customHeight="false" outlineLevel="0" collapsed="false">
      <c r="A761" s="18" t="s">
        <v>30</v>
      </c>
      <c r="B761" s="8" t="s">
        <v>31</v>
      </c>
      <c r="C761" s="9" t="n">
        <v>46107</v>
      </c>
      <c r="D761" s="8" t="n">
        <v>2026</v>
      </c>
      <c r="E761" s="8" t="n">
        <v>13</v>
      </c>
      <c r="F761" s="18" t="s">
        <v>124</v>
      </c>
      <c r="G761" s="8" t="s">
        <v>119</v>
      </c>
      <c r="H761" s="19" t="n">
        <v>0.333333333333333</v>
      </c>
      <c r="I761" s="19" t="n">
        <v>0.333333333333333</v>
      </c>
      <c r="J761" s="19" t="n">
        <v>0.75</v>
      </c>
      <c r="K761" s="19" t="n">
        <v>0.75</v>
      </c>
      <c r="L761" s="19" t="n">
        <v>0.375</v>
      </c>
      <c r="M761" s="19" t="n">
        <v>0.375</v>
      </c>
      <c r="N761" s="19" t="n">
        <v>0</v>
      </c>
      <c r="O761" s="19" t="n">
        <v>0</v>
      </c>
      <c r="P761" s="17" t="n">
        <f aca="false">IF(AND(ISNUMBER(H761),ISNUMBER(I761)),MAX(0,ROUND((I761-H761)*1440,0)-'Bilan agents'!$C$4),0)</f>
        <v>0</v>
      </c>
      <c r="Q761" s="8" t="str">
        <f aca="false">IF(H761="Congé","CP",IF(H761="Férié","F",IF(H761="OFF","R",IF(N761&gt;0,"A",IF(ISNUMBER(I761),"P","NR")))))</f>
        <v>P</v>
      </c>
      <c r="R761" s="18"/>
    </row>
    <row r="762" customFormat="false" ht="15" hidden="false" customHeight="false" outlineLevel="0" collapsed="false">
      <c r="A762" s="18" t="s">
        <v>30</v>
      </c>
      <c r="B762" s="8" t="s">
        <v>31</v>
      </c>
      <c r="C762" s="9" t="n">
        <v>46108</v>
      </c>
      <c r="D762" s="8" t="n">
        <v>2026</v>
      </c>
      <c r="E762" s="8" t="n">
        <v>13</v>
      </c>
      <c r="F762" s="18" t="s">
        <v>124</v>
      </c>
      <c r="G762" s="8" t="s">
        <v>120</v>
      </c>
      <c r="H762" s="19" t="n">
        <v>0.333333333333333</v>
      </c>
      <c r="I762" s="19" t="n">
        <v>0.333333333333333</v>
      </c>
      <c r="J762" s="19" t="n">
        <v>0.708333333333333</v>
      </c>
      <c r="K762" s="19" t="n">
        <v>0.708333333333333</v>
      </c>
      <c r="L762" s="19" t="n">
        <v>0.333333333333333</v>
      </c>
      <c r="M762" s="19" t="n">
        <v>0.333333333333333</v>
      </c>
      <c r="N762" s="19" t="n">
        <v>0</v>
      </c>
      <c r="O762" s="19" t="n">
        <v>0</v>
      </c>
      <c r="P762" s="17" t="n">
        <f aca="false">IF(AND(ISNUMBER(H762),ISNUMBER(I762)),MAX(0,ROUND((I762-H762)*1440,0)-'Bilan agents'!$C$4),0)</f>
        <v>0</v>
      </c>
      <c r="Q762" s="8" t="str">
        <f aca="false">IF(H762="Congé","CP",IF(H762="Férié","F",IF(H762="OFF","R",IF(N762&gt;0,"A",IF(ISNUMBER(I762),"P","NR")))))</f>
        <v>P</v>
      </c>
      <c r="R762" s="18"/>
    </row>
    <row r="763" customFormat="false" ht="15" hidden="false" customHeight="false" outlineLevel="0" collapsed="false">
      <c r="A763" s="18" t="s">
        <v>30</v>
      </c>
      <c r="B763" s="8" t="s">
        <v>31</v>
      </c>
      <c r="C763" s="9" t="n">
        <v>46109</v>
      </c>
      <c r="D763" s="8" t="n">
        <v>2026</v>
      </c>
      <c r="E763" s="8" t="n">
        <v>13</v>
      </c>
      <c r="F763" s="18" t="s">
        <v>124</v>
      </c>
      <c r="G763" s="8" t="s">
        <v>121</v>
      </c>
      <c r="H763" s="19" t="s">
        <v>115</v>
      </c>
      <c r="I763" s="19"/>
      <c r="J763" s="19"/>
      <c r="K763" s="19"/>
      <c r="L763" s="19" t="n">
        <v>0</v>
      </c>
      <c r="M763" s="19"/>
      <c r="N763" s="19" t="n">
        <v>0</v>
      </c>
      <c r="O763" s="19" t="n">
        <v>0</v>
      </c>
      <c r="P763" s="17" t="n">
        <f aca="false">IF(AND(ISNUMBER(H763),ISNUMBER(I763)),MAX(0,ROUND((I763-H763)*1440,0)-'Bilan agents'!$C$4),0)</f>
        <v>0</v>
      </c>
      <c r="Q763" s="8" t="str">
        <f aca="false">IF(H763="Congé","CP",IF(H763="Férié","F",IF(H763="OFF","R",IF(N763&gt;0,"A",IF(ISNUMBER(I763),"P","NR")))))</f>
        <v>R</v>
      </c>
      <c r="R763" s="18"/>
    </row>
    <row r="764" customFormat="false" ht="15" hidden="false" customHeight="false" outlineLevel="0" collapsed="false">
      <c r="A764" s="18" t="s">
        <v>30</v>
      </c>
      <c r="B764" s="8" t="s">
        <v>31</v>
      </c>
      <c r="C764" s="9" t="n">
        <v>46110</v>
      </c>
      <c r="D764" s="8" t="n">
        <v>2026</v>
      </c>
      <c r="E764" s="8" t="n">
        <v>13</v>
      </c>
      <c r="F764" s="18" t="s">
        <v>124</v>
      </c>
      <c r="G764" s="8" t="s">
        <v>114</v>
      </c>
      <c r="H764" s="19" t="s">
        <v>115</v>
      </c>
      <c r="I764" s="19"/>
      <c r="J764" s="19"/>
      <c r="K764" s="19"/>
      <c r="L764" s="19" t="n">
        <v>0</v>
      </c>
      <c r="M764" s="19"/>
      <c r="N764" s="19" t="n">
        <v>0</v>
      </c>
      <c r="O764" s="19" t="n">
        <v>0</v>
      </c>
      <c r="P764" s="17" t="n">
        <f aca="false">IF(AND(ISNUMBER(H764),ISNUMBER(I764)),MAX(0,ROUND((I764-H764)*1440,0)-'Bilan agents'!$C$4),0)</f>
        <v>0</v>
      </c>
      <c r="Q764" s="8" t="str">
        <f aca="false">IF(H764="Congé","CP",IF(H764="Férié","F",IF(H764="OFF","R",IF(N764&gt;0,"A",IF(ISNUMBER(I764),"P","NR")))))</f>
        <v>R</v>
      </c>
      <c r="R764" s="18"/>
    </row>
    <row r="765" customFormat="false" ht="15" hidden="false" customHeight="false" outlineLevel="0" collapsed="false">
      <c r="A765" s="18" t="s">
        <v>30</v>
      </c>
      <c r="B765" s="8" t="s">
        <v>31</v>
      </c>
      <c r="C765" s="9" t="n">
        <v>46111</v>
      </c>
      <c r="D765" s="8" t="n">
        <v>2026</v>
      </c>
      <c r="E765" s="8" t="n">
        <v>14</v>
      </c>
      <c r="F765" s="18" t="s">
        <v>124</v>
      </c>
      <c r="G765" s="8" t="s">
        <v>116</v>
      </c>
      <c r="H765" s="19" t="n">
        <v>0.333333333333333</v>
      </c>
      <c r="I765" s="19" t="n">
        <v>0.331944444444444</v>
      </c>
      <c r="J765" s="19" t="n">
        <v>0.75</v>
      </c>
      <c r="K765" s="19" t="n">
        <v>0.75</v>
      </c>
      <c r="L765" s="19" t="n">
        <v>0.375</v>
      </c>
      <c r="M765" s="19" t="n">
        <v>0.375</v>
      </c>
      <c r="N765" s="19" t="n">
        <v>0</v>
      </c>
      <c r="O765" s="19" t="n">
        <v>0.00138888888888889</v>
      </c>
      <c r="P765" s="17" t="n">
        <f aca="false">IF(AND(ISNUMBER(H765),ISNUMBER(I765)),MAX(0,ROUND((I765-H765)*1440,0)-'Bilan agents'!$C$4),0)</f>
        <v>0</v>
      </c>
      <c r="Q765" s="8" t="str">
        <f aca="false">IF(H765="Congé","CP",IF(H765="Férié","F",IF(H765="OFF","R",IF(N765&gt;0,"A",IF(ISNUMBER(I765),"P","NR")))))</f>
        <v>P</v>
      </c>
      <c r="R765" s="18"/>
    </row>
    <row r="766" customFormat="false" ht="15" hidden="false" customHeight="false" outlineLevel="0" collapsed="false">
      <c r="A766" s="18" t="s">
        <v>30</v>
      </c>
      <c r="B766" s="8" t="s">
        <v>31</v>
      </c>
      <c r="C766" s="9" t="n">
        <v>46112</v>
      </c>
      <c r="D766" s="8" t="n">
        <v>2026</v>
      </c>
      <c r="E766" s="8" t="n">
        <v>14</v>
      </c>
      <c r="F766" s="18" t="s">
        <v>124</v>
      </c>
      <c r="G766" s="8" t="s">
        <v>117</v>
      </c>
      <c r="H766" s="19" t="n">
        <v>0.333333333333333</v>
      </c>
      <c r="I766" s="19" t="n">
        <v>0.330555555555556</v>
      </c>
      <c r="J766" s="19" t="n">
        <v>0.75</v>
      </c>
      <c r="K766" s="19" t="n">
        <v>0.75</v>
      </c>
      <c r="L766" s="19" t="n">
        <v>0.375</v>
      </c>
      <c r="M766" s="19" t="n">
        <v>0.375</v>
      </c>
      <c r="N766" s="19" t="n">
        <v>0</v>
      </c>
      <c r="O766" s="19" t="n">
        <v>0.00277777777777778</v>
      </c>
      <c r="P766" s="17" t="n">
        <f aca="false">IF(AND(ISNUMBER(H766),ISNUMBER(I766)),MAX(0,ROUND((I766-H766)*1440,0)-'Bilan agents'!$C$4),0)</f>
        <v>0</v>
      </c>
      <c r="Q766" s="8" t="str">
        <f aca="false">IF(H766="Congé","CP",IF(H766="Férié","F",IF(H766="OFF","R",IF(N766&gt;0,"A",IF(ISNUMBER(I766),"P","NR")))))</f>
        <v>P</v>
      </c>
      <c r="R766" s="18"/>
    </row>
    <row r="767" customFormat="false" ht="15" hidden="false" customHeight="false" outlineLevel="0" collapsed="false">
      <c r="A767" s="18" t="s">
        <v>30</v>
      </c>
      <c r="B767" s="8" t="s">
        <v>31</v>
      </c>
      <c r="C767" s="9" t="n">
        <v>46113</v>
      </c>
      <c r="D767" s="8" t="n">
        <v>2026</v>
      </c>
      <c r="E767" s="8" t="n">
        <v>14</v>
      </c>
      <c r="F767" s="18" t="s">
        <v>125</v>
      </c>
      <c r="G767" s="8" t="s">
        <v>118</v>
      </c>
      <c r="H767" s="19" t="n">
        <v>0.333333333333333</v>
      </c>
      <c r="I767" s="19" t="n">
        <v>0.33125</v>
      </c>
      <c r="J767" s="19" t="n">
        <v>0.75</v>
      </c>
      <c r="K767" s="19" t="n">
        <v>0.75</v>
      </c>
      <c r="L767" s="19" t="n">
        <v>0.375</v>
      </c>
      <c r="M767" s="19" t="n">
        <v>0.375</v>
      </c>
      <c r="N767" s="19" t="n">
        <v>0</v>
      </c>
      <c r="O767" s="19" t="n">
        <v>0.00208333333333333</v>
      </c>
      <c r="P767" s="17" t="n">
        <f aca="false">IF(AND(ISNUMBER(H767),ISNUMBER(I767)),MAX(0,ROUND((I767-H767)*1440,0)-'Bilan agents'!$C$4),0)</f>
        <v>0</v>
      </c>
      <c r="Q767" s="8" t="str">
        <f aca="false">IF(H767="Congé","CP",IF(H767="Férié","F",IF(H767="OFF","R",IF(N767&gt;0,"A",IF(ISNUMBER(I767),"P","NR")))))</f>
        <v>P</v>
      </c>
      <c r="R767" s="18"/>
    </row>
    <row r="768" customFormat="false" ht="15" hidden="false" customHeight="false" outlineLevel="0" collapsed="false">
      <c r="A768" s="18" t="s">
        <v>30</v>
      </c>
      <c r="B768" s="8" t="s">
        <v>31</v>
      </c>
      <c r="C768" s="9" t="n">
        <v>46114</v>
      </c>
      <c r="D768" s="8" t="n">
        <v>2026</v>
      </c>
      <c r="E768" s="8" t="n">
        <v>14</v>
      </c>
      <c r="F768" s="18" t="s">
        <v>125</v>
      </c>
      <c r="G768" s="8" t="s">
        <v>119</v>
      </c>
      <c r="H768" s="19" t="n">
        <v>0.333333333333333</v>
      </c>
      <c r="I768" s="19" t="n">
        <v>0.333333333333333</v>
      </c>
      <c r="J768" s="19" t="n">
        <v>0.75</v>
      </c>
      <c r="K768" s="19" t="n">
        <v>0.75</v>
      </c>
      <c r="L768" s="19" t="n">
        <v>0.375</v>
      </c>
      <c r="M768" s="19" t="n">
        <v>0.375</v>
      </c>
      <c r="N768" s="19" t="n">
        <v>0</v>
      </c>
      <c r="O768" s="19" t="n">
        <v>0</v>
      </c>
      <c r="P768" s="17" t="n">
        <f aca="false">IF(AND(ISNUMBER(H768),ISNUMBER(I768)),MAX(0,ROUND((I768-H768)*1440,0)-'Bilan agents'!$C$4),0)</f>
        <v>0</v>
      </c>
      <c r="Q768" s="8" t="str">
        <f aca="false">IF(H768="Congé","CP",IF(H768="Férié","F",IF(H768="OFF","R",IF(N768&gt;0,"A",IF(ISNUMBER(I768),"P","NR")))))</f>
        <v>P</v>
      </c>
      <c r="R768" s="18"/>
    </row>
    <row r="769" customFormat="false" ht="15" hidden="false" customHeight="false" outlineLevel="0" collapsed="false">
      <c r="A769" s="18" t="s">
        <v>30</v>
      </c>
      <c r="B769" s="8" t="s">
        <v>31</v>
      </c>
      <c r="C769" s="9" t="n">
        <v>46115</v>
      </c>
      <c r="D769" s="8" t="n">
        <v>2026</v>
      </c>
      <c r="E769" s="8" t="n">
        <v>14</v>
      </c>
      <c r="F769" s="18" t="s">
        <v>125</v>
      </c>
      <c r="G769" s="8" t="s">
        <v>120</v>
      </c>
      <c r="H769" s="19" t="n">
        <v>0.333333333333333</v>
      </c>
      <c r="I769" s="19" t="n">
        <v>0.333333333333333</v>
      </c>
      <c r="J769" s="19" t="n">
        <v>0.708333333333333</v>
      </c>
      <c r="K769" s="19" t="n">
        <v>0.708333333333333</v>
      </c>
      <c r="L769" s="19" t="n">
        <v>0.333333333333333</v>
      </c>
      <c r="M769" s="19" t="n">
        <v>0.333333333333333</v>
      </c>
      <c r="N769" s="19" t="n">
        <v>0</v>
      </c>
      <c r="O769" s="19" t="n">
        <v>0</v>
      </c>
      <c r="P769" s="17" t="n">
        <f aca="false">IF(AND(ISNUMBER(H769),ISNUMBER(I769)),MAX(0,ROUND((I769-H769)*1440,0)-'Bilan agents'!$C$4),0)</f>
        <v>0</v>
      </c>
      <c r="Q769" s="8" t="str">
        <f aca="false">IF(H769="Congé","CP",IF(H769="Férié","F",IF(H769="OFF","R",IF(N769&gt;0,"A",IF(ISNUMBER(I769),"P","NR")))))</f>
        <v>P</v>
      </c>
      <c r="R769" s="18"/>
    </row>
    <row r="770" customFormat="false" ht="15" hidden="false" customHeight="false" outlineLevel="0" collapsed="false">
      <c r="A770" s="18" t="s">
        <v>30</v>
      </c>
      <c r="B770" s="8" t="s">
        <v>31</v>
      </c>
      <c r="C770" s="9" t="n">
        <v>46116</v>
      </c>
      <c r="D770" s="8" t="n">
        <v>2026</v>
      </c>
      <c r="E770" s="8" t="n">
        <v>14</v>
      </c>
      <c r="F770" s="18" t="s">
        <v>125</v>
      </c>
      <c r="G770" s="8" t="s">
        <v>121</v>
      </c>
      <c r="H770" s="19" t="s">
        <v>115</v>
      </c>
      <c r="I770" s="19"/>
      <c r="J770" s="19"/>
      <c r="K770" s="19"/>
      <c r="L770" s="19" t="n">
        <v>0</v>
      </c>
      <c r="M770" s="19"/>
      <c r="N770" s="19" t="n">
        <v>0</v>
      </c>
      <c r="O770" s="19" t="n">
        <v>0</v>
      </c>
      <c r="P770" s="17" t="n">
        <f aca="false">IF(AND(ISNUMBER(H770),ISNUMBER(I770)),MAX(0,ROUND((I770-H770)*1440,0)-'Bilan agents'!$C$4),0)</f>
        <v>0</v>
      </c>
      <c r="Q770" s="8" t="str">
        <f aca="false">IF(H770="Congé","CP",IF(H770="Férié","F",IF(H770="OFF","R",IF(N770&gt;0,"A",IF(ISNUMBER(I770),"P","NR")))))</f>
        <v>R</v>
      </c>
      <c r="R770" s="18"/>
    </row>
    <row r="771" customFormat="false" ht="15" hidden="false" customHeight="false" outlineLevel="0" collapsed="false">
      <c r="A771" s="18" t="s">
        <v>30</v>
      </c>
      <c r="B771" s="8" t="s">
        <v>31</v>
      </c>
      <c r="C771" s="9" t="n">
        <v>46117</v>
      </c>
      <c r="D771" s="8" t="n">
        <v>2026</v>
      </c>
      <c r="E771" s="8" t="n">
        <v>14</v>
      </c>
      <c r="F771" s="18" t="s">
        <v>125</v>
      </c>
      <c r="G771" s="8" t="s">
        <v>114</v>
      </c>
      <c r="H771" s="19" t="s">
        <v>115</v>
      </c>
      <c r="I771" s="19"/>
      <c r="J771" s="19"/>
      <c r="K771" s="19"/>
      <c r="L771" s="19" t="n">
        <v>0</v>
      </c>
      <c r="M771" s="19"/>
      <c r="N771" s="19" t="n">
        <v>0</v>
      </c>
      <c r="O771" s="19" t="n">
        <v>0</v>
      </c>
      <c r="P771" s="17" t="n">
        <f aca="false">IF(AND(ISNUMBER(H771),ISNUMBER(I771)),MAX(0,ROUND((I771-H771)*1440,0)-'Bilan agents'!$C$4),0)</f>
        <v>0</v>
      </c>
      <c r="Q771" s="8" t="str">
        <f aca="false">IF(H771="Congé","CP",IF(H771="Férié","F",IF(H771="OFF","R",IF(N771&gt;0,"A",IF(ISNUMBER(I771),"P","NR")))))</f>
        <v>R</v>
      </c>
      <c r="R771" s="18"/>
    </row>
    <row r="772" customFormat="false" ht="15" hidden="false" customHeight="false" outlineLevel="0" collapsed="false">
      <c r="A772" s="18" t="s">
        <v>30</v>
      </c>
      <c r="B772" s="8" t="s">
        <v>31</v>
      </c>
      <c r="C772" s="9" t="n">
        <v>46118</v>
      </c>
      <c r="D772" s="8" t="n">
        <v>2026</v>
      </c>
      <c r="E772" s="8" t="n">
        <v>15</v>
      </c>
      <c r="F772" s="18" t="s">
        <v>125</v>
      </c>
      <c r="G772" s="8" t="s">
        <v>116</v>
      </c>
      <c r="H772" s="19" t="s">
        <v>115</v>
      </c>
      <c r="I772" s="19"/>
      <c r="J772" s="19"/>
      <c r="K772" s="19"/>
      <c r="L772" s="19" t="n">
        <v>0</v>
      </c>
      <c r="M772" s="19"/>
      <c r="N772" s="19" t="n">
        <v>0</v>
      </c>
      <c r="O772" s="19" t="n">
        <v>0</v>
      </c>
      <c r="P772" s="17" t="n">
        <f aca="false">IF(AND(ISNUMBER(H772),ISNUMBER(I772)),MAX(0,ROUND((I772-H772)*1440,0)-'Bilan agents'!$C$4),0)</f>
        <v>0</v>
      </c>
      <c r="Q772" s="8" t="str">
        <f aca="false">IF(H772="Congé","CP",IF(H772="Férié","F",IF(H772="OFF","R",IF(N772&gt;0,"A",IF(ISNUMBER(I772),"P","NR")))))</f>
        <v>R</v>
      </c>
      <c r="R772" s="18"/>
    </row>
    <row r="773" customFormat="false" ht="15" hidden="false" customHeight="false" outlineLevel="0" collapsed="false">
      <c r="A773" s="18" t="s">
        <v>30</v>
      </c>
      <c r="B773" s="8" t="s">
        <v>31</v>
      </c>
      <c r="C773" s="9" t="n">
        <v>46119</v>
      </c>
      <c r="D773" s="8" t="n">
        <v>2026</v>
      </c>
      <c r="E773" s="8" t="n">
        <v>15</v>
      </c>
      <c r="F773" s="18" t="s">
        <v>125</v>
      </c>
      <c r="G773" s="8" t="s">
        <v>117</v>
      </c>
      <c r="H773" s="19" t="n">
        <v>0.333333333333333</v>
      </c>
      <c r="I773" s="19" t="n">
        <v>0.333333333333333</v>
      </c>
      <c r="J773" s="19" t="n">
        <v>0.75</v>
      </c>
      <c r="K773" s="19" t="n">
        <v>0.75</v>
      </c>
      <c r="L773" s="19" t="n">
        <v>0.375</v>
      </c>
      <c r="M773" s="19" t="n">
        <v>0.375</v>
      </c>
      <c r="N773" s="19" t="n">
        <v>0</v>
      </c>
      <c r="O773" s="19" t="n">
        <v>0</v>
      </c>
      <c r="P773" s="17" t="n">
        <f aca="false">IF(AND(ISNUMBER(H773),ISNUMBER(I773)),MAX(0,ROUND((I773-H773)*1440,0)-'Bilan agents'!$C$4),0)</f>
        <v>0</v>
      </c>
      <c r="Q773" s="8" t="str">
        <f aca="false">IF(H773="Congé","CP",IF(H773="Férié","F",IF(H773="OFF","R",IF(N773&gt;0,"A",IF(ISNUMBER(I773),"P","NR")))))</f>
        <v>P</v>
      </c>
      <c r="R773" s="18"/>
    </row>
    <row r="774" customFormat="false" ht="15" hidden="false" customHeight="false" outlineLevel="0" collapsed="false">
      <c r="A774" s="18" t="s">
        <v>30</v>
      </c>
      <c r="B774" s="8" t="s">
        <v>31</v>
      </c>
      <c r="C774" s="9" t="n">
        <v>46120</v>
      </c>
      <c r="D774" s="8" t="n">
        <v>2026</v>
      </c>
      <c r="E774" s="8" t="n">
        <v>15</v>
      </c>
      <c r="F774" s="18" t="s">
        <v>125</v>
      </c>
      <c r="G774" s="8" t="s">
        <v>118</v>
      </c>
      <c r="H774" s="19" t="n">
        <v>0.333333333333333</v>
      </c>
      <c r="I774" s="19" t="n">
        <v>0.331944444444444</v>
      </c>
      <c r="J774" s="19" t="n">
        <v>0.75</v>
      </c>
      <c r="K774" s="19" t="n">
        <v>0.75</v>
      </c>
      <c r="L774" s="19" t="n">
        <v>0.375</v>
      </c>
      <c r="M774" s="19" t="n">
        <v>0.375</v>
      </c>
      <c r="N774" s="19" t="n">
        <v>0</v>
      </c>
      <c r="O774" s="19" t="n">
        <v>0.00138888888888889</v>
      </c>
      <c r="P774" s="17" t="n">
        <f aca="false">IF(AND(ISNUMBER(H774),ISNUMBER(I774)),MAX(0,ROUND((I774-H774)*1440,0)-'Bilan agents'!$C$4),0)</f>
        <v>0</v>
      </c>
      <c r="Q774" s="8" t="str">
        <f aca="false">IF(H774="Congé","CP",IF(H774="Férié","F",IF(H774="OFF","R",IF(N774&gt;0,"A",IF(ISNUMBER(I774),"P","NR")))))</f>
        <v>P</v>
      </c>
      <c r="R774" s="18"/>
    </row>
    <row r="775" customFormat="false" ht="15" hidden="false" customHeight="false" outlineLevel="0" collapsed="false">
      <c r="A775" s="18" t="s">
        <v>30</v>
      </c>
      <c r="B775" s="8" t="s">
        <v>31</v>
      </c>
      <c r="C775" s="9" t="n">
        <v>46121</v>
      </c>
      <c r="D775" s="8" t="n">
        <v>2026</v>
      </c>
      <c r="E775" s="8" t="n">
        <v>15</v>
      </c>
      <c r="F775" s="18" t="s">
        <v>125</v>
      </c>
      <c r="G775" s="8" t="s">
        <v>119</v>
      </c>
      <c r="H775" s="19" t="n">
        <v>0.333333333333333</v>
      </c>
      <c r="I775" s="19" t="n">
        <v>0.333333333333333</v>
      </c>
      <c r="J775" s="19" t="n">
        <v>0.75</v>
      </c>
      <c r="K775" s="19" t="n">
        <v>0.75</v>
      </c>
      <c r="L775" s="19" t="n">
        <v>0.375</v>
      </c>
      <c r="M775" s="19" t="n">
        <v>0.375</v>
      </c>
      <c r="N775" s="19" t="n">
        <v>0</v>
      </c>
      <c r="O775" s="19" t="n">
        <v>0</v>
      </c>
      <c r="P775" s="17" t="n">
        <f aca="false">IF(AND(ISNUMBER(H775),ISNUMBER(I775)),MAX(0,ROUND((I775-H775)*1440,0)-'Bilan agents'!$C$4),0)</f>
        <v>0</v>
      </c>
      <c r="Q775" s="8" t="str">
        <f aca="false">IF(H775="Congé","CP",IF(H775="Férié","F",IF(H775="OFF","R",IF(N775&gt;0,"A",IF(ISNUMBER(I775),"P","NR")))))</f>
        <v>P</v>
      </c>
      <c r="R775" s="18"/>
    </row>
    <row r="776" customFormat="false" ht="15" hidden="false" customHeight="false" outlineLevel="0" collapsed="false">
      <c r="A776" s="18" t="s">
        <v>30</v>
      </c>
      <c r="B776" s="8" t="s">
        <v>31</v>
      </c>
      <c r="C776" s="9" t="n">
        <v>46122</v>
      </c>
      <c r="D776" s="8" t="n">
        <v>2026</v>
      </c>
      <c r="E776" s="8" t="n">
        <v>15</v>
      </c>
      <c r="F776" s="18" t="s">
        <v>125</v>
      </c>
      <c r="G776" s="8" t="s">
        <v>120</v>
      </c>
      <c r="H776" s="19" t="n">
        <v>0.333333333333333</v>
      </c>
      <c r="I776" s="19" t="n">
        <v>0.333333333333333</v>
      </c>
      <c r="J776" s="19" t="n">
        <v>0.708333333333333</v>
      </c>
      <c r="K776" s="19" t="n">
        <v>0.708333333333333</v>
      </c>
      <c r="L776" s="19" t="n">
        <v>0.333333333333333</v>
      </c>
      <c r="M776" s="19" t="n">
        <v>0.333333333333333</v>
      </c>
      <c r="N776" s="19" t="n">
        <v>0</v>
      </c>
      <c r="O776" s="19" t="n">
        <v>0</v>
      </c>
      <c r="P776" s="17" t="n">
        <f aca="false">IF(AND(ISNUMBER(H776),ISNUMBER(I776)),MAX(0,ROUND((I776-H776)*1440,0)-'Bilan agents'!$C$4),0)</f>
        <v>0</v>
      </c>
      <c r="Q776" s="8" t="str">
        <f aca="false">IF(H776="Congé","CP",IF(H776="Férié","F",IF(H776="OFF","R",IF(N776&gt;0,"A",IF(ISNUMBER(I776),"P","NR")))))</f>
        <v>P</v>
      </c>
      <c r="R776" s="18"/>
    </row>
    <row r="777" customFormat="false" ht="15" hidden="false" customHeight="false" outlineLevel="0" collapsed="false">
      <c r="A777" s="18" t="s">
        <v>30</v>
      </c>
      <c r="B777" s="8" t="s">
        <v>31</v>
      </c>
      <c r="C777" s="9" t="n">
        <v>46123</v>
      </c>
      <c r="D777" s="8" t="n">
        <v>2026</v>
      </c>
      <c r="E777" s="8" t="n">
        <v>15</v>
      </c>
      <c r="F777" s="18" t="s">
        <v>125</v>
      </c>
      <c r="G777" s="8" t="s">
        <v>121</v>
      </c>
      <c r="H777" s="19" t="s">
        <v>115</v>
      </c>
      <c r="I777" s="19"/>
      <c r="J777" s="19"/>
      <c r="K777" s="19"/>
      <c r="L777" s="19" t="n">
        <v>0</v>
      </c>
      <c r="M777" s="19"/>
      <c r="N777" s="19" t="n">
        <v>0</v>
      </c>
      <c r="O777" s="19" t="n">
        <v>0</v>
      </c>
      <c r="P777" s="17" t="n">
        <f aca="false">IF(AND(ISNUMBER(H777),ISNUMBER(I777)),MAX(0,ROUND((I777-H777)*1440,0)-'Bilan agents'!$C$4),0)</f>
        <v>0</v>
      </c>
      <c r="Q777" s="8" t="str">
        <f aca="false">IF(H777="Congé","CP",IF(H777="Férié","F",IF(H777="OFF","R",IF(N777&gt;0,"A",IF(ISNUMBER(I777),"P","NR")))))</f>
        <v>R</v>
      </c>
      <c r="R777" s="18"/>
    </row>
    <row r="778" customFormat="false" ht="15" hidden="false" customHeight="false" outlineLevel="0" collapsed="false">
      <c r="A778" s="18" t="s">
        <v>30</v>
      </c>
      <c r="B778" s="8" t="s">
        <v>31</v>
      </c>
      <c r="C778" s="9" t="n">
        <v>46124</v>
      </c>
      <c r="D778" s="8" t="n">
        <v>2026</v>
      </c>
      <c r="E778" s="8" t="n">
        <v>15</v>
      </c>
      <c r="F778" s="18" t="s">
        <v>125</v>
      </c>
      <c r="G778" s="8" t="s">
        <v>114</v>
      </c>
      <c r="H778" s="19" t="s">
        <v>115</v>
      </c>
      <c r="I778" s="19"/>
      <c r="J778" s="19"/>
      <c r="K778" s="19"/>
      <c r="L778" s="19" t="n">
        <v>0</v>
      </c>
      <c r="M778" s="19"/>
      <c r="N778" s="19" t="n">
        <v>0</v>
      </c>
      <c r="O778" s="19" t="n">
        <v>0</v>
      </c>
      <c r="P778" s="17" t="n">
        <f aca="false">IF(AND(ISNUMBER(H778),ISNUMBER(I778)),MAX(0,ROUND((I778-H778)*1440,0)-'Bilan agents'!$C$4),0)</f>
        <v>0</v>
      </c>
      <c r="Q778" s="8" t="str">
        <f aca="false">IF(H778="Congé","CP",IF(H778="Férié","F",IF(H778="OFF","R",IF(N778&gt;0,"A",IF(ISNUMBER(I778),"P","NR")))))</f>
        <v>R</v>
      </c>
      <c r="R778" s="18"/>
    </row>
    <row r="779" customFormat="false" ht="15" hidden="false" customHeight="false" outlineLevel="0" collapsed="false">
      <c r="A779" s="18" t="s">
        <v>30</v>
      </c>
      <c r="B779" s="8" t="s">
        <v>31</v>
      </c>
      <c r="C779" s="9" t="n">
        <v>46125</v>
      </c>
      <c r="D779" s="8" t="n">
        <v>2026</v>
      </c>
      <c r="E779" s="8" t="n">
        <v>16</v>
      </c>
      <c r="F779" s="18" t="s">
        <v>125</v>
      </c>
      <c r="G779" s="8" t="s">
        <v>116</v>
      </c>
      <c r="H779" s="19" t="n">
        <v>0.333333333333333</v>
      </c>
      <c r="I779" s="19" t="n">
        <v>0.333333333333333</v>
      </c>
      <c r="J779" s="19" t="n">
        <v>0.75</v>
      </c>
      <c r="K779" s="19" t="n">
        <v>0.75</v>
      </c>
      <c r="L779" s="19" t="n">
        <v>0.375</v>
      </c>
      <c r="M779" s="19" t="n">
        <v>0.375</v>
      </c>
      <c r="N779" s="19" t="n">
        <v>0</v>
      </c>
      <c r="O779" s="19" t="n">
        <v>0</v>
      </c>
      <c r="P779" s="17" t="n">
        <f aca="false">IF(AND(ISNUMBER(H779),ISNUMBER(I779)),MAX(0,ROUND((I779-H779)*1440,0)-'Bilan agents'!$C$4),0)</f>
        <v>0</v>
      </c>
      <c r="Q779" s="8" t="str">
        <f aca="false">IF(H779="Congé","CP",IF(H779="Férié","F",IF(H779="OFF","R",IF(N779&gt;0,"A",IF(ISNUMBER(I779),"P","NR")))))</f>
        <v>P</v>
      </c>
      <c r="R779" s="18"/>
    </row>
    <row r="780" customFormat="false" ht="15" hidden="false" customHeight="false" outlineLevel="0" collapsed="false">
      <c r="A780" s="18" t="s">
        <v>30</v>
      </c>
      <c r="B780" s="8" t="s">
        <v>31</v>
      </c>
      <c r="C780" s="9" t="n">
        <v>46126</v>
      </c>
      <c r="D780" s="8" t="n">
        <v>2026</v>
      </c>
      <c r="E780" s="8" t="n">
        <v>16</v>
      </c>
      <c r="F780" s="18" t="s">
        <v>125</v>
      </c>
      <c r="G780" s="8" t="s">
        <v>117</v>
      </c>
      <c r="H780" s="19" t="n">
        <v>0.333333333333333</v>
      </c>
      <c r="I780" s="19" t="n">
        <v>0.333333333333333</v>
      </c>
      <c r="J780" s="19" t="n">
        <v>0.75</v>
      </c>
      <c r="K780" s="19" t="n">
        <v>0.75</v>
      </c>
      <c r="L780" s="19" t="n">
        <v>0.375</v>
      </c>
      <c r="M780" s="19" t="n">
        <v>0.375</v>
      </c>
      <c r="N780" s="19" t="n">
        <v>0</v>
      </c>
      <c r="O780" s="19" t="n">
        <v>0</v>
      </c>
      <c r="P780" s="17" t="n">
        <f aca="false">IF(AND(ISNUMBER(H780),ISNUMBER(I780)),MAX(0,ROUND((I780-H780)*1440,0)-'Bilan agents'!$C$4),0)</f>
        <v>0</v>
      </c>
      <c r="Q780" s="8" t="str">
        <f aca="false">IF(H780="Congé","CP",IF(H780="Férié","F",IF(H780="OFF","R",IF(N780&gt;0,"A",IF(ISNUMBER(I780),"P","NR")))))</f>
        <v>P</v>
      </c>
      <c r="R780" s="18"/>
    </row>
    <row r="781" customFormat="false" ht="15" hidden="false" customHeight="false" outlineLevel="0" collapsed="false">
      <c r="A781" s="18" t="s">
        <v>30</v>
      </c>
      <c r="B781" s="8" t="s">
        <v>31</v>
      </c>
      <c r="C781" s="9" t="n">
        <v>46127</v>
      </c>
      <c r="D781" s="8" t="n">
        <v>2026</v>
      </c>
      <c r="E781" s="8" t="n">
        <v>16</v>
      </c>
      <c r="F781" s="18" t="s">
        <v>125</v>
      </c>
      <c r="G781" s="8" t="s">
        <v>118</v>
      </c>
      <c r="H781" s="19" t="n">
        <v>0.333333333333333</v>
      </c>
      <c r="I781" s="19" t="n">
        <v>0.333333333333333</v>
      </c>
      <c r="J781" s="19" t="n">
        <v>0.75</v>
      </c>
      <c r="K781" s="19" t="n">
        <v>0.75</v>
      </c>
      <c r="L781" s="19" t="n">
        <v>0.375</v>
      </c>
      <c r="M781" s="19" t="n">
        <v>0.375</v>
      </c>
      <c r="N781" s="19" t="n">
        <v>0</v>
      </c>
      <c r="O781" s="19" t="n">
        <v>0</v>
      </c>
      <c r="P781" s="17" t="n">
        <f aca="false">IF(AND(ISNUMBER(H781),ISNUMBER(I781)),MAX(0,ROUND((I781-H781)*1440,0)-'Bilan agents'!$C$4),0)</f>
        <v>0</v>
      </c>
      <c r="Q781" s="8" t="str">
        <f aca="false">IF(H781="Congé","CP",IF(H781="Férié","F",IF(H781="OFF","R",IF(N781&gt;0,"A",IF(ISNUMBER(I781),"P","NR")))))</f>
        <v>P</v>
      </c>
      <c r="R781" s="18"/>
    </row>
    <row r="782" customFormat="false" ht="15" hidden="false" customHeight="false" outlineLevel="0" collapsed="false">
      <c r="A782" s="18" t="s">
        <v>30</v>
      </c>
      <c r="B782" s="8" t="s">
        <v>31</v>
      </c>
      <c r="C782" s="9" t="n">
        <v>46128</v>
      </c>
      <c r="D782" s="8" t="n">
        <v>2026</v>
      </c>
      <c r="E782" s="8" t="n">
        <v>16</v>
      </c>
      <c r="F782" s="18" t="s">
        <v>125</v>
      </c>
      <c r="G782" s="8" t="s">
        <v>119</v>
      </c>
      <c r="H782" s="19" t="n">
        <v>0.333333333333333</v>
      </c>
      <c r="I782" s="19" t="n">
        <v>0.331944444444444</v>
      </c>
      <c r="J782" s="19" t="n">
        <v>0.75</v>
      </c>
      <c r="K782" s="19" t="n">
        <v>0.75</v>
      </c>
      <c r="L782" s="19" t="n">
        <v>0.375</v>
      </c>
      <c r="M782" s="19" t="n">
        <v>0.375</v>
      </c>
      <c r="N782" s="19" t="n">
        <v>0</v>
      </c>
      <c r="O782" s="19" t="n">
        <v>0.00138888888888889</v>
      </c>
      <c r="P782" s="17" t="n">
        <f aca="false">IF(AND(ISNUMBER(H782),ISNUMBER(I782)),MAX(0,ROUND((I782-H782)*1440,0)-'Bilan agents'!$C$4),0)</f>
        <v>0</v>
      </c>
      <c r="Q782" s="8" t="str">
        <f aca="false">IF(H782="Congé","CP",IF(H782="Férié","F",IF(H782="OFF","R",IF(N782&gt;0,"A",IF(ISNUMBER(I782),"P","NR")))))</f>
        <v>P</v>
      </c>
      <c r="R782" s="18"/>
    </row>
    <row r="783" customFormat="false" ht="15" hidden="false" customHeight="false" outlineLevel="0" collapsed="false">
      <c r="A783" s="18" t="s">
        <v>30</v>
      </c>
      <c r="B783" s="8" t="s">
        <v>31</v>
      </c>
      <c r="C783" s="9" t="n">
        <v>46129</v>
      </c>
      <c r="D783" s="8" t="n">
        <v>2026</v>
      </c>
      <c r="E783" s="8" t="n">
        <v>16</v>
      </c>
      <c r="F783" s="18" t="s">
        <v>125</v>
      </c>
      <c r="G783" s="8" t="s">
        <v>120</v>
      </c>
      <c r="H783" s="19" t="n">
        <v>0.333333333333333</v>
      </c>
      <c r="I783" s="19" t="n">
        <v>0.333333333333333</v>
      </c>
      <c r="J783" s="19" t="n">
        <v>0.708333333333333</v>
      </c>
      <c r="K783" s="19" t="n">
        <v>0.708333333333333</v>
      </c>
      <c r="L783" s="19" t="n">
        <v>0.333333333333333</v>
      </c>
      <c r="M783" s="19" t="n">
        <v>0.333333333333333</v>
      </c>
      <c r="N783" s="19" t="n">
        <v>0</v>
      </c>
      <c r="O783" s="19" t="n">
        <v>0</v>
      </c>
      <c r="P783" s="17" t="n">
        <f aca="false">IF(AND(ISNUMBER(H783),ISNUMBER(I783)),MAX(0,ROUND((I783-H783)*1440,0)-'Bilan agents'!$C$4),0)</f>
        <v>0</v>
      </c>
      <c r="Q783" s="8" t="str">
        <f aca="false">IF(H783="Congé","CP",IF(H783="Férié","F",IF(H783="OFF","R",IF(N783&gt;0,"A",IF(ISNUMBER(I783),"P","NR")))))</f>
        <v>P</v>
      </c>
      <c r="R783" s="18"/>
    </row>
    <row r="784" customFormat="false" ht="15" hidden="false" customHeight="false" outlineLevel="0" collapsed="false">
      <c r="A784" s="18" t="s">
        <v>30</v>
      </c>
      <c r="B784" s="8" t="s">
        <v>31</v>
      </c>
      <c r="C784" s="9" t="n">
        <v>46130</v>
      </c>
      <c r="D784" s="8" t="n">
        <v>2026</v>
      </c>
      <c r="E784" s="8" t="n">
        <v>16</v>
      </c>
      <c r="F784" s="18" t="s">
        <v>125</v>
      </c>
      <c r="G784" s="8" t="s">
        <v>121</v>
      </c>
      <c r="H784" s="19" t="s">
        <v>115</v>
      </c>
      <c r="I784" s="19"/>
      <c r="J784" s="19"/>
      <c r="K784" s="19"/>
      <c r="L784" s="19" t="n">
        <v>0</v>
      </c>
      <c r="M784" s="19"/>
      <c r="N784" s="19" t="n">
        <v>0</v>
      </c>
      <c r="O784" s="19" t="n">
        <v>0</v>
      </c>
      <c r="P784" s="17" t="n">
        <f aca="false">IF(AND(ISNUMBER(H784),ISNUMBER(I784)),MAX(0,ROUND((I784-H784)*1440,0)-'Bilan agents'!$C$4),0)</f>
        <v>0</v>
      </c>
      <c r="Q784" s="8" t="str">
        <f aca="false">IF(H784="Congé","CP",IF(H784="Férié","F",IF(H784="OFF","R",IF(N784&gt;0,"A",IF(ISNUMBER(I784),"P","NR")))))</f>
        <v>R</v>
      </c>
      <c r="R784" s="18"/>
    </row>
    <row r="785" customFormat="false" ht="15" hidden="false" customHeight="false" outlineLevel="0" collapsed="false">
      <c r="A785" s="18" t="s">
        <v>30</v>
      </c>
      <c r="B785" s="8" t="s">
        <v>31</v>
      </c>
      <c r="C785" s="9" t="n">
        <v>46131</v>
      </c>
      <c r="D785" s="8" t="n">
        <v>2026</v>
      </c>
      <c r="E785" s="8" t="n">
        <v>16</v>
      </c>
      <c r="F785" s="18" t="s">
        <v>125</v>
      </c>
      <c r="G785" s="8" t="s">
        <v>114</v>
      </c>
      <c r="H785" s="19" t="s">
        <v>115</v>
      </c>
      <c r="I785" s="19"/>
      <c r="J785" s="19"/>
      <c r="K785" s="19"/>
      <c r="L785" s="19" t="n">
        <v>0</v>
      </c>
      <c r="M785" s="19"/>
      <c r="N785" s="19" t="n">
        <v>0</v>
      </c>
      <c r="O785" s="19" t="n">
        <v>0</v>
      </c>
      <c r="P785" s="17" t="n">
        <f aca="false">IF(AND(ISNUMBER(H785),ISNUMBER(I785)),MAX(0,ROUND((I785-H785)*1440,0)-'Bilan agents'!$C$4),0)</f>
        <v>0</v>
      </c>
      <c r="Q785" s="8" t="str">
        <f aca="false">IF(H785="Congé","CP",IF(H785="Férié","F",IF(H785="OFF","R",IF(N785&gt;0,"A",IF(ISNUMBER(I785),"P","NR")))))</f>
        <v>R</v>
      </c>
      <c r="R785" s="18"/>
    </row>
    <row r="786" customFormat="false" ht="15" hidden="false" customHeight="false" outlineLevel="0" collapsed="false">
      <c r="A786" s="18" t="s">
        <v>30</v>
      </c>
      <c r="B786" s="8" t="s">
        <v>31</v>
      </c>
      <c r="C786" s="9" t="n">
        <v>46132</v>
      </c>
      <c r="D786" s="8" t="n">
        <v>2026</v>
      </c>
      <c r="E786" s="8" t="n">
        <v>17</v>
      </c>
      <c r="F786" s="18" t="s">
        <v>125</v>
      </c>
      <c r="G786" s="8" t="s">
        <v>116</v>
      </c>
      <c r="H786" s="19" t="n">
        <v>0.333333333333333</v>
      </c>
      <c r="I786" s="19" t="n">
        <v>0.33125</v>
      </c>
      <c r="J786" s="19" t="n">
        <v>0.75</v>
      </c>
      <c r="K786" s="19" t="n">
        <v>0.75</v>
      </c>
      <c r="L786" s="19" t="n">
        <v>0.375</v>
      </c>
      <c r="M786" s="19" t="n">
        <v>0.375</v>
      </c>
      <c r="N786" s="19" t="n">
        <v>0</v>
      </c>
      <c r="O786" s="19" t="n">
        <v>0.00208333333333333</v>
      </c>
      <c r="P786" s="17" t="n">
        <f aca="false">IF(AND(ISNUMBER(H786),ISNUMBER(I786)),MAX(0,ROUND((I786-H786)*1440,0)-'Bilan agents'!$C$4),0)</f>
        <v>0</v>
      </c>
      <c r="Q786" s="8" t="str">
        <f aca="false">IF(H786="Congé","CP",IF(H786="Férié","F",IF(H786="OFF","R",IF(N786&gt;0,"A",IF(ISNUMBER(I786),"P","NR")))))</f>
        <v>P</v>
      </c>
      <c r="R786" s="18"/>
    </row>
    <row r="787" customFormat="false" ht="15" hidden="false" customHeight="false" outlineLevel="0" collapsed="false">
      <c r="A787" s="18" t="s">
        <v>30</v>
      </c>
      <c r="B787" s="8" t="s">
        <v>31</v>
      </c>
      <c r="C787" s="9" t="n">
        <v>46133</v>
      </c>
      <c r="D787" s="8" t="n">
        <v>2026</v>
      </c>
      <c r="E787" s="8" t="n">
        <v>17</v>
      </c>
      <c r="F787" s="18" t="s">
        <v>125</v>
      </c>
      <c r="G787" s="8" t="s">
        <v>117</v>
      </c>
      <c r="H787" s="19" t="n">
        <v>0.333333333333333</v>
      </c>
      <c r="I787" s="19" t="n">
        <v>0.331944444444444</v>
      </c>
      <c r="J787" s="19" t="n">
        <v>0.75</v>
      </c>
      <c r="K787" s="19" t="n">
        <v>0.75</v>
      </c>
      <c r="L787" s="19" t="n">
        <v>0.375</v>
      </c>
      <c r="M787" s="19" t="n">
        <v>0.375</v>
      </c>
      <c r="N787" s="19" t="n">
        <v>0</v>
      </c>
      <c r="O787" s="19" t="n">
        <v>0.00138888888888889</v>
      </c>
      <c r="P787" s="17" t="n">
        <f aca="false">IF(AND(ISNUMBER(H787),ISNUMBER(I787)),MAX(0,ROUND((I787-H787)*1440,0)-'Bilan agents'!$C$4),0)</f>
        <v>0</v>
      </c>
      <c r="Q787" s="8" t="str">
        <f aca="false">IF(H787="Congé","CP",IF(H787="Férié","F",IF(H787="OFF","R",IF(N787&gt;0,"A",IF(ISNUMBER(I787),"P","NR")))))</f>
        <v>P</v>
      </c>
      <c r="R787" s="18"/>
    </row>
    <row r="788" customFormat="false" ht="15" hidden="false" customHeight="false" outlineLevel="0" collapsed="false">
      <c r="A788" s="18" t="s">
        <v>30</v>
      </c>
      <c r="B788" s="8" t="s">
        <v>31</v>
      </c>
      <c r="C788" s="9" t="n">
        <v>46134</v>
      </c>
      <c r="D788" s="8" t="n">
        <v>2026</v>
      </c>
      <c r="E788" s="8" t="n">
        <v>17</v>
      </c>
      <c r="F788" s="18" t="s">
        <v>125</v>
      </c>
      <c r="G788" s="8" t="s">
        <v>118</v>
      </c>
      <c r="H788" s="19" t="n">
        <v>0.333333333333333</v>
      </c>
      <c r="I788" s="19" t="n">
        <v>0.331944444444444</v>
      </c>
      <c r="J788" s="19" t="n">
        <v>0.75</v>
      </c>
      <c r="K788" s="19" t="n">
        <v>0.75</v>
      </c>
      <c r="L788" s="19" t="n">
        <v>0.375</v>
      </c>
      <c r="M788" s="19" t="n">
        <v>0.375</v>
      </c>
      <c r="N788" s="19" t="n">
        <v>0</v>
      </c>
      <c r="O788" s="19" t="n">
        <v>0.00138888888888889</v>
      </c>
      <c r="P788" s="17" t="n">
        <f aca="false">IF(AND(ISNUMBER(H788),ISNUMBER(I788)),MAX(0,ROUND((I788-H788)*1440,0)-'Bilan agents'!$C$4),0)</f>
        <v>0</v>
      </c>
      <c r="Q788" s="8" t="str">
        <f aca="false">IF(H788="Congé","CP",IF(H788="Férié","F",IF(H788="OFF","R",IF(N788&gt;0,"A",IF(ISNUMBER(I788),"P","NR")))))</f>
        <v>P</v>
      </c>
      <c r="R788" s="18"/>
    </row>
    <row r="789" customFormat="false" ht="15" hidden="false" customHeight="false" outlineLevel="0" collapsed="false">
      <c r="A789" s="18" t="s">
        <v>30</v>
      </c>
      <c r="B789" s="8" t="s">
        <v>31</v>
      </c>
      <c r="C789" s="9" t="n">
        <v>46135</v>
      </c>
      <c r="D789" s="8" t="n">
        <v>2026</v>
      </c>
      <c r="E789" s="8" t="n">
        <v>17</v>
      </c>
      <c r="F789" s="18" t="s">
        <v>125</v>
      </c>
      <c r="G789" s="8" t="s">
        <v>119</v>
      </c>
      <c r="H789" s="19" t="n">
        <v>0.333333333333333</v>
      </c>
      <c r="I789" s="19" t="n">
        <v>0.331944444444444</v>
      </c>
      <c r="J789" s="19" t="n">
        <v>0.75</v>
      </c>
      <c r="K789" s="19" t="n">
        <v>0.75</v>
      </c>
      <c r="L789" s="19" t="n">
        <v>0.375</v>
      </c>
      <c r="M789" s="19" t="n">
        <v>0.375</v>
      </c>
      <c r="N789" s="19" t="n">
        <v>0</v>
      </c>
      <c r="O789" s="19" t="n">
        <v>0.00138888888888889</v>
      </c>
      <c r="P789" s="17" t="n">
        <f aca="false">IF(AND(ISNUMBER(H789),ISNUMBER(I789)),MAX(0,ROUND((I789-H789)*1440,0)-'Bilan agents'!$C$4),0)</f>
        <v>0</v>
      </c>
      <c r="Q789" s="8" t="str">
        <f aca="false">IF(H789="Congé","CP",IF(H789="Férié","F",IF(H789="OFF","R",IF(N789&gt;0,"A",IF(ISNUMBER(I789),"P","NR")))))</f>
        <v>P</v>
      </c>
      <c r="R789" s="18"/>
    </row>
    <row r="790" customFormat="false" ht="15" hidden="false" customHeight="false" outlineLevel="0" collapsed="false">
      <c r="A790" s="18" t="s">
        <v>30</v>
      </c>
      <c r="B790" s="8" t="s">
        <v>31</v>
      </c>
      <c r="C790" s="9" t="n">
        <v>46136</v>
      </c>
      <c r="D790" s="8" t="n">
        <v>2026</v>
      </c>
      <c r="E790" s="8" t="n">
        <v>17</v>
      </c>
      <c r="F790" s="18" t="s">
        <v>125</v>
      </c>
      <c r="G790" s="8" t="s">
        <v>120</v>
      </c>
      <c r="H790" s="19" t="n">
        <v>0.333333333333333</v>
      </c>
      <c r="I790" s="19" t="n">
        <v>0.333333333333333</v>
      </c>
      <c r="J790" s="19" t="n">
        <v>0.708333333333333</v>
      </c>
      <c r="K790" s="19" t="n">
        <v>0.708333333333333</v>
      </c>
      <c r="L790" s="19" t="n">
        <v>0.333333333333333</v>
      </c>
      <c r="M790" s="19" t="n">
        <v>0.333333333333333</v>
      </c>
      <c r="N790" s="19" t="n">
        <v>0</v>
      </c>
      <c r="O790" s="19" t="n">
        <v>0</v>
      </c>
      <c r="P790" s="17" t="n">
        <f aca="false">IF(AND(ISNUMBER(H790),ISNUMBER(I790)),MAX(0,ROUND((I790-H790)*1440,0)-'Bilan agents'!$C$4),0)</f>
        <v>0</v>
      </c>
      <c r="Q790" s="8" t="str">
        <f aca="false">IF(H790="Congé","CP",IF(H790="Férié","F",IF(H790="OFF","R",IF(N790&gt;0,"A",IF(ISNUMBER(I790),"P","NR")))))</f>
        <v>P</v>
      </c>
      <c r="R790" s="18"/>
    </row>
    <row r="791" customFormat="false" ht="15" hidden="false" customHeight="false" outlineLevel="0" collapsed="false">
      <c r="A791" s="18" t="s">
        <v>30</v>
      </c>
      <c r="B791" s="8" t="s">
        <v>31</v>
      </c>
      <c r="C791" s="9" t="n">
        <v>46137</v>
      </c>
      <c r="D791" s="8" t="n">
        <v>2026</v>
      </c>
      <c r="E791" s="8" t="n">
        <v>17</v>
      </c>
      <c r="F791" s="18" t="s">
        <v>125</v>
      </c>
      <c r="G791" s="8" t="s">
        <v>121</v>
      </c>
      <c r="H791" s="19" t="s">
        <v>115</v>
      </c>
      <c r="I791" s="19"/>
      <c r="J791" s="19"/>
      <c r="K791" s="19"/>
      <c r="L791" s="19" t="n">
        <v>0</v>
      </c>
      <c r="M791" s="19"/>
      <c r="N791" s="19" t="n">
        <v>0</v>
      </c>
      <c r="O791" s="19" t="n">
        <v>0</v>
      </c>
      <c r="P791" s="17" t="n">
        <f aca="false">IF(AND(ISNUMBER(H791),ISNUMBER(I791)),MAX(0,ROUND((I791-H791)*1440,0)-'Bilan agents'!$C$4),0)</f>
        <v>0</v>
      </c>
      <c r="Q791" s="8" t="str">
        <f aca="false">IF(H791="Congé","CP",IF(H791="Férié","F",IF(H791="OFF","R",IF(N791&gt;0,"A",IF(ISNUMBER(I791),"P","NR")))))</f>
        <v>R</v>
      </c>
      <c r="R791" s="18"/>
    </row>
    <row r="792" customFormat="false" ht="15" hidden="false" customHeight="false" outlineLevel="0" collapsed="false">
      <c r="A792" s="18" t="s">
        <v>30</v>
      </c>
      <c r="B792" s="8" t="s">
        <v>31</v>
      </c>
      <c r="C792" s="9" t="n">
        <v>46138</v>
      </c>
      <c r="D792" s="8" t="n">
        <v>2026</v>
      </c>
      <c r="E792" s="8" t="n">
        <v>17</v>
      </c>
      <c r="F792" s="18" t="s">
        <v>125</v>
      </c>
      <c r="G792" s="8" t="s">
        <v>114</v>
      </c>
      <c r="H792" s="19" t="s">
        <v>115</v>
      </c>
      <c r="I792" s="19"/>
      <c r="J792" s="19"/>
      <c r="K792" s="19"/>
      <c r="L792" s="19" t="n">
        <v>0</v>
      </c>
      <c r="M792" s="19"/>
      <c r="N792" s="19" t="n">
        <v>0</v>
      </c>
      <c r="O792" s="19" t="n">
        <v>0</v>
      </c>
      <c r="P792" s="17" t="n">
        <f aca="false">IF(AND(ISNUMBER(H792),ISNUMBER(I792)),MAX(0,ROUND((I792-H792)*1440,0)-'Bilan agents'!$C$4),0)</f>
        <v>0</v>
      </c>
      <c r="Q792" s="8" t="str">
        <f aca="false">IF(H792="Congé","CP",IF(H792="Férié","F",IF(H792="OFF","R",IF(N792&gt;0,"A",IF(ISNUMBER(I792),"P","NR")))))</f>
        <v>R</v>
      </c>
      <c r="R792" s="18"/>
    </row>
    <row r="793" customFormat="false" ht="15" hidden="false" customHeight="false" outlineLevel="0" collapsed="false">
      <c r="A793" s="18" t="s">
        <v>30</v>
      </c>
      <c r="B793" s="8" t="s">
        <v>31</v>
      </c>
      <c r="C793" s="9" t="n">
        <v>46139</v>
      </c>
      <c r="D793" s="8" t="n">
        <v>2026</v>
      </c>
      <c r="E793" s="8" t="n">
        <v>18</v>
      </c>
      <c r="F793" s="18" t="s">
        <v>125</v>
      </c>
      <c r="G793" s="8" t="s">
        <v>116</v>
      </c>
      <c r="H793" s="19" t="n">
        <v>0.333333333333333</v>
      </c>
      <c r="I793" s="19" t="n">
        <v>0.331944444444444</v>
      </c>
      <c r="J793" s="19" t="n">
        <v>0.75</v>
      </c>
      <c r="K793" s="19" t="n">
        <v>0.75</v>
      </c>
      <c r="L793" s="19" t="n">
        <v>0.375</v>
      </c>
      <c r="M793" s="19" t="n">
        <v>0.375</v>
      </c>
      <c r="N793" s="19" t="n">
        <v>0</v>
      </c>
      <c r="O793" s="19" t="n">
        <v>0.00138888888888889</v>
      </c>
      <c r="P793" s="17" t="n">
        <f aca="false">IF(AND(ISNUMBER(H793),ISNUMBER(I793)),MAX(0,ROUND((I793-H793)*1440,0)-'Bilan agents'!$C$4),0)</f>
        <v>0</v>
      </c>
      <c r="Q793" s="8" t="str">
        <f aca="false">IF(H793="Congé","CP",IF(H793="Férié","F",IF(H793="OFF","R",IF(N793&gt;0,"A",IF(ISNUMBER(I793),"P","NR")))))</f>
        <v>P</v>
      </c>
      <c r="R793" s="18"/>
    </row>
    <row r="794" customFormat="false" ht="15" hidden="false" customHeight="false" outlineLevel="0" collapsed="false">
      <c r="A794" s="18" t="s">
        <v>30</v>
      </c>
      <c r="B794" s="8" t="s">
        <v>31</v>
      </c>
      <c r="C794" s="9" t="n">
        <v>46140</v>
      </c>
      <c r="D794" s="8" t="n">
        <v>2026</v>
      </c>
      <c r="E794" s="8" t="n">
        <v>18</v>
      </c>
      <c r="F794" s="18" t="s">
        <v>125</v>
      </c>
      <c r="G794" s="8" t="s">
        <v>117</v>
      </c>
      <c r="H794" s="19" t="n">
        <v>0.333333333333333</v>
      </c>
      <c r="I794" s="19" t="n">
        <v>0.333333333333333</v>
      </c>
      <c r="J794" s="19" t="n">
        <v>0.75</v>
      </c>
      <c r="K794" s="19" t="n">
        <v>0.75</v>
      </c>
      <c r="L794" s="19" t="n">
        <v>0.375</v>
      </c>
      <c r="M794" s="19" t="n">
        <v>0.375</v>
      </c>
      <c r="N794" s="19" t="n">
        <v>0</v>
      </c>
      <c r="O794" s="19" t="n">
        <v>0</v>
      </c>
      <c r="P794" s="17" t="n">
        <f aca="false">IF(AND(ISNUMBER(H794),ISNUMBER(I794)),MAX(0,ROUND((I794-H794)*1440,0)-'Bilan agents'!$C$4),0)</f>
        <v>0</v>
      </c>
      <c r="Q794" s="8" t="str">
        <f aca="false">IF(H794="Congé","CP",IF(H794="Férié","F",IF(H794="OFF","R",IF(N794&gt;0,"A",IF(ISNUMBER(I794),"P","NR")))))</f>
        <v>P</v>
      </c>
      <c r="R794" s="18"/>
    </row>
    <row r="795" customFormat="false" ht="15" hidden="false" customHeight="false" outlineLevel="0" collapsed="false">
      <c r="A795" s="18" t="s">
        <v>30</v>
      </c>
      <c r="B795" s="8" t="s">
        <v>31</v>
      </c>
      <c r="C795" s="9" t="n">
        <v>46141</v>
      </c>
      <c r="D795" s="8" t="n">
        <v>2026</v>
      </c>
      <c r="E795" s="8" t="n">
        <v>18</v>
      </c>
      <c r="F795" s="18" t="s">
        <v>125</v>
      </c>
      <c r="G795" s="8" t="s">
        <v>118</v>
      </c>
      <c r="H795" s="19" t="n">
        <v>0.333333333333333</v>
      </c>
      <c r="I795" s="19" t="n">
        <v>0.332638888888889</v>
      </c>
      <c r="J795" s="19" t="n">
        <v>0.75</v>
      </c>
      <c r="K795" s="19" t="n">
        <v>0.75</v>
      </c>
      <c r="L795" s="19" t="n">
        <v>0.375</v>
      </c>
      <c r="M795" s="19" t="n">
        <v>0.375</v>
      </c>
      <c r="N795" s="19" t="n">
        <v>0</v>
      </c>
      <c r="O795" s="19" t="n">
        <v>0</v>
      </c>
      <c r="P795" s="17" t="n">
        <f aca="false">IF(AND(ISNUMBER(H795),ISNUMBER(I795)),MAX(0,ROUND((I795-H795)*1440,0)-'Bilan agents'!$C$4),0)</f>
        <v>0</v>
      </c>
      <c r="Q795" s="8" t="str">
        <f aca="false">IF(H795="Congé","CP",IF(H795="Férié","F",IF(H795="OFF","R",IF(N795&gt;0,"A",IF(ISNUMBER(I795),"P","NR")))))</f>
        <v>P</v>
      </c>
      <c r="R795" s="18"/>
    </row>
    <row r="796" customFormat="false" ht="15" hidden="false" customHeight="false" outlineLevel="0" collapsed="false">
      <c r="A796" s="18" t="s">
        <v>30</v>
      </c>
      <c r="B796" s="8" t="s">
        <v>31</v>
      </c>
      <c r="C796" s="9" t="n">
        <v>46142</v>
      </c>
      <c r="D796" s="8" t="n">
        <v>2026</v>
      </c>
      <c r="E796" s="8" t="n">
        <v>18</v>
      </c>
      <c r="F796" s="18" t="s">
        <v>125</v>
      </c>
      <c r="G796" s="8" t="s">
        <v>119</v>
      </c>
      <c r="H796" s="19" t="n">
        <v>0.333333333333333</v>
      </c>
      <c r="I796" s="19" t="n">
        <v>0.331944444444444</v>
      </c>
      <c r="J796" s="19" t="n">
        <v>0.75</v>
      </c>
      <c r="K796" s="19" t="n">
        <v>0.75</v>
      </c>
      <c r="L796" s="19" t="n">
        <v>0.375</v>
      </c>
      <c r="M796" s="19" t="n">
        <v>0.375</v>
      </c>
      <c r="N796" s="19" t="n">
        <v>0</v>
      </c>
      <c r="O796" s="19" t="n">
        <v>0.00138888888888889</v>
      </c>
      <c r="P796" s="17" t="n">
        <f aca="false">IF(AND(ISNUMBER(H796),ISNUMBER(I796)),MAX(0,ROUND((I796-H796)*1440,0)-'Bilan agents'!$C$4),0)</f>
        <v>0</v>
      </c>
      <c r="Q796" s="8" t="str">
        <f aca="false">IF(H796="Congé","CP",IF(H796="Férié","F",IF(H796="OFF","R",IF(N796&gt;0,"A",IF(ISNUMBER(I796),"P","NR")))))</f>
        <v>P</v>
      </c>
      <c r="R796" s="18"/>
    </row>
    <row r="797" customFormat="false" ht="15" hidden="false" customHeight="false" outlineLevel="0" collapsed="false">
      <c r="A797" s="18" t="s">
        <v>30</v>
      </c>
      <c r="B797" s="8" t="s">
        <v>31</v>
      </c>
      <c r="C797" s="9" t="n">
        <v>46143</v>
      </c>
      <c r="D797" s="8" t="n">
        <v>2026</v>
      </c>
      <c r="E797" s="8" t="n">
        <v>18</v>
      </c>
      <c r="F797" s="18" t="s">
        <v>126</v>
      </c>
      <c r="G797" s="8" t="s">
        <v>120</v>
      </c>
      <c r="H797" s="19" t="s">
        <v>45</v>
      </c>
      <c r="I797" s="19"/>
      <c r="J797" s="19"/>
      <c r="K797" s="19"/>
      <c r="L797" s="19" t="n">
        <v>0</v>
      </c>
      <c r="M797" s="19"/>
      <c r="N797" s="19" t="n">
        <v>0</v>
      </c>
      <c r="O797" s="19" t="n">
        <v>0</v>
      </c>
      <c r="P797" s="17" t="n">
        <f aca="false">IF(AND(ISNUMBER(H797),ISNUMBER(I797)),MAX(0,ROUND((I797-H797)*1440,0)-'Bilan agents'!$C$4),0)</f>
        <v>0</v>
      </c>
      <c r="Q797" s="8" t="str">
        <f aca="false">IF(H797="Congé","CP",IF(H797="Férié","F",IF(H797="OFF","R",IF(N797&gt;0,"A",IF(ISNUMBER(I797),"P","NR")))))</f>
        <v>F</v>
      </c>
      <c r="R797" s="18"/>
    </row>
    <row r="798" customFormat="false" ht="15" hidden="false" customHeight="false" outlineLevel="0" collapsed="false">
      <c r="A798" s="18" t="s">
        <v>30</v>
      </c>
      <c r="B798" s="8" t="s">
        <v>31</v>
      </c>
      <c r="C798" s="9" t="n">
        <v>46144</v>
      </c>
      <c r="D798" s="8" t="n">
        <v>2026</v>
      </c>
      <c r="E798" s="8" t="n">
        <v>18</v>
      </c>
      <c r="F798" s="18" t="s">
        <v>126</v>
      </c>
      <c r="G798" s="8" t="s">
        <v>121</v>
      </c>
      <c r="H798" s="19" t="s">
        <v>115</v>
      </c>
      <c r="I798" s="19"/>
      <c r="J798" s="19"/>
      <c r="K798" s="19"/>
      <c r="L798" s="19" t="n">
        <v>0</v>
      </c>
      <c r="M798" s="19"/>
      <c r="N798" s="19" t="n">
        <v>0</v>
      </c>
      <c r="O798" s="19" t="n">
        <v>0</v>
      </c>
      <c r="P798" s="17" t="n">
        <f aca="false">IF(AND(ISNUMBER(H798),ISNUMBER(I798)),MAX(0,ROUND((I798-H798)*1440,0)-'Bilan agents'!$C$4),0)</f>
        <v>0</v>
      </c>
      <c r="Q798" s="8" t="str">
        <f aca="false">IF(H798="Congé","CP",IF(H798="Férié","F",IF(H798="OFF","R",IF(N798&gt;0,"A",IF(ISNUMBER(I798),"P","NR")))))</f>
        <v>R</v>
      </c>
      <c r="R798" s="18"/>
    </row>
    <row r="799" customFormat="false" ht="15" hidden="false" customHeight="false" outlineLevel="0" collapsed="false">
      <c r="A799" s="18" t="s">
        <v>30</v>
      </c>
      <c r="B799" s="8" t="s">
        <v>31</v>
      </c>
      <c r="C799" s="9" t="n">
        <v>46145</v>
      </c>
      <c r="D799" s="8" t="n">
        <v>2026</v>
      </c>
      <c r="E799" s="8" t="n">
        <v>18</v>
      </c>
      <c r="F799" s="18" t="s">
        <v>126</v>
      </c>
      <c r="G799" s="8" t="s">
        <v>114</v>
      </c>
      <c r="H799" s="19" t="s">
        <v>115</v>
      </c>
      <c r="I799" s="19"/>
      <c r="J799" s="19"/>
      <c r="K799" s="19"/>
      <c r="L799" s="19" t="n">
        <v>0</v>
      </c>
      <c r="M799" s="19"/>
      <c r="N799" s="19" t="n">
        <v>0</v>
      </c>
      <c r="O799" s="19" t="n">
        <v>0</v>
      </c>
      <c r="P799" s="17" t="n">
        <f aca="false">IF(AND(ISNUMBER(H799),ISNUMBER(I799)),MAX(0,ROUND((I799-H799)*1440,0)-'Bilan agents'!$C$4),0)</f>
        <v>0</v>
      </c>
      <c r="Q799" s="8" t="str">
        <f aca="false">IF(H799="Congé","CP",IF(H799="Férié","F",IF(H799="OFF","R",IF(N799&gt;0,"A",IF(ISNUMBER(I799),"P","NR")))))</f>
        <v>R</v>
      </c>
      <c r="R799" s="18"/>
    </row>
    <row r="800" customFormat="false" ht="15" hidden="false" customHeight="false" outlineLevel="0" collapsed="false">
      <c r="A800" s="18" t="s">
        <v>30</v>
      </c>
      <c r="B800" s="8" t="s">
        <v>31</v>
      </c>
      <c r="C800" s="9" t="n">
        <v>46146</v>
      </c>
      <c r="D800" s="8" t="n">
        <v>2026</v>
      </c>
      <c r="E800" s="8" t="n">
        <v>19</v>
      </c>
      <c r="F800" s="18" t="s">
        <v>126</v>
      </c>
      <c r="G800" s="8" t="s">
        <v>116</v>
      </c>
      <c r="H800" s="19" t="n">
        <v>0.333333333333333</v>
      </c>
      <c r="I800" s="19" t="n">
        <v>0.332638888888889</v>
      </c>
      <c r="J800" s="19" t="n">
        <v>0.75</v>
      </c>
      <c r="K800" s="19" t="n">
        <v>0.75</v>
      </c>
      <c r="L800" s="19" t="n">
        <v>0.375</v>
      </c>
      <c r="M800" s="19" t="n">
        <v>0.375</v>
      </c>
      <c r="N800" s="19" t="n">
        <v>0</v>
      </c>
      <c r="O800" s="19" t="n">
        <v>0</v>
      </c>
      <c r="P800" s="17" t="n">
        <f aca="false">IF(AND(ISNUMBER(H800),ISNUMBER(I800)),MAX(0,ROUND((I800-H800)*1440,0)-'Bilan agents'!$C$4),0)</f>
        <v>0</v>
      </c>
      <c r="Q800" s="8" t="str">
        <f aca="false">IF(H800="Congé","CP",IF(H800="Férié","F",IF(H800="OFF","R",IF(N800&gt;0,"A",IF(ISNUMBER(I800),"P","NR")))))</f>
        <v>P</v>
      </c>
      <c r="R800" s="18"/>
    </row>
    <row r="801" customFormat="false" ht="15" hidden="false" customHeight="false" outlineLevel="0" collapsed="false">
      <c r="A801" s="18" t="s">
        <v>30</v>
      </c>
      <c r="B801" s="8" t="s">
        <v>31</v>
      </c>
      <c r="C801" s="9" t="n">
        <v>46147</v>
      </c>
      <c r="D801" s="8" t="n">
        <v>2026</v>
      </c>
      <c r="E801" s="8" t="n">
        <v>19</v>
      </c>
      <c r="F801" s="18" t="s">
        <v>126</v>
      </c>
      <c r="G801" s="8" t="s">
        <v>117</v>
      </c>
      <c r="H801" s="19" t="n">
        <v>0.333333333333333</v>
      </c>
      <c r="I801" s="19" t="n">
        <v>0.329861111111111</v>
      </c>
      <c r="J801" s="19" t="n">
        <v>0.75</v>
      </c>
      <c r="K801" s="19" t="n">
        <v>0.75</v>
      </c>
      <c r="L801" s="19" t="n">
        <v>0.375</v>
      </c>
      <c r="M801" s="19" t="n">
        <v>0.375</v>
      </c>
      <c r="N801" s="19" t="n">
        <v>0</v>
      </c>
      <c r="O801" s="19" t="n">
        <v>0.00347222222222222</v>
      </c>
      <c r="P801" s="17" t="n">
        <f aca="false">IF(AND(ISNUMBER(H801),ISNUMBER(I801)),MAX(0,ROUND((I801-H801)*1440,0)-'Bilan agents'!$C$4),0)</f>
        <v>0</v>
      </c>
      <c r="Q801" s="8" t="str">
        <f aca="false">IF(H801="Congé","CP",IF(H801="Férié","F",IF(H801="OFF","R",IF(N801&gt;0,"A",IF(ISNUMBER(I801),"P","NR")))))</f>
        <v>P</v>
      </c>
      <c r="R801" s="18"/>
    </row>
    <row r="802" customFormat="false" ht="15" hidden="false" customHeight="false" outlineLevel="0" collapsed="false">
      <c r="A802" s="18" t="s">
        <v>30</v>
      </c>
      <c r="B802" s="8" t="s">
        <v>31</v>
      </c>
      <c r="C802" s="9" t="n">
        <v>46148</v>
      </c>
      <c r="D802" s="8" t="n">
        <v>2026</v>
      </c>
      <c r="E802" s="8" t="n">
        <v>19</v>
      </c>
      <c r="F802" s="18" t="s">
        <v>126</v>
      </c>
      <c r="G802" s="8" t="s">
        <v>118</v>
      </c>
      <c r="H802" s="19" t="n">
        <v>0.333333333333333</v>
      </c>
      <c r="I802" s="19" t="n">
        <v>0.333333333333333</v>
      </c>
      <c r="J802" s="19" t="n">
        <v>0.75</v>
      </c>
      <c r="K802" s="19" t="n">
        <v>0.75</v>
      </c>
      <c r="L802" s="19" t="n">
        <v>0.375</v>
      </c>
      <c r="M802" s="19" t="n">
        <v>0.375</v>
      </c>
      <c r="N802" s="19" t="n">
        <v>0</v>
      </c>
      <c r="O802" s="19" t="n">
        <v>0</v>
      </c>
      <c r="P802" s="17" t="n">
        <f aca="false">IF(AND(ISNUMBER(H802),ISNUMBER(I802)),MAX(0,ROUND((I802-H802)*1440,0)-'Bilan agents'!$C$4),0)</f>
        <v>0</v>
      </c>
      <c r="Q802" s="8" t="str">
        <f aca="false">IF(H802="Congé","CP",IF(H802="Férié","F",IF(H802="OFF","R",IF(N802&gt;0,"A",IF(ISNUMBER(I802),"P","NR")))))</f>
        <v>P</v>
      </c>
      <c r="R802" s="18"/>
    </row>
    <row r="803" customFormat="false" ht="15" hidden="false" customHeight="false" outlineLevel="0" collapsed="false">
      <c r="A803" s="18" t="s">
        <v>30</v>
      </c>
      <c r="B803" s="8" t="s">
        <v>31</v>
      </c>
      <c r="C803" s="9" t="n">
        <v>46149</v>
      </c>
      <c r="D803" s="8" t="n">
        <v>2026</v>
      </c>
      <c r="E803" s="8" t="n">
        <v>19</v>
      </c>
      <c r="F803" s="18" t="s">
        <v>126</v>
      </c>
      <c r="G803" s="8" t="s">
        <v>119</v>
      </c>
      <c r="H803" s="19" t="n">
        <v>0.333333333333333</v>
      </c>
      <c r="I803" s="19" t="n">
        <v>0.331944444444444</v>
      </c>
      <c r="J803" s="19" t="n">
        <v>0.75</v>
      </c>
      <c r="K803" s="19" t="n">
        <v>0.75</v>
      </c>
      <c r="L803" s="19" t="n">
        <v>0.375</v>
      </c>
      <c r="M803" s="19" t="n">
        <v>0.375</v>
      </c>
      <c r="N803" s="19" t="n">
        <v>0</v>
      </c>
      <c r="O803" s="19" t="n">
        <v>0.00138888888888889</v>
      </c>
      <c r="P803" s="17" t="n">
        <f aca="false">IF(AND(ISNUMBER(H803),ISNUMBER(I803)),MAX(0,ROUND((I803-H803)*1440,0)-'Bilan agents'!$C$4),0)</f>
        <v>0</v>
      </c>
      <c r="Q803" s="8" t="str">
        <f aca="false">IF(H803="Congé","CP",IF(H803="Férié","F",IF(H803="OFF","R",IF(N803&gt;0,"A",IF(ISNUMBER(I803),"P","NR")))))</f>
        <v>P</v>
      </c>
      <c r="R803" s="18"/>
    </row>
    <row r="804" customFormat="false" ht="15" hidden="false" customHeight="false" outlineLevel="0" collapsed="false">
      <c r="A804" s="18" t="s">
        <v>30</v>
      </c>
      <c r="B804" s="8" t="s">
        <v>31</v>
      </c>
      <c r="C804" s="9" t="n">
        <v>46150</v>
      </c>
      <c r="D804" s="8" t="n">
        <v>2026</v>
      </c>
      <c r="E804" s="8" t="n">
        <v>19</v>
      </c>
      <c r="F804" s="18" t="s">
        <v>126</v>
      </c>
      <c r="G804" s="8" t="s">
        <v>120</v>
      </c>
      <c r="H804" s="19" t="s">
        <v>115</v>
      </c>
      <c r="I804" s="19"/>
      <c r="J804" s="19"/>
      <c r="K804" s="19"/>
      <c r="L804" s="19" t="n">
        <v>0</v>
      </c>
      <c r="M804" s="19"/>
      <c r="N804" s="19" t="n">
        <v>0</v>
      </c>
      <c r="O804" s="19" t="n">
        <v>0</v>
      </c>
      <c r="P804" s="17" t="n">
        <f aca="false">IF(AND(ISNUMBER(H804),ISNUMBER(I804)),MAX(0,ROUND((I804-H804)*1440,0)-'Bilan agents'!$C$4),0)</f>
        <v>0</v>
      </c>
      <c r="Q804" s="8" t="str">
        <f aca="false">IF(H804="Congé","CP",IF(H804="Férié","F",IF(H804="OFF","R",IF(N804&gt;0,"A",IF(ISNUMBER(I804),"P","NR")))))</f>
        <v>R</v>
      </c>
      <c r="R804" s="18"/>
    </row>
    <row r="805" customFormat="false" ht="15" hidden="false" customHeight="false" outlineLevel="0" collapsed="false">
      <c r="A805" s="18" t="s">
        <v>30</v>
      </c>
      <c r="B805" s="8" t="s">
        <v>31</v>
      </c>
      <c r="C805" s="9" t="n">
        <v>46151</v>
      </c>
      <c r="D805" s="8" t="n">
        <v>2026</v>
      </c>
      <c r="E805" s="8" t="n">
        <v>19</v>
      </c>
      <c r="F805" s="18" t="s">
        <v>126</v>
      </c>
      <c r="G805" s="8" t="s">
        <v>121</v>
      </c>
      <c r="H805" s="19" t="s">
        <v>115</v>
      </c>
      <c r="I805" s="19"/>
      <c r="J805" s="19"/>
      <c r="K805" s="19"/>
      <c r="L805" s="19" t="n">
        <v>0</v>
      </c>
      <c r="M805" s="19"/>
      <c r="N805" s="19" t="n">
        <v>0</v>
      </c>
      <c r="O805" s="19" t="n">
        <v>0</v>
      </c>
      <c r="P805" s="17" t="n">
        <f aca="false">IF(AND(ISNUMBER(H805),ISNUMBER(I805)),MAX(0,ROUND((I805-H805)*1440,0)-'Bilan agents'!$C$4),0)</f>
        <v>0</v>
      </c>
      <c r="Q805" s="8" t="str">
        <f aca="false">IF(H805="Congé","CP",IF(H805="Férié","F",IF(H805="OFF","R",IF(N805&gt;0,"A",IF(ISNUMBER(I805),"P","NR")))))</f>
        <v>R</v>
      </c>
      <c r="R805" s="18"/>
    </row>
    <row r="806" customFormat="false" ht="15" hidden="false" customHeight="false" outlineLevel="0" collapsed="false">
      <c r="A806" s="18" t="s">
        <v>30</v>
      </c>
      <c r="B806" s="8" t="s">
        <v>31</v>
      </c>
      <c r="C806" s="9" t="n">
        <v>46152</v>
      </c>
      <c r="D806" s="8" t="n">
        <v>2026</v>
      </c>
      <c r="E806" s="8" t="n">
        <v>19</v>
      </c>
      <c r="F806" s="18" t="s">
        <v>126</v>
      </c>
      <c r="G806" s="8" t="s">
        <v>114</v>
      </c>
      <c r="H806" s="19" t="s">
        <v>115</v>
      </c>
      <c r="I806" s="19"/>
      <c r="J806" s="19"/>
      <c r="K806" s="19"/>
      <c r="L806" s="19" t="n">
        <v>0</v>
      </c>
      <c r="M806" s="19"/>
      <c r="N806" s="19" t="n">
        <v>0</v>
      </c>
      <c r="O806" s="19" t="n">
        <v>0</v>
      </c>
      <c r="P806" s="17" t="n">
        <f aca="false">IF(AND(ISNUMBER(H806),ISNUMBER(I806)),MAX(0,ROUND((I806-H806)*1440,0)-'Bilan agents'!$C$4),0)</f>
        <v>0</v>
      </c>
      <c r="Q806" s="8" t="str">
        <f aca="false">IF(H806="Congé","CP",IF(H806="Férié","F",IF(H806="OFF","R",IF(N806&gt;0,"A",IF(ISNUMBER(I806),"P","NR")))))</f>
        <v>R</v>
      </c>
      <c r="R806" s="18"/>
    </row>
    <row r="807" customFormat="false" ht="15" hidden="false" customHeight="false" outlineLevel="0" collapsed="false">
      <c r="A807" s="18" t="s">
        <v>30</v>
      </c>
      <c r="B807" s="8" t="s">
        <v>31</v>
      </c>
      <c r="C807" s="9" t="n">
        <v>46153</v>
      </c>
      <c r="D807" s="8" t="n">
        <v>2026</v>
      </c>
      <c r="E807" s="8" t="n">
        <v>20</v>
      </c>
      <c r="F807" s="18" t="s">
        <v>126</v>
      </c>
      <c r="G807" s="8" t="s">
        <v>116</v>
      </c>
      <c r="H807" s="19" t="n">
        <v>0.333333333333333</v>
      </c>
      <c r="I807" s="19" t="n">
        <v>0.33125</v>
      </c>
      <c r="J807" s="19" t="n">
        <v>0.75</v>
      </c>
      <c r="K807" s="19" t="n">
        <v>0.75</v>
      </c>
      <c r="L807" s="19" t="n">
        <v>0.375</v>
      </c>
      <c r="M807" s="19" t="n">
        <v>0.375</v>
      </c>
      <c r="N807" s="19" t="n">
        <v>0</v>
      </c>
      <c r="O807" s="19" t="n">
        <v>0.00208333333333333</v>
      </c>
      <c r="P807" s="17" t="n">
        <f aca="false">IF(AND(ISNUMBER(H807),ISNUMBER(I807)),MAX(0,ROUND((I807-H807)*1440,0)-'Bilan agents'!$C$4),0)</f>
        <v>0</v>
      </c>
      <c r="Q807" s="8" t="str">
        <f aca="false">IF(H807="Congé","CP",IF(H807="Férié","F",IF(H807="OFF","R",IF(N807&gt;0,"A",IF(ISNUMBER(I807),"P","NR")))))</f>
        <v>P</v>
      </c>
      <c r="R807" s="18"/>
    </row>
    <row r="808" customFormat="false" ht="15" hidden="false" customHeight="false" outlineLevel="0" collapsed="false">
      <c r="A808" s="18" t="s">
        <v>30</v>
      </c>
      <c r="B808" s="8" t="s">
        <v>31</v>
      </c>
      <c r="C808" s="9" t="n">
        <v>46154</v>
      </c>
      <c r="D808" s="8" t="n">
        <v>2026</v>
      </c>
      <c r="E808" s="8" t="n">
        <v>20</v>
      </c>
      <c r="F808" s="18" t="s">
        <v>126</v>
      </c>
      <c r="G808" s="8" t="s">
        <v>117</v>
      </c>
      <c r="H808" s="19" t="n">
        <v>0.333333333333333</v>
      </c>
      <c r="I808" s="19" t="n">
        <v>0.33125</v>
      </c>
      <c r="J808" s="19" t="n">
        <v>0.75</v>
      </c>
      <c r="K808" s="19" t="n">
        <v>0.75</v>
      </c>
      <c r="L808" s="19" t="n">
        <v>0.375</v>
      </c>
      <c r="M808" s="19" t="n">
        <v>0.375</v>
      </c>
      <c r="N808" s="19" t="n">
        <v>0</v>
      </c>
      <c r="O808" s="19" t="n">
        <v>0.00208333333333333</v>
      </c>
      <c r="P808" s="17" t="n">
        <f aca="false">IF(AND(ISNUMBER(H808),ISNUMBER(I808)),MAX(0,ROUND((I808-H808)*1440,0)-'Bilan agents'!$C$4),0)</f>
        <v>0</v>
      </c>
      <c r="Q808" s="8" t="str">
        <f aca="false">IF(H808="Congé","CP",IF(H808="Férié","F",IF(H808="OFF","R",IF(N808&gt;0,"A",IF(ISNUMBER(I808),"P","NR")))))</f>
        <v>P</v>
      </c>
      <c r="R808" s="18"/>
    </row>
    <row r="809" customFormat="false" ht="15" hidden="false" customHeight="false" outlineLevel="0" collapsed="false">
      <c r="A809" s="18" t="s">
        <v>30</v>
      </c>
      <c r="B809" s="8" t="s">
        <v>31</v>
      </c>
      <c r="C809" s="9" t="n">
        <v>46155</v>
      </c>
      <c r="D809" s="8" t="n">
        <v>2026</v>
      </c>
      <c r="E809" s="8" t="n">
        <v>20</v>
      </c>
      <c r="F809" s="18" t="s">
        <v>126</v>
      </c>
      <c r="G809" s="8" t="s">
        <v>118</v>
      </c>
      <c r="H809" s="19" t="s">
        <v>43</v>
      </c>
      <c r="I809" s="19"/>
      <c r="J809" s="19"/>
      <c r="K809" s="19"/>
      <c r="L809" s="19" t="n">
        <v>0</v>
      </c>
      <c r="M809" s="19"/>
      <c r="N809" s="19" t="n">
        <v>0</v>
      </c>
      <c r="O809" s="19" t="n">
        <v>0</v>
      </c>
      <c r="P809" s="17" t="n">
        <f aca="false">IF(AND(ISNUMBER(H809),ISNUMBER(I809)),MAX(0,ROUND((I809-H809)*1440,0)-'Bilan agents'!$C$4),0)</f>
        <v>0</v>
      </c>
      <c r="Q809" s="8" t="str">
        <f aca="false">IF(H809="Congé","CP",IF(H809="Férié","F",IF(H809="OFF","R",IF(N809&gt;0,"A",IF(ISNUMBER(I809),"P","NR")))))</f>
        <v>CP</v>
      </c>
      <c r="R809" s="18"/>
    </row>
    <row r="810" customFormat="false" ht="15" hidden="false" customHeight="false" outlineLevel="0" collapsed="false">
      <c r="A810" s="18" t="s">
        <v>30</v>
      </c>
      <c r="B810" s="8" t="s">
        <v>31</v>
      </c>
      <c r="C810" s="9" t="n">
        <v>46156</v>
      </c>
      <c r="D810" s="8" t="n">
        <v>2026</v>
      </c>
      <c r="E810" s="8" t="n">
        <v>20</v>
      </c>
      <c r="F810" s="18" t="s">
        <v>126</v>
      </c>
      <c r="G810" s="8" t="s">
        <v>119</v>
      </c>
      <c r="H810" s="19" t="s">
        <v>115</v>
      </c>
      <c r="I810" s="19"/>
      <c r="J810" s="19"/>
      <c r="K810" s="19"/>
      <c r="L810" s="19" t="n">
        <v>0</v>
      </c>
      <c r="M810" s="19"/>
      <c r="N810" s="19" t="n">
        <v>0</v>
      </c>
      <c r="O810" s="19" t="n">
        <v>0</v>
      </c>
      <c r="P810" s="17" t="n">
        <f aca="false">IF(AND(ISNUMBER(H810),ISNUMBER(I810)),MAX(0,ROUND((I810-H810)*1440,0)-'Bilan agents'!$C$4),0)</f>
        <v>0</v>
      </c>
      <c r="Q810" s="8" t="str">
        <f aca="false">IF(H810="Congé","CP",IF(H810="Férié","F",IF(H810="OFF","R",IF(N810&gt;0,"A",IF(ISNUMBER(I810),"P","NR")))))</f>
        <v>R</v>
      </c>
      <c r="R810" s="18"/>
    </row>
    <row r="811" customFormat="false" ht="15" hidden="false" customHeight="false" outlineLevel="0" collapsed="false">
      <c r="A811" s="18" t="s">
        <v>30</v>
      </c>
      <c r="B811" s="8" t="s">
        <v>31</v>
      </c>
      <c r="C811" s="9" t="n">
        <v>46157</v>
      </c>
      <c r="D811" s="8" t="n">
        <v>2026</v>
      </c>
      <c r="E811" s="8" t="n">
        <v>20</v>
      </c>
      <c r="F811" s="18" t="s">
        <v>126</v>
      </c>
      <c r="G811" s="8" t="s">
        <v>120</v>
      </c>
      <c r="H811" s="19" t="s">
        <v>43</v>
      </c>
      <c r="I811" s="19"/>
      <c r="J811" s="19"/>
      <c r="K811" s="19"/>
      <c r="L811" s="19" t="n">
        <v>0</v>
      </c>
      <c r="M811" s="19"/>
      <c r="N811" s="19" t="n">
        <v>0</v>
      </c>
      <c r="O811" s="19" t="n">
        <v>0</v>
      </c>
      <c r="P811" s="17" t="n">
        <f aca="false">IF(AND(ISNUMBER(H811),ISNUMBER(I811)),MAX(0,ROUND((I811-H811)*1440,0)-'Bilan agents'!$C$4),0)</f>
        <v>0</v>
      </c>
      <c r="Q811" s="8" t="str">
        <f aca="false">IF(H811="Congé","CP",IF(H811="Férié","F",IF(H811="OFF","R",IF(N811&gt;0,"A",IF(ISNUMBER(I811),"P","NR")))))</f>
        <v>CP</v>
      </c>
      <c r="R811" s="18"/>
    </row>
    <row r="812" customFormat="false" ht="15" hidden="false" customHeight="false" outlineLevel="0" collapsed="false">
      <c r="A812" s="18" t="s">
        <v>30</v>
      </c>
      <c r="B812" s="8" t="s">
        <v>31</v>
      </c>
      <c r="C812" s="9" t="n">
        <v>46158</v>
      </c>
      <c r="D812" s="8" t="n">
        <v>2026</v>
      </c>
      <c r="E812" s="8" t="n">
        <v>20</v>
      </c>
      <c r="F812" s="18" t="s">
        <v>126</v>
      </c>
      <c r="G812" s="8" t="s">
        <v>121</v>
      </c>
      <c r="H812" s="19" t="s">
        <v>115</v>
      </c>
      <c r="I812" s="19"/>
      <c r="J812" s="19"/>
      <c r="K812" s="19"/>
      <c r="L812" s="19" t="n">
        <v>0</v>
      </c>
      <c r="M812" s="19"/>
      <c r="N812" s="19" t="n">
        <v>0</v>
      </c>
      <c r="O812" s="19" t="n">
        <v>0</v>
      </c>
      <c r="P812" s="17" t="n">
        <f aca="false">IF(AND(ISNUMBER(H812),ISNUMBER(I812)),MAX(0,ROUND((I812-H812)*1440,0)-'Bilan agents'!$C$4),0)</f>
        <v>0</v>
      </c>
      <c r="Q812" s="8" t="str">
        <f aca="false">IF(H812="Congé","CP",IF(H812="Férié","F",IF(H812="OFF","R",IF(N812&gt;0,"A",IF(ISNUMBER(I812),"P","NR")))))</f>
        <v>R</v>
      </c>
      <c r="R812" s="18"/>
    </row>
    <row r="813" customFormat="false" ht="15" hidden="false" customHeight="false" outlineLevel="0" collapsed="false">
      <c r="A813" s="18" t="s">
        <v>30</v>
      </c>
      <c r="B813" s="8" t="s">
        <v>31</v>
      </c>
      <c r="C813" s="9" t="n">
        <v>46159</v>
      </c>
      <c r="D813" s="8" t="n">
        <v>2026</v>
      </c>
      <c r="E813" s="8" t="n">
        <v>20</v>
      </c>
      <c r="F813" s="18" t="s">
        <v>126</v>
      </c>
      <c r="G813" s="8" t="s">
        <v>114</v>
      </c>
      <c r="H813" s="19" t="s">
        <v>115</v>
      </c>
      <c r="I813" s="19"/>
      <c r="J813" s="19"/>
      <c r="K813" s="19"/>
      <c r="L813" s="19" t="n">
        <v>0</v>
      </c>
      <c r="M813" s="19"/>
      <c r="N813" s="19" t="n">
        <v>0</v>
      </c>
      <c r="O813" s="19" t="n">
        <v>0</v>
      </c>
      <c r="P813" s="17" t="n">
        <f aca="false">IF(AND(ISNUMBER(H813),ISNUMBER(I813)),MAX(0,ROUND((I813-H813)*1440,0)-'Bilan agents'!$C$4),0)</f>
        <v>0</v>
      </c>
      <c r="Q813" s="8" t="str">
        <f aca="false">IF(H813="Congé","CP",IF(H813="Férié","F",IF(H813="OFF","R",IF(N813&gt;0,"A",IF(ISNUMBER(I813),"P","NR")))))</f>
        <v>R</v>
      </c>
      <c r="R813" s="18"/>
    </row>
    <row r="814" customFormat="false" ht="15" hidden="false" customHeight="false" outlineLevel="0" collapsed="false">
      <c r="A814" s="18" t="s">
        <v>30</v>
      </c>
      <c r="B814" s="8" t="s">
        <v>31</v>
      </c>
      <c r="C814" s="9" t="n">
        <v>46160</v>
      </c>
      <c r="D814" s="8" t="n">
        <v>2026</v>
      </c>
      <c r="E814" s="8" t="n">
        <v>21</v>
      </c>
      <c r="F814" s="18" t="s">
        <v>126</v>
      </c>
      <c r="G814" s="8" t="s">
        <v>116</v>
      </c>
      <c r="H814" s="19" t="n">
        <v>0.333333333333333</v>
      </c>
      <c r="I814" s="19" t="n">
        <v>0.338888888888889</v>
      </c>
      <c r="J814" s="19" t="n">
        <v>0.75</v>
      </c>
      <c r="K814" s="19" t="n">
        <v>0.75</v>
      </c>
      <c r="L814" s="19" t="n">
        <v>0.375</v>
      </c>
      <c r="M814" s="19" t="n">
        <v>0.375</v>
      </c>
      <c r="N814" s="19" t="n">
        <v>0</v>
      </c>
      <c r="O814" s="19" t="n">
        <v>0</v>
      </c>
      <c r="P814" s="17" t="n">
        <f aca="false">IF(AND(ISNUMBER(H814),ISNUMBER(I814)),MAX(0,ROUND((I814-H814)*1440,0)-'Bilan agents'!$C$4),0)</f>
        <v>8</v>
      </c>
      <c r="Q814" s="8" t="str">
        <f aca="false">IF(H814="Congé","CP",IF(H814="Férié","F",IF(H814="OFF","R",IF(N814&gt;0,"A",IF(ISNUMBER(I814),"P","NR")))))</f>
        <v>P</v>
      </c>
      <c r="R814" s="18"/>
    </row>
    <row r="815" customFormat="false" ht="15" hidden="false" customHeight="false" outlineLevel="0" collapsed="false">
      <c r="A815" s="18" t="s">
        <v>30</v>
      </c>
      <c r="B815" s="8" t="s">
        <v>31</v>
      </c>
      <c r="C815" s="9" t="n">
        <v>46161</v>
      </c>
      <c r="D815" s="8" t="n">
        <v>2026</v>
      </c>
      <c r="E815" s="8" t="n">
        <v>21</v>
      </c>
      <c r="F815" s="18" t="s">
        <v>126</v>
      </c>
      <c r="G815" s="8" t="s">
        <v>117</v>
      </c>
      <c r="H815" s="19" t="n">
        <v>0.333333333333333</v>
      </c>
      <c r="I815" s="19" t="n">
        <v>0.333333333333333</v>
      </c>
      <c r="J815" s="19" t="n">
        <v>0.75</v>
      </c>
      <c r="K815" s="19" t="n">
        <v>0.75</v>
      </c>
      <c r="L815" s="19" t="n">
        <v>0.375</v>
      </c>
      <c r="M815" s="19" t="n">
        <v>0.375</v>
      </c>
      <c r="N815" s="19" t="n">
        <v>0</v>
      </c>
      <c r="O815" s="19" t="n">
        <v>0</v>
      </c>
      <c r="P815" s="17" t="n">
        <f aca="false">IF(AND(ISNUMBER(H815),ISNUMBER(I815)),MAX(0,ROUND((I815-H815)*1440,0)-'Bilan agents'!$C$4),0)</f>
        <v>0</v>
      </c>
      <c r="Q815" s="8" t="str">
        <f aca="false">IF(H815="Congé","CP",IF(H815="Férié","F",IF(H815="OFF","R",IF(N815&gt;0,"A",IF(ISNUMBER(I815),"P","NR")))))</f>
        <v>P</v>
      </c>
      <c r="R815" s="18"/>
    </row>
    <row r="816" customFormat="false" ht="15" hidden="false" customHeight="false" outlineLevel="0" collapsed="false">
      <c r="A816" s="18" t="s">
        <v>30</v>
      </c>
      <c r="B816" s="8" t="s">
        <v>31</v>
      </c>
      <c r="C816" s="9" t="n">
        <v>46162</v>
      </c>
      <c r="D816" s="8" t="n">
        <v>2026</v>
      </c>
      <c r="E816" s="8" t="n">
        <v>21</v>
      </c>
      <c r="F816" s="18" t="s">
        <v>126</v>
      </c>
      <c r="G816" s="8" t="s">
        <v>118</v>
      </c>
      <c r="H816" s="19" t="n">
        <v>0.333333333333333</v>
      </c>
      <c r="I816" s="19" t="n">
        <v>0.333333333333333</v>
      </c>
      <c r="J816" s="19" t="n">
        <v>0.75</v>
      </c>
      <c r="K816" s="19" t="n">
        <v>0.75</v>
      </c>
      <c r="L816" s="19" t="n">
        <v>0.375</v>
      </c>
      <c r="M816" s="19" t="n">
        <v>0.375</v>
      </c>
      <c r="N816" s="19" t="n">
        <v>0</v>
      </c>
      <c r="O816" s="19" t="n">
        <v>0</v>
      </c>
      <c r="P816" s="17" t="n">
        <f aca="false">IF(AND(ISNUMBER(H816),ISNUMBER(I816)),MAX(0,ROUND((I816-H816)*1440,0)-'Bilan agents'!$C$4),0)</f>
        <v>0</v>
      </c>
      <c r="Q816" s="8" t="str">
        <f aca="false">IF(H816="Congé","CP",IF(H816="Férié","F",IF(H816="OFF","R",IF(N816&gt;0,"A",IF(ISNUMBER(I816),"P","NR")))))</f>
        <v>P</v>
      </c>
      <c r="R816" s="18"/>
    </row>
    <row r="817" customFormat="false" ht="15" hidden="false" customHeight="false" outlineLevel="0" collapsed="false">
      <c r="A817" s="18" t="s">
        <v>30</v>
      </c>
      <c r="B817" s="8" t="s">
        <v>31</v>
      </c>
      <c r="C817" s="9" t="n">
        <v>46163</v>
      </c>
      <c r="D817" s="8" t="n">
        <v>2026</v>
      </c>
      <c r="E817" s="8" t="n">
        <v>21</v>
      </c>
      <c r="F817" s="18" t="s">
        <v>126</v>
      </c>
      <c r="G817" s="8" t="s">
        <v>119</v>
      </c>
      <c r="H817" s="19" t="n">
        <v>0.333333333333333</v>
      </c>
      <c r="I817" s="19" t="n">
        <v>0.333333333333333</v>
      </c>
      <c r="J817" s="19" t="n">
        <v>0.75</v>
      </c>
      <c r="K817" s="19" t="n">
        <v>0.75</v>
      </c>
      <c r="L817" s="19" t="n">
        <v>0.375</v>
      </c>
      <c r="M817" s="19" t="n">
        <v>0.375</v>
      </c>
      <c r="N817" s="19" t="n">
        <v>0</v>
      </c>
      <c r="O817" s="19" t="n">
        <v>0</v>
      </c>
      <c r="P817" s="17" t="n">
        <f aca="false">IF(AND(ISNUMBER(H817),ISNUMBER(I817)),MAX(0,ROUND((I817-H817)*1440,0)-'Bilan agents'!$C$4),0)</f>
        <v>0</v>
      </c>
      <c r="Q817" s="8" t="str">
        <f aca="false">IF(H817="Congé","CP",IF(H817="Férié","F",IF(H817="OFF","R",IF(N817&gt;0,"A",IF(ISNUMBER(I817),"P","NR")))))</f>
        <v>P</v>
      </c>
      <c r="R817" s="18"/>
    </row>
    <row r="818" customFormat="false" ht="15" hidden="false" customHeight="false" outlineLevel="0" collapsed="false">
      <c r="A818" s="18" t="s">
        <v>30</v>
      </c>
      <c r="B818" s="8" t="s">
        <v>31</v>
      </c>
      <c r="C818" s="9" t="n">
        <v>46164</v>
      </c>
      <c r="D818" s="8" t="n">
        <v>2026</v>
      </c>
      <c r="E818" s="8" t="n">
        <v>21</v>
      </c>
      <c r="F818" s="18" t="s">
        <v>126</v>
      </c>
      <c r="G818" s="8" t="s">
        <v>120</v>
      </c>
      <c r="H818" s="19" t="n">
        <v>0.333333333333333</v>
      </c>
      <c r="I818" s="19" t="n">
        <v>0.333333333333333</v>
      </c>
      <c r="J818" s="19" t="n">
        <v>0.708333333333333</v>
      </c>
      <c r="K818" s="19" t="n">
        <v>0.708333333333333</v>
      </c>
      <c r="L818" s="19" t="n">
        <v>0.333333333333333</v>
      </c>
      <c r="M818" s="19" t="n">
        <v>0.333333333333333</v>
      </c>
      <c r="N818" s="19" t="n">
        <v>0</v>
      </c>
      <c r="O818" s="19" t="n">
        <v>0</v>
      </c>
      <c r="P818" s="17" t="n">
        <f aca="false">IF(AND(ISNUMBER(H818),ISNUMBER(I818)),MAX(0,ROUND((I818-H818)*1440,0)-'Bilan agents'!$C$4),0)</f>
        <v>0</v>
      </c>
      <c r="Q818" s="8" t="str">
        <f aca="false">IF(H818="Congé","CP",IF(H818="Férié","F",IF(H818="OFF","R",IF(N818&gt;0,"A",IF(ISNUMBER(I818),"P","NR")))))</f>
        <v>P</v>
      </c>
      <c r="R818" s="18"/>
    </row>
    <row r="819" customFormat="false" ht="15" hidden="false" customHeight="false" outlineLevel="0" collapsed="false">
      <c r="A819" s="18" t="s">
        <v>30</v>
      </c>
      <c r="B819" s="8" t="s">
        <v>31</v>
      </c>
      <c r="C819" s="9" t="n">
        <v>46165</v>
      </c>
      <c r="D819" s="8" t="n">
        <v>2026</v>
      </c>
      <c r="E819" s="8" t="n">
        <v>21</v>
      </c>
      <c r="F819" s="18" t="s">
        <v>126</v>
      </c>
      <c r="G819" s="8" t="s">
        <v>121</v>
      </c>
      <c r="H819" s="19" t="s">
        <v>115</v>
      </c>
      <c r="I819" s="19"/>
      <c r="J819" s="19"/>
      <c r="K819" s="19"/>
      <c r="L819" s="19" t="n">
        <v>0</v>
      </c>
      <c r="M819" s="19"/>
      <c r="N819" s="19" t="n">
        <v>0</v>
      </c>
      <c r="O819" s="19" t="n">
        <v>0</v>
      </c>
      <c r="P819" s="17" t="n">
        <f aca="false">IF(AND(ISNUMBER(H819),ISNUMBER(I819)),MAX(0,ROUND((I819-H819)*1440,0)-'Bilan agents'!$C$4),0)</f>
        <v>0</v>
      </c>
      <c r="Q819" s="8" t="str">
        <f aca="false">IF(H819="Congé","CP",IF(H819="Férié","F",IF(H819="OFF","R",IF(N819&gt;0,"A",IF(ISNUMBER(I819),"P","NR")))))</f>
        <v>R</v>
      </c>
      <c r="R819" s="18"/>
    </row>
    <row r="820" customFormat="false" ht="15" hidden="false" customHeight="false" outlineLevel="0" collapsed="false">
      <c r="A820" s="18" t="s">
        <v>30</v>
      </c>
      <c r="B820" s="8" t="s">
        <v>31</v>
      </c>
      <c r="C820" s="9" t="n">
        <v>46166</v>
      </c>
      <c r="D820" s="8" t="n">
        <v>2026</v>
      </c>
      <c r="E820" s="8" t="n">
        <v>21</v>
      </c>
      <c r="F820" s="18" t="s">
        <v>126</v>
      </c>
      <c r="G820" s="8" t="s">
        <v>114</v>
      </c>
      <c r="H820" s="19" t="s">
        <v>115</v>
      </c>
      <c r="I820" s="19"/>
      <c r="J820" s="19"/>
      <c r="K820" s="19"/>
      <c r="L820" s="19" t="n">
        <v>0</v>
      </c>
      <c r="M820" s="19"/>
      <c r="N820" s="19" t="n">
        <v>0</v>
      </c>
      <c r="O820" s="19" t="n">
        <v>0</v>
      </c>
      <c r="P820" s="17" t="n">
        <f aca="false">IF(AND(ISNUMBER(H820),ISNUMBER(I820)),MAX(0,ROUND((I820-H820)*1440,0)-'Bilan agents'!$C$4),0)</f>
        <v>0</v>
      </c>
      <c r="Q820" s="8" t="str">
        <f aca="false">IF(H820="Congé","CP",IF(H820="Férié","F",IF(H820="OFF","R",IF(N820&gt;0,"A",IF(ISNUMBER(I820),"P","NR")))))</f>
        <v>R</v>
      </c>
      <c r="R820" s="18"/>
    </row>
    <row r="821" customFormat="false" ht="15" hidden="false" customHeight="false" outlineLevel="0" collapsed="false">
      <c r="A821" s="18" t="s">
        <v>30</v>
      </c>
      <c r="B821" s="8" t="s">
        <v>31</v>
      </c>
      <c r="C821" s="9" t="n">
        <v>46167</v>
      </c>
      <c r="D821" s="8" t="n">
        <v>2026</v>
      </c>
      <c r="E821" s="8" t="n">
        <v>22</v>
      </c>
      <c r="F821" s="18" t="s">
        <v>126</v>
      </c>
      <c r="G821" s="8" t="s">
        <v>116</v>
      </c>
      <c r="H821" s="19" t="s">
        <v>115</v>
      </c>
      <c r="I821" s="19"/>
      <c r="J821" s="19"/>
      <c r="K821" s="19"/>
      <c r="L821" s="19" t="n">
        <v>0</v>
      </c>
      <c r="M821" s="19"/>
      <c r="N821" s="19" t="n">
        <v>0</v>
      </c>
      <c r="O821" s="19" t="n">
        <v>0</v>
      </c>
      <c r="P821" s="17" t="n">
        <f aca="false">IF(AND(ISNUMBER(H821),ISNUMBER(I821)),MAX(0,ROUND((I821-H821)*1440,0)-'Bilan agents'!$C$4),0)</f>
        <v>0</v>
      </c>
      <c r="Q821" s="8" t="str">
        <f aca="false">IF(H821="Congé","CP",IF(H821="Férié","F",IF(H821="OFF","R",IF(N821&gt;0,"A",IF(ISNUMBER(I821),"P","NR")))))</f>
        <v>R</v>
      </c>
      <c r="R821" s="18"/>
    </row>
    <row r="822" customFormat="false" ht="15" hidden="false" customHeight="false" outlineLevel="0" collapsed="false">
      <c r="A822" s="18" t="s">
        <v>30</v>
      </c>
      <c r="B822" s="8" t="s">
        <v>31</v>
      </c>
      <c r="C822" s="9" t="n">
        <v>46168</v>
      </c>
      <c r="D822" s="8" t="n">
        <v>2026</v>
      </c>
      <c r="E822" s="8" t="n">
        <v>22</v>
      </c>
      <c r="F822" s="18" t="s">
        <v>126</v>
      </c>
      <c r="G822" s="8" t="s">
        <v>117</v>
      </c>
      <c r="H822" s="19" t="n">
        <v>0.333333333333333</v>
      </c>
      <c r="I822" s="19" t="n">
        <v>0.332638888888889</v>
      </c>
      <c r="J822" s="19" t="n">
        <v>0.75</v>
      </c>
      <c r="K822" s="19" t="n">
        <v>0.75</v>
      </c>
      <c r="L822" s="19" t="n">
        <v>0.375</v>
      </c>
      <c r="M822" s="19" t="n">
        <v>0.375</v>
      </c>
      <c r="N822" s="19" t="n">
        <v>0</v>
      </c>
      <c r="O822" s="19" t="n">
        <v>0</v>
      </c>
      <c r="P822" s="17" t="n">
        <f aca="false">IF(AND(ISNUMBER(H822),ISNUMBER(I822)),MAX(0,ROUND((I822-H822)*1440,0)-'Bilan agents'!$C$4),0)</f>
        <v>0</v>
      </c>
      <c r="Q822" s="8" t="str">
        <f aca="false">IF(H822="Congé","CP",IF(H822="Férié","F",IF(H822="OFF","R",IF(N822&gt;0,"A",IF(ISNUMBER(I822),"P","NR")))))</f>
        <v>P</v>
      </c>
      <c r="R822" s="18"/>
    </row>
    <row r="823" customFormat="false" ht="15" hidden="false" customHeight="false" outlineLevel="0" collapsed="false">
      <c r="A823" s="18" t="s">
        <v>30</v>
      </c>
      <c r="B823" s="8" t="s">
        <v>31</v>
      </c>
      <c r="C823" s="9" t="n">
        <v>46169</v>
      </c>
      <c r="D823" s="8" t="n">
        <v>2026</v>
      </c>
      <c r="E823" s="8" t="n">
        <v>22</v>
      </c>
      <c r="F823" s="18" t="s">
        <v>126</v>
      </c>
      <c r="G823" s="8" t="s">
        <v>118</v>
      </c>
      <c r="H823" s="19" t="n">
        <v>0.333333333333333</v>
      </c>
      <c r="I823" s="19" t="n">
        <v>0.331944444444444</v>
      </c>
      <c r="J823" s="19" t="n">
        <v>0.75</v>
      </c>
      <c r="K823" s="19" t="n">
        <v>0.75</v>
      </c>
      <c r="L823" s="19" t="n">
        <v>0.375</v>
      </c>
      <c r="M823" s="19" t="n">
        <v>0.375</v>
      </c>
      <c r="N823" s="19" t="n">
        <v>0</v>
      </c>
      <c r="O823" s="19" t="n">
        <v>0.00138888888888889</v>
      </c>
      <c r="P823" s="17" t="n">
        <f aca="false">IF(AND(ISNUMBER(H823),ISNUMBER(I823)),MAX(0,ROUND((I823-H823)*1440,0)-'Bilan agents'!$C$4),0)</f>
        <v>0</v>
      </c>
      <c r="Q823" s="8" t="str">
        <f aca="false">IF(H823="Congé","CP",IF(H823="Férié","F",IF(H823="OFF","R",IF(N823&gt;0,"A",IF(ISNUMBER(I823),"P","NR")))))</f>
        <v>P</v>
      </c>
      <c r="R823" s="18"/>
    </row>
    <row r="824" customFormat="false" ht="15" hidden="false" customHeight="false" outlineLevel="0" collapsed="false">
      <c r="A824" s="18" t="s">
        <v>30</v>
      </c>
      <c r="B824" s="8" t="s">
        <v>31</v>
      </c>
      <c r="C824" s="9" t="n">
        <v>46170</v>
      </c>
      <c r="D824" s="8" t="n">
        <v>2026</v>
      </c>
      <c r="E824" s="8" t="n">
        <v>22</v>
      </c>
      <c r="F824" s="18" t="s">
        <v>126</v>
      </c>
      <c r="G824" s="8" t="s">
        <v>119</v>
      </c>
      <c r="H824" s="19" t="n">
        <v>0.333333333333333</v>
      </c>
      <c r="I824" s="19" t="n">
        <v>0.333333333333333</v>
      </c>
      <c r="J824" s="19" t="n">
        <v>0.75</v>
      </c>
      <c r="K824" s="19" t="n">
        <v>0.75</v>
      </c>
      <c r="L824" s="19" t="n">
        <v>0.375</v>
      </c>
      <c r="M824" s="19" t="n">
        <v>0.375</v>
      </c>
      <c r="N824" s="19" t="n">
        <v>0</v>
      </c>
      <c r="O824" s="19" t="n">
        <v>0</v>
      </c>
      <c r="P824" s="17" t="n">
        <f aca="false">IF(AND(ISNUMBER(H824),ISNUMBER(I824)),MAX(0,ROUND((I824-H824)*1440,0)-'Bilan agents'!$C$4),0)</f>
        <v>0</v>
      </c>
      <c r="Q824" s="8" t="str">
        <f aca="false">IF(H824="Congé","CP",IF(H824="Férié","F",IF(H824="OFF","R",IF(N824&gt;0,"A",IF(ISNUMBER(I824),"P","NR")))))</f>
        <v>P</v>
      </c>
      <c r="R824" s="18"/>
    </row>
    <row r="825" customFormat="false" ht="15" hidden="false" customHeight="false" outlineLevel="0" collapsed="false">
      <c r="A825" s="18" t="s">
        <v>30</v>
      </c>
      <c r="B825" s="8" t="s">
        <v>31</v>
      </c>
      <c r="C825" s="9" t="n">
        <v>46171</v>
      </c>
      <c r="D825" s="8" t="n">
        <v>2026</v>
      </c>
      <c r="E825" s="8" t="n">
        <v>22</v>
      </c>
      <c r="F825" s="18" t="s">
        <v>126</v>
      </c>
      <c r="G825" s="8" t="s">
        <v>120</v>
      </c>
      <c r="H825" s="19" t="n">
        <v>0.333333333333333</v>
      </c>
      <c r="I825" s="19" t="n">
        <v>0.333333333333333</v>
      </c>
      <c r="J825" s="19" t="n">
        <v>0.708333333333333</v>
      </c>
      <c r="K825" s="19" t="n">
        <v>0.708333333333333</v>
      </c>
      <c r="L825" s="19" t="n">
        <v>0.333333333333333</v>
      </c>
      <c r="M825" s="19" t="n">
        <v>0.333333333333333</v>
      </c>
      <c r="N825" s="19" t="n">
        <v>0</v>
      </c>
      <c r="O825" s="19" t="n">
        <v>0</v>
      </c>
      <c r="P825" s="17" t="n">
        <f aca="false">IF(AND(ISNUMBER(H825),ISNUMBER(I825)),MAX(0,ROUND((I825-H825)*1440,0)-'Bilan agents'!$C$4),0)</f>
        <v>0</v>
      </c>
      <c r="Q825" s="8" t="str">
        <f aca="false">IF(H825="Congé","CP",IF(H825="Férié","F",IF(H825="OFF","R",IF(N825&gt;0,"A",IF(ISNUMBER(I825),"P","NR")))))</f>
        <v>P</v>
      </c>
      <c r="R825" s="18"/>
    </row>
    <row r="826" customFormat="false" ht="15" hidden="false" customHeight="false" outlineLevel="0" collapsed="false">
      <c r="A826" s="18" t="s">
        <v>30</v>
      </c>
      <c r="B826" s="8" t="s">
        <v>31</v>
      </c>
      <c r="C826" s="9" t="n">
        <v>46172</v>
      </c>
      <c r="D826" s="8" t="n">
        <v>2026</v>
      </c>
      <c r="E826" s="8" t="n">
        <v>22</v>
      </c>
      <c r="F826" s="18" t="s">
        <v>126</v>
      </c>
      <c r="G826" s="8" t="s">
        <v>121</v>
      </c>
      <c r="H826" s="19" t="s">
        <v>115</v>
      </c>
      <c r="I826" s="19"/>
      <c r="J826" s="19"/>
      <c r="K826" s="19"/>
      <c r="L826" s="19" t="n">
        <v>0</v>
      </c>
      <c r="M826" s="19"/>
      <c r="N826" s="19" t="n">
        <v>0</v>
      </c>
      <c r="O826" s="19" t="n">
        <v>0</v>
      </c>
      <c r="P826" s="17" t="n">
        <f aca="false">IF(AND(ISNUMBER(H826),ISNUMBER(I826)),MAX(0,ROUND((I826-H826)*1440,0)-'Bilan agents'!$C$4),0)</f>
        <v>0</v>
      </c>
      <c r="Q826" s="8" t="str">
        <f aca="false">IF(H826="Congé","CP",IF(H826="Férié","F",IF(H826="OFF","R",IF(N826&gt;0,"A",IF(ISNUMBER(I826),"P","NR")))))</f>
        <v>R</v>
      </c>
      <c r="R826" s="18"/>
    </row>
    <row r="827" customFormat="false" ht="15" hidden="false" customHeight="false" outlineLevel="0" collapsed="false">
      <c r="A827" s="18" t="s">
        <v>30</v>
      </c>
      <c r="B827" s="8" t="s">
        <v>31</v>
      </c>
      <c r="C827" s="9" t="n">
        <v>46173</v>
      </c>
      <c r="D827" s="8" t="n">
        <v>2026</v>
      </c>
      <c r="E827" s="8" t="n">
        <v>22</v>
      </c>
      <c r="F827" s="18" t="s">
        <v>126</v>
      </c>
      <c r="G827" s="8" t="s">
        <v>114</v>
      </c>
      <c r="H827" s="19" t="s">
        <v>115</v>
      </c>
      <c r="I827" s="19"/>
      <c r="J827" s="19"/>
      <c r="K827" s="19"/>
      <c r="L827" s="19" t="n">
        <v>0</v>
      </c>
      <c r="M827" s="19"/>
      <c r="N827" s="19" t="n">
        <v>0</v>
      </c>
      <c r="O827" s="19" t="n">
        <v>0</v>
      </c>
      <c r="P827" s="17" t="n">
        <f aca="false">IF(AND(ISNUMBER(H827),ISNUMBER(I827)),MAX(0,ROUND((I827-H827)*1440,0)-'Bilan agents'!$C$4),0)</f>
        <v>0</v>
      </c>
      <c r="Q827" s="8" t="str">
        <f aca="false">IF(H827="Congé","CP",IF(H827="Férié","F",IF(H827="OFF","R",IF(N827&gt;0,"A",IF(ISNUMBER(I827),"P","NR")))))</f>
        <v>R</v>
      </c>
      <c r="R827" s="18"/>
    </row>
    <row r="828" customFormat="false" ht="15" hidden="false" customHeight="false" outlineLevel="0" collapsed="false">
      <c r="A828" s="18" t="s">
        <v>30</v>
      </c>
      <c r="B828" s="8" t="s">
        <v>31</v>
      </c>
      <c r="C828" s="9" t="n">
        <v>46174</v>
      </c>
      <c r="D828" s="8" t="n">
        <v>2026</v>
      </c>
      <c r="E828" s="8" t="n">
        <v>23</v>
      </c>
      <c r="F828" s="18" t="s">
        <v>127</v>
      </c>
      <c r="G828" s="8" t="s">
        <v>116</v>
      </c>
      <c r="H828" s="19" t="n">
        <v>0.333333333333333</v>
      </c>
      <c r="I828" s="19" t="n">
        <v>0.333333333333333</v>
      </c>
      <c r="J828" s="19" t="n">
        <v>0.75</v>
      </c>
      <c r="K828" s="19" t="n">
        <v>0.75</v>
      </c>
      <c r="L828" s="19" t="n">
        <v>0.375</v>
      </c>
      <c r="M828" s="19" t="n">
        <v>0.375</v>
      </c>
      <c r="N828" s="19" t="n">
        <v>0</v>
      </c>
      <c r="O828" s="19" t="n">
        <v>0</v>
      </c>
      <c r="P828" s="17" t="n">
        <f aca="false">IF(AND(ISNUMBER(H828),ISNUMBER(I828)),MAX(0,ROUND((I828-H828)*1440,0)-'Bilan agents'!$C$4),0)</f>
        <v>0</v>
      </c>
      <c r="Q828" s="8" t="str">
        <f aca="false">IF(H828="Congé","CP",IF(H828="Férié","F",IF(H828="OFF","R",IF(N828&gt;0,"A",IF(ISNUMBER(I828),"P","NR")))))</f>
        <v>P</v>
      </c>
      <c r="R828" s="18"/>
    </row>
    <row r="829" customFormat="false" ht="15" hidden="false" customHeight="false" outlineLevel="0" collapsed="false">
      <c r="A829" s="18" t="s">
        <v>30</v>
      </c>
      <c r="B829" s="8" t="s">
        <v>31</v>
      </c>
      <c r="C829" s="9" t="n">
        <v>46175</v>
      </c>
      <c r="D829" s="8" t="n">
        <v>2026</v>
      </c>
      <c r="E829" s="8" t="n">
        <v>23</v>
      </c>
      <c r="F829" s="18" t="s">
        <v>127</v>
      </c>
      <c r="G829" s="8" t="s">
        <v>117</v>
      </c>
      <c r="H829" s="19" t="n">
        <v>0.333333333333333</v>
      </c>
      <c r="I829" s="19" t="n">
        <v>0.336805555555556</v>
      </c>
      <c r="J829" s="19" t="n">
        <v>0.75</v>
      </c>
      <c r="K829" s="19" t="n">
        <v>0.75</v>
      </c>
      <c r="L829" s="19" t="n">
        <v>0.375</v>
      </c>
      <c r="M829" s="19" t="n">
        <v>0.375</v>
      </c>
      <c r="N829" s="19" t="n">
        <v>0</v>
      </c>
      <c r="O829" s="19" t="n">
        <v>0</v>
      </c>
      <c r="P829" s="17" t="n">
        <f aca="false">IF(AND(ISNUMBER(H829),ISNUMBER(I829)),MAX(0,ROUND((I829-H829)*1440,0)-'Bilan agents'!$C$4),0)</f>
        <v>5</v>
      </c>
      <c r="Q829" s="8" t="str">
        <f aca="false">IF(H829="Congé","CP",IF(H829="Férié","F",IF(H829="OFF","R",IF(N829&gt;0,"A",IF(ISNUMBER(I829),"P","NR")))))</f>
        <v>P</v>
      </c>
      <c r="R829" s="18"/>
    </row>
    <row r="830" customFormat="false" ht="15" hidden="false" customHeight="false" outlineLevel="0" collapsed="false">
      <c r="A830" s="18" t="s">
        <v>30</v>
      </c>
      <c r="B830" s="8" t="s">
        <v>31</v>
      </c>
      <c r="C830" s="9" t="n">
        <v>46176</v>
      </c>
      <c r="D830" s="8" t="n">
        <v>2026</v>
      </c>
      <c r="E830" s="8" t="n">
        <v>23</v>
      </c>
      <c r="F830" s="18" t="s">
        <v>127</v>
      </c>
      <c r="G830" s="8" t="s">
        <v>118</v>
      </c>
      <c r="H830" s="19" t="n">
        <v>0.333333333333333</v>
      </c>
      <c r="I830" s="19" t="n">
        <v>0.33125</v>
      </c>
      <c r="J830" s="19" t="n">
        <v>0.75</v>
      </c>
      <c r="K830" s="19" t="n">
        <v>0.75</v>
      </c>
      <c r="L830" s="19" t="n">
        <v>0.375</v>
      </c>
      <c r="M830" s="19" t="n">
        <v>0.375</v>
      </c>
      <c r="N830" s="19" t="n">
        <v>0</v>
      </c>
      <c r="O830" s="19" t="n">
        <v>0.00208333333333333</v>
      </c>
      <c r="P830" s="17" t="n">
        <f aca="false">IF(AND(ISNUMBER(H830),ISNUMBER(I830)),MAX(0,ROUND((I830-H830)*1440,0)-'Bilan agents'!$C$4),0)</f>
        <v>0</v>
      </c>
      <c r="Q830" s="8" t="str">
        <f aca="false">IF(H830="Congé","CP",IF(H830="Férié","F",IF(H830="OFF","R",IF(N830&gt;0,"A",IF(ISNUMBER(I830),"P","NR")))))</f>
        <v>P</v>
      </c>
      <c r="R830" s="18"/>
    </row>
    <row r="831" customFormat="false" ht="15" hidden="false" customHeight="false" outlineLevel="0" collapsed="false">
      <c r="A831" s="18" t="s">
        <v>30</v>
      </c>
      <c r="B831" s="8" t="s">
        <v>31</v>
      </c>
      <c r="C831" s="9" t="n">
        <v>46177</v>
      </c>
      <c r="D831" s="8" t="n">
        <v>2026</v>
      </c>
      <c r="E831" s="8" t="n">
        <v>23</v>
      </c>
      <c r="F831" s="18" t="s">
        <v>127</v>
      </c>
      <c r="G831" s="8" t="s">
        <v>119</v>
      </c>
      <c r="H831" s="19" t="n">
        <v>0.333333333333333</v>
      </c>
      <c r="I831" s="19" t="n">
        <v>0.33125</v>
      </c>
      <c r="J831" s="19" t="n">
        <v>0.75</v>
      </c>
      <c r="K831" s="19" t="n">
        <v>0.75</v>
      </c>
      <c r="L831" s="19" t="n">
        <v>0.375</v>
      </c>
      <c r="M831" s="19" t="n">
        <v>0.375</v>
      </c>
      <c r="N831" s="19" t="n">
        <v>0</v>
      </c>
      <c r="O831" s="19" t="n">
        <v>0.00208333333333333</v>
      </c>
      <c r="P831" s="17" t="n">
        <f aca="false">IF(AND(ISNUMBER(H831),ISNUMBER(I831)),MAX(0,ROUND((I831-H831)*1440,0)-'Bilan agents'!$C$4),0)</f>
        <v>0</v>
      </c>
      <c r="Q831" s="8" t="str">
        <f aca="false">IF(H831="Congé","CP",IF(H831="Férié","F",IF(H831="OFF","R",IF(N831&gt;0,"A",IF(ISNUMBER(I831),"P","NR")))))</f>
        <v>P</v>
      </c>
      <c r="R831" s="18"/>
    </row>
    <row r="832" customFormat="false" ht="15" hidden="false" customHeight="false" outlineLevel="0" collapsed="false">
      <c r="A832" s="18" t="s">
        <v>30</v>
      </c>
      <c r="B832" s="8" t="s">
        <v>31</v>
      </c>
      <c r="C832" s="9" t="n">
        <v>46178</v>
      </c>
      <c r="D832" s="8" t="n">
        <v>2026</v>
      </c>
      <c r="E832" s="8" t="n">
        <v>23</v>
      </c>
      <c r="F832" s="18" t="s">
        <v>127</v>
      </c>
      <c r="G832" s="8" t="s">
        <v>120</v>
      </c>
      <c r="H832" s="19" t="n">
        <v>0.333333333333333</v>
      </c>
      <c r="I832" s="19" t="n">
        <v>0.333333333333333</v>
      </c>
      <c r="J832" s="19" t="n">
        <v>0.708333333333333</v>
      </c>
      <c r="K832" s="19" t="n">
        <v>0.708333333333333</v>
      </c>
      <c r="L832" s="19" t="n">
        <v>0.333333333333333</v>
      </c>
      <c r="M832" s="19" t="n">
        <v>0.333333333333333</v>
      </c>
      <c r="N832" s="19" t="n">
        <v>0</v>
      </c>
      <c r="O832" s="19" t="n">
        <v>0</v>
      </c>
      <c r="P832" s="17" t="n">
        <f aca="false">IF(AND(ISNUMBER(H832),ISNUMBER(I832)),MAX(0,ROUND((I832-H832)*1440,0)-'Bilan agents'!$C$4),0)</f>
        <v>0</v>
      </c>
      <c r="Q832" s="8" t="str">
        <f aca="false">IF(H832="Congé","CP",IF(H832="Férié","F",IF(H832="OFF","R",IF(N832&gt;0,"A",IF(ISNUMBER(I832),"P","NR")))))</f>
        <v>P</v>
      </c>
      <c r="R832" s="18"/>
    </row>
    <row r="833" customFormat="false" ht="15" hidden="false" customHeight="false" outlineLevel="0" collapsed="false">
      <c r="A833" s="18" t="s">
        <v>30</v>
      </c>
      <c r="B833" s="8" t="s">
        <v>31</v>
      </c>
      <c r="C833" s="9" t="n">
        <v>46179</v>
      </c>
      <c r="D833" s="8" t="n">
        <v>2026</v>
      </c>
      <c r="E833" s="8" t="n">
        <v>23</v>
      </c>
      <c r="F833" s="18" t="s">
        <v>127</v>
      </c>
      <c r="G833" s="8" t="s">
        <v>121</v>
      </c>
      <c r="H833" s="19" t="s">
        <v>115</v>
      </c>
      <c r="I833" s="19"/>
      <c r="J833" s="19"/>
      <c r="K833" s="19"/>
      <c r="L833" s="19" t="n">
        <v>0</v>
      </c>
      <c r="M833" s="19"/>
      <c r="N833" s="19" t="n">
        <v>0</v>
      </c>
      <c r="O833" s="19" t="n">
        <v>0</v>
      </c>
      <c r="P833" s="17" t="n">
        <f aca="false">IF(AND(ISNUMBER(H833),ISNUMBER(I833)),MAX(0,ROUND((I833-H833)*1440,0)-'Bilan agents'!$C$4),0)</f>
        <v>0</v>
      </c>
      <c r="Q833" s="8" t="str">
        <f aca="false">IF(H833="Congé","CP",IF(H833="Férié","F",IF(H833="OFF","R",IF(N833&gt;0,"A",IF(ISNUMBER(I833),"P","NR")))))</f>
        <v>R</v>
      </c>
      <c r="R833" s="18"/>
    </row>
    <row r="834" customFormat="false" ht="15" hidden="false" customHeight="false" outlineLevel="0" collapsed="false">
      <c r="A834" s="18" t="s">
        <v>30</v>
      </c>
      <c r="B834" s="8" t="s">
        <v>31</v>
      </c>
      <c r="C834" s="9" t="n">
        <v>46180</v>
      </c>
      <c r="D834" s="8" t="n">
        <v>2026</v>
      </c>
      <c r="E834" s="8" t="n">
        <v>23</v>
      </c>
      <c r="F834" s="18" t="s">
        <v>127</v>
      </c>
      <c r="G834" s="8" t="s">
        <v>114</v>
      </c>
      <c r="H834" s="19" t="s">
        <v>115</v>
      </c>
      <c r="I834" s="19"/>
      <c r="J834" s="19"/>
      <c r="K834" s="19"/>
      <c r="L834" s="19" t="n">
        <v>0</v>
      </c>
      <c r="M834" s="19"/>
      <c r="N834" s="19" t="n">
        <v>0</v>
      </c>
      <c r="O834" s="19" t="n">
        <v>0</v>
      </c>
      <c r="P834" s="17" t="n">
        <f aca="false">IF(AND(ISNUMBER(H834),ISNUMBER(I834)),MAX(0,ROUND((I834-H834)*1440,0)-'Bilan agents'!$C$4),0)</f>
        <v>0</v>
      </c>
      <c r="Q834" s="8" t="str">
        <f aca="false">IF(H834="Congé","CP",IF(H834="Férié","F",IF(H834="OFF","R",IF(N834&gt;0,"A",IF(ISNUMBER(I834),"P","NR")))))</f>
        <v>R</v>
      </c>
      <c r="R834" s="18"/>
    </row>
    <row r="835" customFormat="false" ht="15" hidden="false" customHeight="false" outlineLevel="0" collapsed="false">
      <c r="A835" s="18" t="s">
        <v>30</v>
      </c>
      <c r="B835" s="8" t="s">
        <v>31</v>
      </c>
      <c r="C835" s="9" t="n">
        <v>46181</v>
      </c>
      <c r="D835" s="8" t="n">
        <v>2026</v>
      </c>
      <c r="E835" s="8" t="n">
        <v>24</v>
      </c>
      <c r="F835" s="18" t="s">
        <v>127</v>
      </c>
      <c r="G835" s="8" t="s">
        <v>116</v>
      </c>
      <c r="H835" s="19" t="n">
        <v>0.333333333333333</v>
      </c>
      <c r="I835" s="19" t="n">
        <v>0.331944444444444</v>
      </c>
      <c r="J835" s="19" t="n">
        <v>0.75</v>
      </c>
      <c r="K835" s="19" t="n">
        <v>0.75</v>
      </c>
      <c r="L835" s="19" t="n">
        <v>0.375</v>
      </c>
      <c r="M835" s="19" t="n">
        <v>0.375</v>
      </c>
      <c r="N835" s="19" t="n">
        <v>0</v>
      </c>
      <c r="O835" s="19" t="n">
        <v>0.00138888888888889</v>
      </c>
      <c r="P835" s="17" t="n">
        <f aca="false">IF(AND(ISNUMBER(H835),ISNUMBER(I835)),MAX(0,ROUND((I835-H835)*1440,0)-'Bilan agents'!$C$4),0)</f>
        <v>0</v>
      </c>
      <c r="Q835" s="8" t="str">
        <f aca="false">IF(H835="Congé","CP",IF(H835="Férié","F",IF(H835="OFF","R",IF(N835&gt;0,"A",IF(ISNUMBER(I835),"P","NR")))))</f>
        <v>P</v>
      </c>
      <c r="R835" s="18"/>
    </row>
    <row r="836" customFormat="false" ht="15" hidden="false" customHeight="false" outlineLevel="0" collapsed="false">
      <c r="A836" s="18" t="s">
        <v>30</v>
      </c>
      <c r="B836" s="8" t="s">
        <v>31</v>
      </c>
      <c r="C836" s="9" t="n">
        <v>46182</v>
      </c>
      <c r="D836" s="8" t="n">
        <v>2026</v>
      </c>
      <c r="E836" s="8" t="n">
        <v>24</v>
      </c>
      <c r="F836" s="18" t="s">
        <v>127</v>
      </c>
      <c r="G836" s="8" t="s">
        <v>117</v>
      </c>
      <c r="H836" s="19" t="n">
        <v>0.333333333333333</v>
      </c>
      <c r="I836" s="19" t="n">
        <v>0.333333333333333</v>
      </c>
      <c r="J836" s="19" t="n">
        <v>0.75</v>
      </c>
      <c r="K836" s="19" t="n">
        <v>0.75</v>
      </c>
      <c r="L836" s="19" t="n">
        <v>0.375</v>
      </c>
      <c r="M836" s="19" t="n">
        <v>0.375</v>
      </c>
      <c r="N836" s="19" t="n">
        <v>0</v>
      </c>
      <c r="O836" s="19" t="n">
        <v>0</v>
      </c>
      <c r="P836" s="17" t="n">
        <f aca="false">IF(AND(ISNUMBER(H836),ISNUMBER(I836)),MAX(0,ROUND((I836-H836)*1440,0)-'Bilan agents'!$C$4),0)</f>
        <v>0</v>
      </c>
      <c r="Q836" s="8" t="str">
        <f aca="false">IF(H836="Congé","CP",IF(H836="Férié","F",IF(H836="OFF","R",IF(N836&gt;0,"A",IF(ISNUMBER(I836),"P","NR")))))</f>
        <v>P</v>
      </c>
      <c r="R836" s="18"/>
    </row>
    <row r="837" customFormat="false" ht="15" hidden="false" customHeight="false" outlineLevel="0" collapsed="false">
      <c r="A837" s="18" t="s">
        <v>30</v>
      </c>
      <c r="B837" s="8" t="s">
        <v>31</v>
      </c>
      <c r="C837" s="9" t="n">
        <v>46183</v>
      </c>
      <c r="D837" s="8" t="n">
        <v>2026</v>
      </c>
      <c r="E837" s="8" t="n">
        <v>24</v>
      </c>
      <c r="F837" s="18" t="s">
        <v>127</v>
      </c>
      <c r="G837" s="8" t="s">
        <v>118</v>
      </c>
      <c r="H837" s="19" t="n">
        <v>0.333333333333333</v>
      </c>
      <c r="I837" s="19" t="n">
        <v>0.333333333333333</v>
      </c>
      <c r="J837" s="19" t="n">
        <v>0.75</v>
      </c>
      <c r="K837" s="19" t="n">
        <v>0.75</v>
      </c>
      <c r="L837" s="19" t="n">
        <v>0.375</v>
      </c>
      <c r="M837" s="19" t="n">
        <v>0.375</v>
      </c>
      <c r="N837" s="19" t="n">
        <v>0</v>
      </c>
      <c r="O837" s="19" t="n">
        <v>0</v>
      </c>
      <c r="P837" s="17" t="n">
        <f aca="false">IF(AND(ISNUMBER(H837),ISNUMBER(I837)),MAX(0,ROUND((I837-H837)*1440,0)-'Bilan agents'!$C$4),0)</f>
        <v>0</v>
      </c>
      <c r="Q837" s="8" t="str">
        <f aca="false">IF(H837="Congé","CP",IF(H837="Férié","F",IF(H837="OFF","R",IF(N837&gt;0,"A",IF(ISNUMBER(I837),"P","NR")))))</f>
        <v>P</v>
      </c>
      <c r="R837" s="18"/>
    </row>
    <row r="838" customFormat="false" ht="15" hidden="false" customHeight="false" outlineLevel="0" collapsed="false">
      <c r="A838" s="18" t="s">
        <v>30</v>
      </c>
      <c r="B838" s="8" t="s">
        <v>31</v>
      </c>
      <c r="C838" s="9" t="n">
        <v>46184</v>
      </c>
      <c r="D838" s="8" t="n">
        <v>2026</v>
      </c>
      <c r="E838" s="8" t="n">
        <v>24</v>
      </c>
      <c r="F838" s="18" t="s">
        <v>127</v>
      </c>
      <c r="G838" s="8" t="s">
        <v>119</v>
      </c>
      <c r="H838" s="19" t="n">
        <v>0.333333333333333</v>
      </c>
      <c r="I838" s="19" t="n">
        <v>0.333333333333333</v>
      </c>
      <c r="J838" s="19" t="n">
        <v>0.75</v>
      </c>
      <c r="K838" s="19" t="n">
        <v>0.75</v>
      </c>
      <c r="L838" s="19" t="n">
        <v>0.375</v>
      </c>
      <c r="M838" s="19" t="n">
        <v>0.375</v>
      </c>
      <c r="N838" s="19" t="n">
        <v>0</v>
      </c>
      <c r="O838" s="19" t="n">
        <v>0</v>
      </c>
      <c r="P838" s="17" t="n">
        <f aca="false">IF(AND(ISNUMBER(H838),ISNUMBER(I838)),MAX(0,ROUND((I838-H838)*1440,0)-'Bilan agents'!$C$4),0)</f>
        <v>0</v>
      </c>
      <c r="Q838" s="8" t="str">
        <f aca="false">IF(H838="Congé","CP",IF(H838="Férié","F",IF(H838="OFF","R",IF(N838&gt;0,"A",IF(ISNUMBER(I838),"P","NR")))))</f>
        <v>P</v>
      </c>
      <c r="R838" s="18"/>
    </row>
    <row r="839" customFormat="false" ht="15" hidden="false" customHeight="false" outlineLevel="0" collapsed="false">
      <c r="A839" s="18" t="s">
        <v>30</v>
      </c>
      <c r="B839" s="8" t="s">
        <v>31</v>
      </c>
      <c r="C839" s="9" t="n">
        <v>46185</v>
      </c>
      <c r="D839" s="8" t="n">
        <v>2026</v>
      </c>
      <c r="E839" s="8" t="n">
        <v>24</v>
      </c>
      <c r="F839" s="18" t="s">
        <v>127</v>
      </c>
      <c r="G839" s="8" t="s">
        <v>120</v>
      </c>
      <c r="H839" s="19" t="n">
        <v>0.333333333333333</v>
      </c>
      <c r="I839" s="19" t="n">
        <v>0.332638888888889</v>
      </c>
      <c r="J839" s="19" t="n">
        <v>0.708333333333333</v>
      </c>
      <c r="K839" s="19" t="n">
        <v>0.708333333333333</v>
      </c>
      <c r="L839" s="19" t="n">
        <v>0.333333333333333</v>
      </c>
      <c r="M839" s="19" t="n">
        <v>0.333333333333333</v>
      </c>
      <c r="N839" s="19" t="n">
        <v>0</v>
      </c>
      <c r="O839" s="19" t="n">
        <v>0</v>
      </c>
      <c r="P839" s="17" t="n">
        <f aca="false">IF(AND(ISNUMBER(H839),ISNUMBER(I839)),MAX(0,ROUND((I839-H839)*1440,0)-'Bilan agents'!$C$4),0)</f>
        <v>0</v>
      </c>
      <c r="Q839" s="8" t="str">
        <f aca="false">IF(H839="Congé","CP",IF(H839="Férié","F",IF(H839="OFF","R",IF(N839&gt;0,"A",IF(ISNUMBER(I839),"P","NR")))))</f>
        <v>P</v>
      </c>
      <c r="R839" s="18"/>
    </row>
    <row r="840" customFormat="false" ht="15" hidden="false" customHeight="false" outlineLevel="0" collapsed="false">
      <c r="A840" s="18" t="s">
        <v>30</v>
      </c>
      <c r="B840" s="8" t="s">
        <v>31</v>
      </c>
      <c r="C840" s="9" t="n">
        <v>46186</v>
      </c>
      <c r="D840" s="8" t="n">
        <v>2026</v>
      </c>
      <c r="E840" s="8" t="n">
        <v>24</v>
      </c>
      <c r="F840" s="18" t="s">
        <v>127</v>
      </c>
      <c r="G840" s="8" t="s">
        <v>121</v>
      </c>
      <c r="H840" s="19" t="s">
        <v>115</v>
      </c>
      <c r="I840" s="19"/>
      <c r="J840" s="19"/>
      <c r="K840" s="19"/>
      <c r="L840" s="19" t="n">
        <v>0</v>
      </c>
      <c r="M840" s="19"/>
      <c r="N840" s="19" t="n">
        <v>0</v>
      </c>
      <c r="O840" s="19" t="n">
        <v>0</v>
      </c>
      <c r="P840" s="17" t="n">
        <f aca="false">IF(AND(ISNUMBER(H840),ISNUMBER(I840)),MAX(0,ROUND((I840-H840)*1440,0)-'Bilan agents'!$C$4),0)</f>
        <v>0</v>
      </c>
      <c r="Q840" s="8" t="str">
        <f aca="false">IF(H840="Congé","CP",IF(H840="Férié","F",IF(H840="OFF","R",IF(N840&gt;0,"A",IF(ISNUMBER(I840),"P","NR")))))</f>
        <v>R</v>
      </c>
      <c r="R840" s="18"/>
    </row>
    <row r="841" customFormat="false" ht="15" hidden="false" customHeight="false" outlineLevel="0" collapsed="false">
      <c r="A841" s="18" t="s">
        <v>30</v>
      </c>
      <c r="B841" s="8" t="s">
        <v>31</v>
      </c>
      <c r="C841" s="9" t="n">
        <v>46187</v>
      </c>
      <c r="D841" s="8" t="n">
        <v>2026</v>
      </c>
      <c r="E841" s="8" t="n">
        <v>24</v>
      </c>
      <c r="F841" s="18" t="s">
        <v>127</v>
      </c>
      <c r="G841" s="8" t="s">
        <v>114</v>
      </c>
      <c r="H841" s="19" t="s">
        <v>115</v>
      </c>
      <c r="I841" s="19"/>
      <c r="J841" s="19"/>
      <c r="K841" s="19"/>
      <c r="L841" s="19" t="n">
        <v>0</v>
      </c>
      <c r="M841" s="19"/>
      <c r="N841" s="19" t="n">
        <v>0</v>
      </c>
      <c r="O841" s="19" t="n">
        <v>0</v>
      </c>
      <c r="P841" s="17" t="n">
        <f aca="false">IF(AND(ISNUMBER(H841),ISNUMBER(I841)),MAX(0,ROUND((I841-H841)*1440,0)-'Bilan agents'!$C$4),0)</f>
        <v>0</v>
      </c>
      <c r="Q841" s="8" t="str">
        <f aca="false">IF(H841="Congé","CP",IF(H841="Férié","F",IF(H841="OFF","R",IF(N841&gt;0,"A",IF(ISNUMBER(I841),"P","NR")))))</f>
        <v>R</v>
      </c>
      <c r="R841" s="18"/>
    </row>
    <row r="842" customFormat="false" ht="15" hidden="false" customHeight="false" outlineLevel="0" collapsed="false">
      <c r="A842" s="18" t="s">
        <v>30</v>
      </c>
      <c r="B842" s="8" t="s">
        <v>31</v>
      </c>
      <c r="C842" s="9" t="n">
        <v>46188</v>
      </c>
      <c r="D842" s="8" t="n">
        <v>2026</v>
      </c>
      <c r="E842" s="8" t="n">
        <v>25</v>
      </c>
      <c r="F842" s="18" t="s">
        <v>127</v>
      </c>
      <c r="G842" s="8" t="s">
        <v>116</v>
      </c>
      <c r="H842" s="19" t="n">
        <v>0.333333333333333</v>
      </c>
      <c r="I842" s="19" t="n">
        <v>0.33125</v>
      </c>
      <c r="J842" s="19" t="n">
        <v>0.75</v>
      </c>
      <c r="K842" s="19" t="n">
        <v>0.75</v>
      </c>
      <c r="L842" s="19" t="n">
        <v>0.375</v>
      </c>
      <c r="M842" s="19" t="n">
        <v>0.375</v>
      </c>
      <c r="N842" s="19" t="n">
        <v>0</v>
      </c>
      <c r="O842" s="19" t="n">
        <v>0.00208333333333333</v>
      </c>
      <c r="P842" s="17" t="n">
        <f aca="false">IF(AND(ISNUMBER(H842),ISNUMBER(I842)),MAX(0,ROUND((I842-H842)*1440,0)-'Bilan agents'!$C$4),0)</f>
        <v>0</v>
      </c>
      <c r="Q842" s="8" t="str">
        <f aca="false">IF(H842="Congé","CP",IF(H842="Férié","F",IF(H842="OFF","R",IF(N842&gt;0,"A",IF(ISNUMBER(I842),"P","NR")))))</f>
        <v>P</v>
      </c>
      <c r="R842" s="18"/>
    </row>
    <row r="843" customFormat="false" ht="15" hidden="false" customHeight="false" outlineLevel="0" collapsed="false">
      <c r="A843" s="18" t="s">
        <v>30</v>
      </c>
      <c r="B843" s="8" t="s">
        <v>31</v>
      </c>
      <c r="C843" s="9" t="n">
        <v>46189</v>
      </c>
      <c r="D843" s="8" t="n">
        <v>2026</v>
      </c>
      <c r="E843" s="8" t="n">
        <v>25</v>
      </c>
      <c r="F843" s="18" t="s">
        <v>127</v>
      </c>
      <c r="G843" s="8" t="s">
        <v>117</v>
      </c>
      <c r="H843" s="19" t="n">
        <v>0.333333333333333</v>
      </c>
      <c r="I843" s="19" t="n">
        <v>0.33125</v>
      </c>
      <c r="J843" s="19" t="n">
        <v>0.75</v>
      </c>
      <c r="K843" s="19" t="n">
        <v>0.75</v>
      </c>
      <c r="L843" s="19" t="n">
        <v>0.375</v>
      </c>
      <c r="M843" s="19" t="n">
        <v>0.375</v>
      </c>
      <c r="N843" s="19" t="n">
        <v>0</v>
      </c>
      <c r="O843" s="19" t="n">
        <v>0.00208333333333333</v>
      </c>
      <c r="P843" s="17" t="n">
        <f aca="false">IF(AND(ISNUMBER(H843),ISNUMBER(I843)),MAX(0,ROUND((I843-H843)*1440,0)-'Bilan agents'!$C$4),0)</f>
        <v>0</v>
      </c>
      <c r="Q843" s="8" t="str">
        <f aca="false">IF(H843="Congé","CP",IF(H843="Férié","F",IF(H843="OFF","R",IF(N843&gt;0,"A",IF(ISNUMBER(I843),"P","NR")))))</f>
        <v>P</v>
      </c>
      <c r="R843" s="18"/>
    </row>
    <row r="844" customFormat="false" ht="15" hidden="false" customHeight="false" outlineLevel="0" collapsed="false">
      <c r="A844" s="18" t="s">
        <v>30</v>
      </c>
      <c r="B844" s="8" t="s">
        <v>31</v>
      </c>
      <c r="C844" s="9" t="n">
        <v>46190</v>
      </c>
      <c r="D844" s="8" t="n">
        <v>2026</v>
      </c>
      <c r="E844" s="8" t="n">
        <v>25</v>
      </c>
      <c r="F844" s="18" t="s">
        <v>127</v>
      </c>
      <c r="G844" s="8" t="s">
        <v>118</v>
      </c>
      <c r="H844" s="19" t="n">
        <v>0.333333333333333</v>
      </c>
      <c r="I844" s="19" t="n">
        <v>0.333333333333333</v>
      </c>
      <c r="J844" s="19" t="n">
        <v>0.75</v>
      </c>
      <c r="K844" s="19" t="n">
        <v>0.75</v>
      </c>
      <c r="L844" s="19" t="n">
        <v>0.375</v>
      </c>
      <c r="M844" s="19" t="n">
        <v>0.375</v>
      </c>
      <c r="N844" s="19" t="n">
        <v>0</v>
      </c>
      <c r="O844" s="19" t="n">
        <v>0</v>
      </c>
      <c r="P844" s="17" t="n">
        <f aca="false">IF(AND(ISNUMBER(H844),ISNUMBER(I844)),MAX(0,ROUND((I844-H844)*1440,0)-'Bilan agents'!$C$4),0)</f>
        <v>0</v>
      </c>
      <c r="Q844" s="8" t="str">
        <f aca="false">IF(H844="Congé","CP",IF(H844="Férié","F",IF(H844="OFF","R",IF(N844&gt;0,"A",IF(ISNUMBER(I844),"P","NR")))))</f>
        <v>P</v>
      </c>
      <c r="R844" s="18"/>
    </row>
    <row r="845" customFormat="false" ht="15" hidden="false" customHeight="false" outlineLevel="0" collapsed="false">
      <c r="A845" s="18" t="s">
        <v>30</v>
      </c>
      <c r="B845" s="8" t="s">
        <v>31</v>
      </c>
      <c r="C845" s="9" t="n">
        <v>46191</v>
      </c>
      <c r="D845" s="8" t="n">
        <v>2026</v>
      </c>
      <c r="E845" s="8" t="n">
        <v>25</v>
      </c>
      <c r="F845" s="18" t="s">
        <v>127</v>
      </c>
      <c r="G845" s="8" t="s">
        <v>119</v>
      </c>
      <c r="H845" s="19" t="n">
        <v>0.333333333333333</v>
      </c>
      <c r="I845" s="19" t="n">
        <v>0.331944444444444</v>
      </c>
      <c r="J845" s="19" t="n">
        <v>0.75</v>
      </c>
      <c r="K845" s="19" t="n">
        <v>0.75</v>
      </c>
      <c r="L845" s="19" t="n">
        <v>0.375</v>
      </c>
      <c r="M845" s="19" t="n">
        <v>0.375</v>
      </c>
      <c r="N845" s="19" t="n">
        <v>0</v>
      </c>
      <c r="O845" s="19" t="n">
        <v>0.00138888888888889</v>
      </c>
      <c r="P845" s="17" t="n">
        <f aca="false">IF(AND(ISNUMBER(H845),ISNUMBER(I845)),MAX(0,ROUND((I845-H845)*1440,0)-'Bilan agents'!$C$4),0)</f>
        <v>0</v>
      </c>
      <c r="Q845" s="8" t="str">
        <f aca="false">IF(H845="Congé","CP",IF(H845="Férié","F",IF(H845="OFF","R",IF(N845&gt;0,"A",IF(ISNUMBER(I845),"P","NR")))))</f>
        <v>P</v>
      </c>
      <c r="R845" s="18"/>
    </row>
    <row r="846" customFormat="false" ht="15" hidden="false" customHeight="false" outlineLevel="0" collapsed="false">
      <c r="A846" s="18" t="s">
        <v>30</v>
      </c>
      <c r="B846" s="8" t="s">
        <v>31</v>
      </c>
      <c r="C846" s="9" t="n">
        <v>46192</v>
      </c>
      <c r="D846" s="8" t="n">
        <v>2026</v>
      </c>
      <c r="E846" s="8" t="n">
        <v>25</v>
      </c>
      <c r="F846" s="18" t="s">
        <v>127</v>
      </c>
      <c r="G846" s="8" t="s">
        <v>120</v>
      </c>
      <c r="H846" s="19" t="n">
        <v>0.333333333333333</v>
      </c>
      <c r="I846" s="19" t="n">
        <v>0.332638888888889</v>
      </c>
      <c r="J846" s="19" t="n">
        <v>0.708333333333333</v>
      </c>
      <c r="K846" s="19" t="n">
        <v>0.708333333333333</v>
      </c>
      <c r="L846" s="19" t="n">
        <v>0.333333333333333</v>
      </c>
      <c r="M846" s="19" t="n">
        <v>0.333333333333333</v>
      </c>
      <c r="N846" s="19" t="n">
        <v>0</v>
      </c>
      <c r="O846" s="19" t="n">
        <v>0</v>
      </c>
      <c r="P846" s="17" t="n">
        <f aca="false">IF(AND(ISNUMBER(H846),ISNUMBER(I846)),MAX(0,ROUND((I846-H846)*1440,0)-'Bilan agents'!$C$4),0)</f>
        <v>0</v>
      </c>
      <c r="Q846" s="8" t="str">
        <f aca="false">IF(H846="Congé","CP",IF(H846="Férié","F",IF(H846="OFF","R",IF(N846&gt;0,"A",IF(ISNUMBER(I846),"P","NR")))))</f>
        <v>P</v>
      </c>
      <c r="R846" s="18"/>
    </row>
    <row r="847" customFormat="false" ht="15" hidden="false" customHeight="false" outlineLevel="0" collapsed="false">
      <c r="A847" s="18" t="s">
        <v>30</v>
      </c>
      <c r="B847" s="8" t="s">
        <v>31</v>
      </c>
      <c r="C847" s="9" t="n">
        <v>46193</v>
      </c>
      <c r="D847" s="8" t="n">
        <v>2026</v>
      </c>
      <c r="E847" s="8" t="n">
        <v>25</v>
      </c>
      <c r="F847" s="18" t="s">
        <v>127</v>
      </c>
      <c r="G847" s="8" t="s">
        <v>121</v>
      </c>
      <c r="H847" s="19" t="s">
        <v>115</v>
      </c>
      <c r="I847" s="19"/>
      <c r="J847" s="19"/>
      <c r="K847" s="19"/>
      <c r="L847" s="19" t="n">
        <v>0</v>
      </c>
      <c r="M847" s="19"/>
      <c r="N847" s="19" t="n">
        <v>0</v>
      </c>
      <c r="O847" s="19" t="n">
        <v>0</v>
      </c>
      <c r="P847" s="17" t="n">
        <f aca="false">IF(AND(ISNUMBER(H847),ISNUMBER(I847)),MAX(0,ROUND((I847-H847)*1440,0)-'Bilan agents'!$C$4),0)</f>
        <v>0</v>
      </c>
      <c r="Q847" s="8" t="str">
        <f aca="false">IF(H847="Congé","CP",IF(H847="Férié","F",IF(H847="OFF","R",IF(N847&gt;0,"A",IF(ISNUMBER(I847),"P","NR")))))</f>
        <v>R</v>
      </c>
      <c r="R847" s="18"/>
    </row>
    <row r="848" customFormat="false" ht="15" hidden="false" customHeight="false" outlineLevel="0" collapsed="false">
      <c r="A848" s="18" t="s">
        <v>30</v>
      </c>
      <c r="B848" s="8" t="s">
        <v>31</v>
      </c>
      <c r="C848" s="9" t="n">
        <v>46194</v>
      </c>
      <c r="D848" s="8" t="n">
        <v>2026</v>
      </c>
      <c r="E848" s="8" t="n">
        <v>25</v>
      </c>
      <c r="F848" s="18" t="s">
        <v>127</v>
      </c>
      <c r="G848" s="8" t="s">
        <v>114</v>
      </c>
      <c r="H848" s="19" t="s">
        <v>115</v>
      </c>
      <c r="I848" s="19"/>
      <c r="J848" s="19"/>
      <c r="K848" s="19"/>
      <c r="L848" s="19" t="n">
        <v>0</v>
      </c>
      <c r="M848" s="19"/>
      <c r="N848" s="19" t="n">
        <v>0</v>
      </c>
      <c r="O848" s="19" t="n">
        <v>0</v>
      </c>
      <c r="P848" s="17" t="n">
        <f aca="false">IF(AND(ISNUMBER(H848),ISNUMBER(I848)),MAX(0,ROUND((I848-H848)*1440,0)-'Bilan agents'!$C$4),0)</f>
        <v>0</v>
      </c>
      <c r="Q848" s="8" t="str">
        <f aca="false">IF(H848="Congé","CP",IF(H848="Férié","F",IF(H848="OFF","R",IF(N848&gt;0,"A",IF(ISNUMBER(I848),"P","NR")))))</f>
        <v>R</v>
      </c>
      <c r="R848" s="18"/>
    </row>
    <row r="849" customFormat="false" ht="15" hidden="false" customHeight="false" outlineLevel="0" collapsed="false">
      <c r="A849" s="18" t="s">
        <v>30</v>
      </c>
      <c r="B849" s="8" t="s">
        <v>31</v>
      </c>
      <c r="C849" s="9" t="n">
        <v>46195</v>
      </c>
      <c r="D849" s="8" t="n">
        <v>2026</v>
      </c>
      <c r="E849" s="8" t="n">
        <v>26</v>
      </c>
      <c r="F849" s="18" t="s">
        <v>127</v>
      </c>
      <c r="G849" s="8" t="s">
        <v>116</v>
      </c>
      <c r="H849" s="19" t="n">
        <v>0.333333333333333</v>
      </c>
      <c r="I849" s="19" t="n">
        <v>0.36875</v>
      </c>
      <c r="J849" s="19" t="n">
        <v>0.75</v>
      </c>
      <c r="K849" s="19" t="n">
        <v>0.75</v>
      </c>
      <c r="L849" s="19" t="n">
        <v>0.375</v>
      </c>
      <c r="M849" s="19" t="n">
        <v>0.375</v>
      </c>
      <c r="N849" s="19" t="n">
        <v>0</v>
      </c>
      <c r="O849" s="19" t="n">
        <v>0</v>
      </c>
      <c r="P849" s="17" t="n">
        <f aca="false">IF(AND(ISNUMBER(H849),ISNUMBER(I849)),MAX(0,ROUND((I849-H849)*1440,0)-'Bilan agents'!$C$4),0)</f>
        <v>51</v>
      </c>
      <c r="Q849" s="8" t="str">
        <f aca="false">IF(H849="Congé","CP",IF(H849="Férié","F",IF(H849="OFF","R",IF(N849&gt;0,"A",IF(ISNUMBER(I849),"P","NR")))))</f>
        <v>P</v>
      </c>
      <c r="R849" s="18"/>
    </row>
    <row r="850" customFormat="false" ht="15" hidden="false" customHeight="false" outlineLevel="0" collapsed="false">
      <c r="A850" s="18" t="s">
        <v>30</v>
      </c>
      <c r="B850" s="8" t="s">
        <v>31</v>
      </c>
      <c r="C850" s="9" t="n">
        <v>46196</v>
      </c>
      <c r="D850" s="8" t="n">
        <v>2026</v>
      </c>
      <c r="E850" s="8" t="n">
        <v>26</v>
      </c>
      <c r="F850" s="18" t="s">
        <v>127</v>
      </c>
      <c r="G850" s="8" t="s">
        <v>117</v>
      </c>
      <c r="H850" s="19" t="n">
        <v>0.333333333333333</v>
      </c>
      <c r="I850" s="19" t="n">
        <v>0.331944444444444</v>
      </c>
      <c r="J850" s="19" t="n">
        <v>0.75</v>
      </c>
      <c r="K850" s="19" t="n">
        <v>0.75</v>
      </c>
      <c r="L850" s="19" t="n">
        <v>0.375</v>
      </c>
      <c r="M850" s="19" t="n">
        <v>0.375</v>
      </c>
      <c r="N850" s="19" t="n">
        <v>0</v>
      </c>
      <c r="O850" s="19" t="n">
        <v>0.00138888888888889</v>
      </c>
      <c r="P850" s="17" t="n">
        <f aca="false">IF(AND(ISNUMBER(H850),ISNUMBER(I850)),MAX(0,ROUND((I850-H850)*1440,0)-'Bilan agents'!$C$4),0)</f>
        <v>0</v>
      </c>
      <c r="Q850" s="8" t="str">
        <f aca="false">IF(H850="Congé","CP",IF(H850="Férié","F",IF(H850="OFF","R",IF(N850&gt;0,"A",IF(ISNUMBER(I850),"P","NR")))))</f>
        <v>P</v>
      </c>
      <c r="R850" s="18"/>
    </row>
    <row r="851" customFormat="false" ht="15" hidden="false" customHeight="false" outlineLevel="0" collapsed="false">
      <c r="A851" s="18" t="s">
        <v>30</v>
      </c>
      <c r="B851" s="8" t="s">
        <v>31</v>
      </c>
      <c r="C851" s="9" t="n">
        <v>46197</v>
      </c>
      <c r="D851" s="8" t="n">
        <v>2026</v>
      </c>
      <c r="E851" s="8" t="n">
        <v>26</v>
      </c>
      <c r="F851" s="18" t="s">
        <v>127</v>
      </c>
      <c r="G851" s="8" t="s">
        <v>118</v>
      </c>
      <c r="H851" s="19" t="n">
        <v>0.333333333333333</v>
      </c>
      <c r="I851" s="19" t="n">
        <v>0.331944444444444</v>
      </c>
      <c r="J851" s="19" t="n">
        <v>0.75</v>
      </c>
      <c r="K851" s="19" t="n">
        <v>0.75</v>
      </c>
      <c r="L851" s="19" t="n">
        <v>0.375</v>
      </c>
      <c r="M851" s="19" t="n">
        <v>0.375</v>
      </c>
      <c r="N851" s="19" t="n">
        <v>0</v>
      </c>
      <c r="O851" s="19" t="n">
        <v>0.00138888888888889</v>
      </c>
      <c r="P851" s="17" t="n">
        <f aca="false">IF(AND(ISNUMBER(H851),ISNUMBER(I851)),MAX(0,ROUND((I851-H851)*1440,0)-'Bilan agents'!$C$4),0)</f>
        <v>0</v>
      </c>
      <c r="Q851" s="8" t="str">
        <f aca="false">IF(H851="Congé","CP",IF(H851="Férié","F",IF(H851="OFF","R",IF(N851&gt;0,"A",IF(ISNUMBER(I851),"P","NR")))))</f>
        <v>P</v>
      </c>
      <c r="R851" s="18"/>
    </row>
    <row r="852" customFormat="false" ht="15" hidden="false" customHeight="false" outlineLevel="0" collapsed="false">
      <c r="A852" s="18" t="s">
        <v>30</v>
      </c>
      <c r="B852" s="8" t="s">
        <v>31</v>
      </c>
      <c r="C852" s="9" t="n">
        <v>46198</v>
      </c>
      <c r="D852" s="8" t="n">
        <v>2026</v>
      </c>
      <c r="E852" s="8" t="n">
        <v>26</v>
      </c>
      <c r="F852" s="18" t="s">
        <v>127</v>
      </c>
      <c r="G852" s="8" t="s">
        <v>119</v>
      </c>
      <c r="H852" s="19" t="n">
        <v>0.333333333333333</v>
      </c>
      <c r="I852" s="19" t="n">
        <v>0.333333333333333</v>
      </c>
      <c r="J852" s="19" t="n">
        <v>0.75</v>
      </c>
      <c r="K852" s="19" t="n">
        <v>0.75</v>
      </c>
      <c r="L852" s="19" t="n">
        <v>0.375</v>
      </c>
      <c r="M852" s="19" t="n">
        <v>0.375</v>
      </c>
      <c r="N852" s="19" t="n">
        <v>0</v>
      </c>
      <c r="O852" s="19" t="n">
        <v>0</v>
      </c>
      <c r="P852" s="17" t="n">
        <f aca="false">IF(AND(ISNUMBER(H852),ISNUMBER(I852)),MAX(0,ROUND((I852-H852)*1440,0)-'Bilan agents'!$C$4),0)</f>
        <v>0</v>
      </c>
      <c r="Q852" s="8" t="str">
        <f aca="false">IF(H852="Congé","CP",IF(H852="Férié","F",IF(H852="OFF","R",IF(N852&gt;0,"A",IF(ISNUMBER(I852),"P","NR")))))</f>
        <v>P</v>
      </c>
      <c r="R852" s="18"/>
    </row>
    <row r="853" customFormat="false" ht="15" hidden="false" customHeight="false" outlineLevel="0" collapsed="false">
      <c r="A853" s="18" t="s">
        <v>30</v>
      </c>
      <c r="B853" s="8" t="s">
        <v>31</v>
      </c>
      <c r="C853" s="9" t="n">
        <v>46199</v>
      </c>
      <c r="D853" s="8" t="n">
        <v>2026</v>
      </c>
      <c r="E853" s="8" t="n">
        <v>26</v>
      </c>
      <c r="F853" s="18" t="s">
        <v>127</v>
      </c>
      <c r="G853" s="8" t="s">
        <v>120</v>
      </c>
      <c r="H853" s="19" t="n">
        <v>0.333333333333333</v>
      </c>
      <c r="I853" s="19" t="n">
        <v>0.333333333333333</v>
      </c>
      <c r="J853" s="19" t="n">
        <v>0.708333333333333</v>
      </c>
      <c r="K853" s="19" t="n">
        <v>0.708333333333333</v>
      </c>
      <c r="L853" s="19" t="n">
        <v>0.333333333333333</v>
      </c>
      <c r="M853" s="19" t="n">
        <v>0.333333333333333</v>
      </c>
      <c r="N853" s="19" t="n">
        <v>0</v>
      </c>
      <c r="O853" s="19" t="n">
        <v>0</v>
      </c>
      <c r="P853" s="17" t="n">
        <f aca="false">IF(AND(ISNUMBER(H853),ISNUMBER(I853)),MAX(0,ROUND((I853-H853)*1440,0)-'Bilan agents'!$C$4),0)</f>
        <v>0</v>
      </c>
      <c r="Q853" s="8" t="str">
        <f aca="false">IF(H853="Congé","CP",IF(H853="Férié","F",IF(H853="OFF","R",IF(N853&gt;0,"A",IF(ISNUMBER(I853),"P","NR")))))</f>
        <v>P</v>
      </c>
      <c r="R853" s="18"/>
    </row>
    <row r="854" customFormat="false" ht="15" hidden="false" customHeight="false" outlineLevel="0" collapsed="false">
      <c r="A854" s="18" t="s">
        <v>30</v>
      </c>
      <c r="B854" s="8" t="s">
        <v>31</v>
      </c>
      <c r="C854" s="9" t="n">
        <v>46200</v>
      </c>
      <c r="D854" s="8" t="n">
        <v>2026</v>
      </c>
      <c r="E854" s="8" t="n">
        <v>26</v>
      </c>
      <c r="F854" s="18" t="s">
        <v>127</v>
      </c>
      <c r="G854" s="8" t="s">
        <v>121</v>
      </c>
      <c r="H854" s="19" t="s">
        <v>115</v>
      </c>
      <c r="I854" s="19"/>
      <c r="J854" s="19"/>
      <c r="K854" s="19"/>
      <c r="L854" s="19" t="n">
        <v>0</v>
      </c>
      <c r="M854" s="19"/>
      <c r="N854" s="19" t="n">
        <v>0</v>
      </c>
      <c r="O854" s="19" t="n">
        <v>0</v>
      </c>
      <c r="P854" s="17" t="n">
        <f aca="false">IF(AND(ISNUMBER(H854),ISNUMBER(I854)),MAX(0,ROUND((I854-H854)*1440,0)-'Bilan agents'!$C$4),0)</f>
        <v>0</v>
      </c>
      <c r="Q854" s="8" t="str">
        <f aca="false">IF(H854="Congé","CP",IF(H854="Férié","F",IF(H854="OFF","R",IF(N854&gt;0,"A",IF(ISNUMBER(I854),"P","NR")))))</f>
        <v>R</v>
      </c>
      <c r="R854" s="18"/>
    </row>
    <row r="855" customFormat="false" ht="15" hidden="false" customHeight="false" outlineLevel="0" collapsed="false">
      <c r="A855" s="18" t="s">
        <v>30</v>
      </c>
      <c r="B855" s="8" t="s">
        <v>31</v>
      </c>
      <c r="C855" s="9" t="n">
        <v>46201</v>
      </c>
      <c r="D855" s="8" t="n">
        <v>2026</v>
      </c>
      <c r="E855" s="8" t="n">
        <v>26</v>
      </c>
      <c r="F855" s="18" t="s">
        <v>127</v>
      </c>
      <c r="G855" s="8" t="s">
        <v>114</v>
      </c>
      <c r="H855" s="19" t="s">
        <v>115</v>
      </c>
      <c r="I855" s="19"/>
      <c r="J855" s="19"/>
      <c r="K855" s="19"/>
      <c r="L855" s="19" t="n">
        <v>0</v>
      </c>
      <c r="M855" s="19"/>
      <c r="N855" s="19" t="n">
        <v>0</v>
      </c>
      <c r="O855" s="19" t="n">
        <v>0</v>
      </c>
      <c r="P855" s="17" t="n">
        <f aca="false">IF(AND(ISNUMBER(H855),ISNUMBER(I855)),MAX(0,ROUND((I855-H855)*1440,0)-'Bilan agents'!$C$4),0)</f>
        <v>0</v>
      </c>
      <c r="Q855" s="8" t="str">
        <f aca="false">IF(H855="Congé","CP",IF(H855="Férié","F",IF(H855="OFF","R",IF(N855&gt;0,"A",IF(ISNUMBER(I855),"P","NR")))))</f>
        <v>R</v>
      </c>
      <c r="R855" s="18"/>
    </row>
    <row r="856" customFormat="false" ht="15" hidden="false" customHeight="false" outlineLevel="0" collapsed="false">
      <c r="A856" s="18" t="s">
        <v>30</v>
      </c>
      <c r="B856" s="8" t="s">
        <v>31</v>
      </c>
      <c r="C856" s="9" t="n">
        <v>46202</v>
      </c>
      <c r="D856" s="8" t="n">
        <v>2026</v>
      </c>
      <c r="E856" s="8" t="n">
        <v>27</v>
      </c>
      <c r="F856" s="18" t="s">
        <v>127</v>
      </c>
      <c r="G856" s="8" t="s">
        <v>116</v>
      </c>
      <c r="H856" s="19" t="n">
        <v>0.333333333333333</v>
      </c>
      <c r="I856" s="19" t="n">
        <v>0.333333333333333</v>
      </c>
      <c r="J856" s="19" t="n">
        <v>0.75</v>
      </c>
      <c r="K856" s="19" t="n">
        <v>0.75</v>
      </c>
      <c r="L856" s="19" t="n">
        <v>0.375</v>
      </c>
      <c r="M856" s="19" t="n">
        <v>0.375</v>
      </c>
      <c r="N856" s="19" t="n">
        <v>0</v>
      </c>
      <c r="O856" s="19" t="n">
        <v>0</v>
      </c>
      <c r="P856" s="17" t="n">
        <f aca="false">IF(AND(ISNUMBER(H856),ISNUMBER(I856)),MAX(0,ROUND((I856-H856)*1440,0)-'Bilan agents'!$C$4),0)</f>
        <v>0</v>
      </c>
      <c r="Q856" s="8" t="str">
        <f aca="false">IF(H856="Congé","CP",IF(H856="Férié","F",IF(H856="OFF","R",IF(N856&gt;0,"A",IF(ISNUMBER(I856),"P","NR")))))</f>
        <v>P</v>
      </c>
      <c r="R856" s="18"/>
    </row>
    <row r="857" customFormat="false" ht="15" hidden="false" customHeight="false" outlineLevel="0" collapsed="false">
      <c r="A857" s="18" t="s">
        <v>30</v>
      </c>
      <c r="B857" s="8" t="s">
        <v>31</v>
      </c>
      <c r="C857" s="9" t="n">
        <v>46203</v>
      </c>
      <c r="D857" s="8" t="n">
        <v>2026</v>
      </c>
      <c r="E857" s="8" t="n">
        <v>27</v>
      </c>
      <c r="F857" s="18" t="s">
        <v>127</v>
      </c>
      <c r="G857" s="8" t="s">
        <v>117</v>
      </c>
      <c r="H857" s="19" t="n">
        <v>0.333333333333333</v>
      </c>
      <c r="I857" s="19" t="n">
        <v>0.333333333333333</v>
      </c>
      <c r="J857" s="19" t="n">
        <v>0.75</v>
      </c>
      <c r="K857" s="19" t="n">
        <v>0.75</v>
      </c>
      <c r="L857" s="19" t="n">
        <v>0.375</v>
      </c>
      <c r="M857" s="19" t="n">
        <v>0.375</v>
      </c>
      <c r="N857" s="19" t="n">
        <v>0</v>
      </c>
      <c r="O857" s="19" t="n">
        <v>0</v>
      </c>
      <c r="P857" s="17" t="n">
        <f aca="false">IF(AND(ISNUMBER(H857),ISNUMBER(I857)),MAX(0,ROUND((I857-H857)*1440,0)-'Bilan agents'!$C$4),0)</f>
        <v>0</v>
      </c>
      <c r="Q857" s="8" t="str">
        <f aca="false">IF(H857="Congé","CP",IF(H857="Férié","F",IF(H857="OFF","R",IF(N857&gt;0,"A",IF(ISNUMBER(I857),"P","NR")))))</f>
        <v>P</v>
      </c>
      <c r="R857" s="18"/>
    </row>
    <row r="858" customFormat="false" ht="15" hidden="false" customHeight="false" outlineLevel="0" collapsed="false">
      <c r="A858" s="18" t="s">
        <v>30</v>
      </c>
      <c r="B858" s="8" t="s">
        <v>31</v>
      </c>
      <c r="C858" s="9" t="n">
        <v>46204</v>
      </c>
      <c r="D858" s="8" t="n">
        <v>2026</v>
      </c>
      <c r="E858" s="8" t="n">
        <v>27</v>
      </c>
      <c r="F858" s="18" t="s">
        <v>128</v>
      </c>
      <c r="G858" s="8" t="s">
        <v>118</v>
      </c>
      <c r="H858" s="19" t="n">
        <v>0.333333333333333</v>
      </c>
      <c r="I858" s="19" t="n">
        <v>0.333333333333333</v>
      </c>
      <c r="J858" s="19" t="n">
        <v>0.75</v>
      </c>
      <c r="K858" s="19" t="n">
        <v>0.75</v>
      </c>
      <c r="L858" s="19" t="n">
        <v>0.375</v>
      </c>
      <c r="M858" s="19" t="n">
        <v>0.375</v>
      </c>
      <c r="N858" s="19" t="n">
        <v>0</v>
      </c>
      <c r="O858" s="19" t="n">
        <v>0</v>
      </c>
      <c r="P858" s="17" t="n">
        <f aca="false">IF(AND(ISNUMBER(H858),ISNUMBER(I858)),MAX(0,ROUND((I858-H858)*1440,0)-'Bilan agents'!$C$4),0)</f>
        <v>0</v>
      </c>
      <c r="Q858" s="8" t="str">
        <f aca="false">IF(H858="Congé","CP",IF(H858="Férié","F",IF(H858="OFF","R",IF(N858&gt;0,"A",IF(ISNUMBER(I858),"P","NR")))))</f>
        <v>P</v>
      </c>
      <c r="R858" s="18"/>
    </row>
    <row r="859" customFormat="false" ht="15" hidden="false" customHeight="false" outlineLevel="0" collapsed="false">
      <c r="A859" s="18" t="s">
        <v>30</v>
      </c>
      <c r="B859" s="8" t="s">
        <v>31</v>
      </c>
      <c r="C859" s="9" t="n">
        <v>46205</v>
      </c>
      <c r="D859" s="8" t="n">
        <v>2026</v>
      </c>
      <c r="E859" s="8" t="n">
        <v>27</v>
      </c>
      <c r="F859" s="18" t="s">
        <v>128</v>
      </c>
      <c r="G859" s="8" t="s">
        <v>119</v>
      </c>
      <c r="H859" s="19" t="n">
        <v>0.333333333333333</v>
      </c>
      <c r="I859" s="19" t="n">
        <v>0.329861111111111</v>
      </c>
      <c r="J859" s="19" t="n">
        <v>0.75</v>
      </c>
      <c r="K859" s="19" t="n">
        <v>0.75</v>
      </c>
      <c r="L859" s="19" t="n">
        <v>0.375</v>
      </c>
      <c r="M859" s="19" t="n">
        <v>0.375</v>
      </c>
      <c r="N859" s="19" t="n">
        <v>0</v>
      </c>
      <c r="O859" s="19" t="n">
        <v>0.00347222222222222</v>
      </c>
      <c r="P859" s="17" t="n">
        <f aca="false">IF(AND(ISNUMBER(H859),ISNUMBER(I859)),MAX(0,ROUND((I859-H859)*1440,0)-'Bilan agents'!$C$4),0)</f>
        <v>0</v>
      </c>
      <c r="Q859" s="8" t="str">
        <f aca="false">IF(H859="Congé","CP",IF(H859="Férié","F",IF(H859="OFF","R",IF(N859&gt;0,"A",IF(ISNUMBER(I859),"P","NR")))))</f>
        <v>P</v>
      </c>
      <c r="R859" s="18"/>
    </row>
    <row r="860" customFormat="false" ht="15" hidden="false" customHeight="false" outlineLevel="0" collapsed="false">
      <c r="A860" s="18" t="s">
        <v>30</v>
      </c>
      <c r="B860" s="8" t="s">
        <v>31</v>
      </c>
      <c r="C860" s="9" t="n">
        <v>46206</v>
      </c>
      <c r="D860" s="8" t="n">
        <v>2026</v>
      </c>
      <c r="E860" s="8" t="n">
        <v>27</v>
      </c>
      <c r="F860" s="18" t="s">
        <v>128</v>
      </c>
      <c r="G860" s="8" t="s">
        <v>120</v>
      </c>
      <c r="H860" s="19" t="n">
        <v>0.333333333333333</v>
      </c>
      <c r="I860" s="19" t="n">
        <v>0.333333333333333</v>
      </c>
      <c r="J860" s="19" t="n">
        <v>0.708333333333333</v>
      </c>
      <c r="K860" s="19" t="n">
        <v>0.708333333333333</v>
      </c>
      <c r="L860" s="19" t="n">
        <v>0.333333333333333</v>
      </c>
      <c r="M860" s="19" t="n">
        <v>0.333333333333333</v>
      </c>
      <c r="N860" s="19" t="n">
        <v>0</v>
      </c>
      <c r="O860" s="19" t="n">
        <v>0</v>
      </c>
      <c r="P860" s="17" t="n">
        <f aca="false">IF(AND(ISNUMBER(H860),ISNUMBER(I860)),MAX(0,ROUND((I860-H860)*1440,0)-'Bilan agents'!$C$4),0)</f>
        <v>0</v>
      </c>
      <c r="Q860" s="8" t="str">
        <f aca="false">IF(H860="Congé","CP",IF(H860="Férié","F",IF(H860="OFF","R",IF(N860&gt;0,"A",IF(ISNUMBER(I860),"P","NR")))))</f>
        <v>P</v>
      </c>
      <c r="R860" s="18"/>
    </row>
    <row r="861" customFormat="false" ht="15" hidden="false" customHeight="false" outlineLevel="0" collapsed="false">
      <c r="A861" s="18" t="s">
        <v>30</v>
      </c>
      <c r="B861" s="8" t="s">
        <v>31</v>
      </c>
      <c r="C861" s="9" t="n">
        <v>46207</v>
      </c>
      <c r="D861" s="8" t="n">
        <v>2026</v>
      </c>
      <c r="E861" s="8" t="n">
        <v>27</v>
      </c>
      <c r="F861" s="18" t="s">
        <v>128</v>
      </c>
      <c r="G861" s="8" t="s">
        <v>121</v>
      </c>
      <c r="H861" s="19" t="s">
        <v>115</v>
      </c>
      <c r="I861" s="19"/>
      <c r="J861" s="19"/>
      <c r="K861" s="19"/>
      <c r="L861" s="19" t="n">
        <v>0</v>
      </c>
      <c r="M861" s="19"/>
      <c r="N861" s="19" t="n">
        <v>0</v>
      </c>
      <c r="O861" s="19" t="n">
        <v>0</v>
      </c>
      <c r="P861" s="17" t="n">
        <f aca="false">IF(AND(ISNUMBER(H861),ISNUMBER(I861)),MAX(0,ROUND((I861-H861)*1440,0)-'Bilan agents'!$C$4),0)</f>
        <v>0</v>
      </c>
      <c r="Q861" s="8" t="str">
        <f aca="false">IF(H861="Congé","CP",IF(H861="Férié","F",IF(H861="OFF","R",IF(N861&gt;0,"A",IF(ISNUMBER(I861),"P","NR")))))</f>
        <v>R</v>
      </c>
      <c r="R861" s="18"/>
    </row>
    <row r="862" customFormat="false" ht="15" hidden="false" customHeight="false" outlineLevel="0" collapsed="false">
      <c r="A862" s="18" t="s">
        <v>30</v>
      </c>
      <c r="B862" s="8" t="s">
        <v>31</v>
      </c>
      <c r="C862" s="9" t="n">
        <v>46208</v>
      </c>
      <c r="D862" s="8" t="n">
        <v>2026</v>
      </c>
      <c r="E862" s="8" t="n">
        <v>27</v>
      </c>
      <c r="F862" s="18" t="s">
        <v>128</v>
      </c>
      <c r="G862" s="8" t="s">
        <v>114</v>
      </c>
      <c r="H862" s="19" t="s">
        <v>115</v>
      </c>
      <c r="I862" s="19"/>
      <c r="J862" s="19"/>
      <c r="K862" s="19"/>
      <c r="L862" s="19" t="n">
        <v>0</v>
      </c>
      <c r="M862" s="19"/>
      <c r="N862" s="19" t="n">
        <v>0</v>
      </c>
      <c r="O862" s="19" t="n">
        <v>0</v>
      </c>
      <c r="P862" s="17" t="n">
        <f aca="false">IF(AND(ISNUMBER(H862),ISNUMBER(I862)),MAX(0,ROUND((I862-H862)*1440,0)-'Bilan agents'!$C$4),0)</f>
        <v>0</v>
      </c>
      <c r="Q862" s="8" t="str">
        <f aca="false">IF(H862="Congé","CP",IF(H862="Férié","F",IF(H862="OFF","R",IF(N862&gt;0,"A",IF(ISNUMBER(I862),"P","NR")))))</f>
        <v>R</v>
      </c>
      <c r="R862" s="18"/>
    </row>
    <row r="863" customFormat="false" ht="15" hidden="false" customHeight="false" outlineLevel="0" collapsed="false">
      <c r="A863" s="18" t="s">
        <v>30</v>
      </c>
      <c r="B863" s="8" t="s">
        <v>31</v>
      </c>
      <c r="C863" s="9" t="n">
        <v>46209</v>
      </c>
      <c r="D863" s="8" t="n">
        <v>2026</v>
      </c>
      <c r="E863" s="8" t="n">
        <v>28</v>
      </c>
      <c r="F863" s="18" t="s">
        <v>128</v>
      </c>
      <c r="G863" s="8" t="s">
        <v>116</v>
      </c>
      <c r="H863" s="19" t="n">
        <v>0.333333333333333</v>
      </c>
      <c r="I863" s="19" t="n">
        <v>0.333333333333333</v>
      </c>
      <c r="J863" s="19" t="n">
        <v>0.75</v>
      </c>
      <c r="K863" s="19" t="n">
        <v>0.75</v>
      </c>
      <c r="L863" s="19" t="n">
        <v>0.375</v>
      </c>
      <c r="M863" s="19" t="n">
        <v>0.375</v>
      </c>
      <c r="N863" s="19" t="n">
        <v>0</v>
      </c>
      <c r="O863" s="19" t="n">
        <v>0</v>
      </c>
      <c r="P863" s="17" t="n">
        <f aca="false">IF(AND(ISNUMBER(H863),ISNUMBER(I863)),MAX(0,ROUND((I863-H863)*1440,0)-'Bilan agents'!$C$4),0)</f>
        <v>0</v>
      </c>
      <c r="Q863" s="8" t="str">
        <f aca="false">IF(H863="Congé","CP",IF(H863="Férié","F",IF(H863="OFF","R",IF(N863&gt;0,"A",IF(ISNUMBER(I863),"P","NR")))))</f>
        <v>P</v>
      </c>
      <c r="R863" s="18"/>
    </row>
    <row r="864" customFormat="false" ht="15" hidden="false" customHeight="false" outlineLevel="0" collapsed="false">
      <c r="A864" s="18" t="s">
        <v>30</v>
      </c>
      <c r="B864" s="8" t="s">
        <v>31</v>
      </c>
      <c r="C864" s="9" t="n">
        <v>46210</v>
      </c>
      <c r="D864" s="8" t="n">
        <v>2026</v>
      </c>
      <c r="E864" s="8" t="n">
        <v>28</v>
      </c>
      <c r="F864" s="18" t="s">
        <v>128</v>
      </c>
      <c r="G864" s="8" t="s">
        <v>117</v>
      </c>
      <c r="H864" s="19" t="n">
        <v>0.333333333333333</v>
      </c>
      <c r="I864" s="19" t="n">
        <v>0.333333333333333</v>
      </c>
      <c r="J864" s="19" t="n">
        <v>0.75</v>
      </c>
      <c r="K864" s="19" t="n">
        <v>0.75</v>
      </c>
      <c r="L864" s="19" t="n">
        <v>0.375</v>
      </c>
      <c r="M864" s="19" t="n">
        <v>0.375</v>
      </c>
      <c r="N864" s="19" t="n">
        <v>0</v>
      </c>
      <c r="O864" s="19" t="n">
        <v>0</v>
      </c>
      <c r="P864" s="17" t="n">
        <f aca="false">IF(AND(ISNUMBER(H864),ISNUMBER(I864)),MAX(0,ROUND((I864-H864)*1440,0)-'Bilan agents'!$C$4),0)</f>
        <v>0</v>
      </c>
      <c r="Q864" s="8" t="str">
        <f aca="false">IF(H864="Congé","CP",IF(H864="Férié","F",IF(H864="OFF","R",IF(N864&gt;0,"A",IF(ISNUMBER(I864),"P","NR")))))</f>
        <v>P</v>
      </c>
      <c r="R864" s="18"/>
    </row>
    <row r="865" customFormat="false" ht="15" hidden="false" customHeight="false" outlineLevel="0" collapsed="false">
      <c r="A865" s="18" t="s">
        <v>30</v>
      </c>
      <c r="B865" s="8" t="s">
        <v>31</v>
      </c>
      <c r="C865" s="9" t="n">
        <v>46211</v>
      </c>
      <c r="D865" s="8" t="n">
        <v>2026</v>
      </c>
      <c r="E865" s="8" t="n">
        <v>28</v>
      </c>
      <c r="F865" s="18" t="s">
        <v>128</v>
      </c>
      <c r="G865" s="8" t="s">
        <v>118</v>
      </c>
      <c r="H865" s="19" t="n">
        <v>0.333333333333333</v>
      </c>
      <c r="I865" s="19" t="n">
        <v>0.333333333333333</v>
      </c>
      <c r="J865" s="19" t="n">
        <v>0.75</v>
      </c>
      <c r="K865" s="19" t="n">
        <v>0.75</v>
      </c>
      <c r="L865" s="19" t="n">
        <v>0.375</v>
      </c>
      <c r="M865" s="19" t="n">
        <v>0.375</v>
      </c>
      <c r="N865" s="19" t="n">
        <v>0</v>
      </c>
      <c r="O865" s="19" t="n">
        <v>0</v>
      </c>
      <c r="P865" s="17" t="n">
        <f aca="false">IF(AND(ISNUMBER(H865),ISNUMBER(I865)),MAX(0,ROUND((I865-H865)*1440,0)-'Bilan agents'!$C$4),0)</f>
        <v>0</v>
      </c>
      <c r="Q865" s="8" t="str">
        <f aca="false">IF(H865="Congé","CP",IF(H865="Férié","F",IF(H865="OFF","R",IF(N865&gt;0,"A",IF(ISNUMBER(I865),"P","NR")))))</f>
        <v>P</v>
      </c>
      <c r="R865" s="18"/>
    </row>
    <row r="866" customFormat="false" ht="15" hidden="false" customHeight="false" outlineLevel="0" collapsed="false">
      <c r="A866" s="18" t="s">
        <v>30</v>
      </c>
      <c r="B866" s="8" t="s">
        <v>31</v>
      </c>
      <c r="C866" s="9" t="n">
        <v>46212</v>
      </c>
      <c r="D866" s="8" t="n">
        <v>2026</v>
      </c>
      <c r="E866" s="8" t="n">
        <v>28</v>
      </c>
      <c r="F866" s="18" t="s">
        <v>128</v>
      </c>
      <c r="G866" s="8" t="s">
        <v>119</v>
      </c>
      <c r="H866" s="19" t="n">
        <v>0.333333333333333</v>
      </c>
      <c r="I866" s="19" t="n">
        <v>0.333333333333333</v>
      </c>
      <c r="J866" s="19" t="n">
        <v>0.75</v>
      </c>
      <c r="K866" s="19" t="n">
        <v>0.75</v>
      </c>
      <c r="L866" s="19" t="n">
        <v>0.375</v>
      </c>
      <c r="M866" s="19" t="n">
        <v>0.375</v>
      </c>
      <c r="N866" s="19" t="n">
        <v>0</v>
      </c>
      <c r="O866" s="19" t="n">
        <v>0</v>
      </c>
      <c r="P866" s="17" t="n">
        <f aca="false">IF(AND(ISNUMBER(H866),ISNUMBER(I866)),MAX(0,ROUND((I866-H866)*1440,0)-'Bilan agents'!$C$4),0)</f>
        <v>0</v>
      </c>
      <c r="Q866" s="8" t="str">
        <f aca="false">IF(H866="Congé","CP",IF(H866="Férié","F",IF(H866="OFF","R",IF(N866&gt;0,"A",IF(ISNUMBER(I866),"P","NR")))))</f>
        <v>P</v>
      </c>
      <c r="R866" s="18"/>
    </row>
    <row r="867" customFormat="false" ht="15" hidden="false" customHeight="false" outlineLevel="0" collapsed="false">
      <c r="A867" s="18" t="s">
        <v>30</v>
      </c>
      <c r="B867" s="8" t="s">
        <v>31</v>
      </c>
      <c r="C867" s="9" t="n">
        <v>46213</v>
      </c>
      <c r="D867" s="8" t="n">
        <v>2026</v>
      </c>
      <c r="E867" s="8" t="n">
        <v>28</v>
      </c>
      <c r="F867" s="18" t="s">
        <v>128</v>
      </c>
      <c r="G867" s="8" t="s">
        <v>120</v>
      </c>
      <c r="H867" s="19" t="n">
        <v>0.333333333333333</v>
      </c>
      <c r="I867" s="19" t="n">
        <v>0.333333333333333</v>
      </c>
      <c r="J867" s="19" t="n">
        <v>0.708333333333333</v>
      </c>
      <c r="K867" s="19" t="n">
        <v>0.708333333333333</v>
      </c>
      <c r="L867" s="19" t="n">
        <v>0.333333333333333</v>
      </c>
      <c r="M867" s="19" t="n">
        <v>0.333333333333333</v>
      </c>
      <c r="N867" s="19" t="n">
        <v>0</v>
      </c>
      <c r="O867" s="19" t="n">
        <v>0</v>
      </c>
      <c r="P867" s="17" t="n">
        <f aca="false">IF(AND(ISNUMBER(H867),ISNUMBER(I867)),MAX(0,ROUND((I867-H867)*1440,0)-'Bilan agents'!$C$4),0)</f>
        <v>0</v>
      </c>
      <c r="Q867" s="8" t="str">
        <f aca="false">IF(H867="Congé","CP",IF(H867="Férié","F",IF(H867="OFF","R",IF(N867&gt;0,"A",IF(ISNUMBER(I867),"P","NR")))))</f>
        <v>P</v>
      </c>
      <c r="R867" s="18"/>
    </row>
    <row r="868" customFormat="false" ht="15" hidden="false" customHeight="false" outlineLevel="0" collapsed="false">
      <c r="A868" s="18" t="s">
        <v>30</v>
      </c>
      <c r="B868" s="8" t="s">
        <v>31</v>
      </c>
      <c r="C868" s="9" t="n">
        <v>46214</v>
      </c>
      <c r="D868" s="8" t="n">
        <v>2026</v>
      </c>
      <c r="E868" s="8" t="n">
        <v>28</v>
      </c>
      <c r="F868" s="18" t="s">
        <v>128</v>
      </c>
      <c r="G868" s="8" t="s">
        <v>121</v>
      </c>
      <c r="H868" s="19" t="s">
        <v>115</v>
      </c>
      <c r="I868" s="19"/>
      <c r="J868" s="19"/>
      <c r="K868" s="19"/>
      <c r="L868" s="19" t="n">
        <v>0</v>
      </c>
      <c r="M868" s="19"/>
      <c r="N868" s="19" t="n">
        <v>0</v>
      </c>
      <c r="O868" s="19" t="n">
        <v>0</v>
      </c>
      <c r="P868" s="17" t="n">
        <f aca="false">IF(AND(ISNUMBER(H868),ISNUMBER(I868)),MAX(0,ROUND((I868-H868)*1440,0)-'Bilan agents'!$C$4),0)</f>
        <v>0</v>
      </c>
      <c r="Q868" s="8" t="str">
        <f aca="false">IF(H868="Congé","CP",IF(H868="Férié","F",IF(H868="OFF","R",IF(N868&gt;0,"A",IF(ISNUMBER(I868),"P","NR")))))</f>
        <v>R</v>
      </c>
      <c r="R868" s="18"/>
    </row>
    <row r="869" customFormat="false" ht="15" hidden="false" customHeight="false" outlineLevel="0" collapsed="false">
      <c r="A869" s="18" t="s">
        <v>30</v>
      </c>
      <c r="B869" s="8" t="s">
        <v>31</v>
      </c>
      <c r="C869" s="9" t="n">
        <v>46215</v>
      </c>
      <c r="D869" s="8" t="n">
        <v>2026</v>
      </c>
      <c r="E869" s="8" t="n">
        <v>28</v>
      </c>
      <c r="F869" s="18" t="s">
        <v>128</v>
      </c>
      <c r="G869" s="8" t="s">
        <v>114</v>
      </c>
      <c r="H869" s="19" t="s">
        <v>115</v>
      </c>
      <c r="I869" s="19"/>
      <c r="J869" s="19"/>
      <c r="K869" s="19"/>
      <c r="L869" s="19" t="n">
        <v>0</v>
      </c>
      <c r="M869" s="19"/>
      <c r="N869" s="19" t="n">
        <v>0</v>
      </c>
      <c r="O869" s="19" t="n">
        <v>0</v>
      </c>
      <c r="P869" s="17" t="n">
        <f aca="false">IF(AND(ISNUMBER(H869),ISNUMBER(I869)),MAX(0,ROUND((I869-H869)*1440,0)-'Bilan agents'!$C$4),0)</f>
        <v>0</v>
      </c>
      <c r="Q869" s="8" t="str">
        <f aca="false">IF(H869="Congé","CP",IF(H869="Férié","F",IF(H869="OFF","R",IF(N869&gt;0,"A",IF(ISNUMBER(I869),"P","NR")))))</f>
        <v>R</v>
      </c>
      <c r="R869" s="18"/>
    </row>
    <row r="870" customFormat="false" ht="15" hidden="false" customHeight="false" outlineLevel="0" collapsed="false">
      <c r="A870" s="18" t="s">
        <v>30</v>
      </c>
      <c r="B870" s="8" t="s">
        <v>31</v>
      </c>
      <c r="C870" s="9" t="n">
        <v>46216</v>
      </c>
      <c r="D870" s="8" t="n">
        <v>2026</v>
      </c>
      <c r="E870" s="8" t="n">
        <v>29</v>
      </c>
      <c r="F870" s="18" t="s">
        <v>128</v>
      </c>
      <c r="G870" s="8" t="s">
        <v>116</v>
      </c>
      <c r="H870" s="19" t="s">
        <v>43</v>
      </c>
      <c r="I870" s="19"/>
      <c r="J870" s="19"/>
      <c r="K870" s="19"/>
      <c r="L870" s="19" t="n">
        <v>0</v>
      </c>
      <c r="M870" s="19"/>
      <c r="N870" s="19" t="n">
        <v>0</v>
      </c>
      <c r="O870" s="19" t="n">
        <v>0</v>
      </c>
      <c r="P870" s="17" t="n">
        <f aca="false">IF(AND(ISNUMBER(H870),ISNUMBER(I870)),MAX(0,ROUND((I870-H870)*1440,0)-'Bilan agents'!$C$4),0)</f>
        <v>0</v>
      </c>
      <c r="Q870" s="8" t="str">
        <f aca="false">IF(H870="Congé","CP",IF(H870="Férié","F",IF(H870="OFF","R",IF(N870&gt;0,"A",IF(ISNUMBER(I870),"P","NR")))))</f>
        <v>CP</v>
      </c>
      <c r="R870" s="18"/>
    </row>
    <row r="871" customFormat="false" ht="15" hidden="false" customHeight="false" outlineLevel="0" collapsed="false">
      <c r="A871" s="18" t="s">
        <v>30</v>
      </c>
      <c r="B871" s="8" t="s">
        <v>31</v>
      </c>
      <c r="C871" s="9" t="n">
        <v>46217</v>
      </c>
      <c r="D871" s="8" t="n">
        <v>2026</v>
      </c>
      <c r="E871" s="8" t="n">
        <v>29</v>
      </c>
      <c r="F871" s="18" t="s">
        <v>128</v>
      </c>
      <c r="G871" s="8" t="s">
        <v>117</v>
      </c>
      <c r="H871" s="19" t="s">
        <v>115</v>
      </c>
      <c r="I871" s="19"/>
      <c r="J871" s="19"/>
      <c r="K871" s="19"/>
      <c r="L871" s="19" t="n">
        <v>0</v>
      </c>
      <c r="M871" s="19"/>
      <c r="N871" s="19" t="n">
        <v>0</v>
      </c>
      <c r="O871" s="19" t="n">
        <v>0</v>
      </c>
      <c r="P871" s="17" t="n">
        <f aca="false">IF(AND(ISNUMBER(H871),ISNUMBER(I871)),MAX(0,ROUND((I871-H871)*1440,0)-'Bilan agents'!$C$4),0)</f>
        <v>0</v>
      </c>
      <c r="Q871" s="8" t="str">
        <f aca="false">IF(H871="Congé","CP",IF(H871="Férié","F",IF(H871="OFF","R",IF(N871&gt;0,"A",IF(ISNUMBER(I871),"P","NR")))))</f>
        <v>R</v>
      </c>
      <c r="R871" s="18"/>
    </row>
    <row r="872" customFormat="false" ht="15" hidden="false" customHeight="false" outlineLevel="0" collapsed="false">
      <c r="A872" s="18" t="s">
        <v>30</v>
      </c>
      <c r="B872" s="8" t="s">
        <v>31</v>
      </c>
      <c r="C872" s="9" t="n">
        <v>46218</v>
      </c>
      <c r="D872" s="8" t="n">
        <v>2026</v>
      </c>
      <c r="E872" s="8" t="n">
        <v>29</v>
      </c>
      <c r="F872" s="18" t="s">
        <v>128</v>
      </c>
      <c r="G872" s="8" t="s">
        <v>118</v>
      </c>
      <c r="H872" s="19" t="n">
        <v>0.333333333333333</v>
      </c>
      <c r="I872" s="19" t="n">
        <v>0.333333333333333</v>
      </c>
      <c r="J872" s="19" t="n">
        <v>0.75</v>
      </c>
      <c r="K872" s="19" t="n">
        <v>0.75</v>
      </c>
      <c r="L872" s="19" t="n">
        <v>0.375</v>
      </c>
      <c r="M872" s="19" t="n">
        <v>0.375</v>
      </c>
      <c r="N872" s="19" t="n">
        <v>0</v>
      </c>
      <c r="O872" s="19" t="n">
        <v>0</v>
      </c>
      <c r="P872" s="17" t="n">
        <f aca="false">IF(AND(ISNUMBER(H872),ISNUMBER(I872)),MAX(0,ROUND((I872-H872)*1440,0)-'Bilan agents'!$C$4),0)</f>
        <v>0</v>
      </c>
      <c r="Q872" s="8" t="str">
        <f aca="false">IF(H872="Congé","CP",IF(H872="Férié","F",IF(H872="OFF","R",IF(N872&gt;0,"A",IF(ISNUMBER(I872),"P","NR")))))</f>
        <v>P</v>
      </c>
      <c r="R872" s="18"/>
    </row>
    <row r="873" customFormat="false" ht="15" hidden="false" customHeight="false" outlineLevel="0" collapsed="false">
      <c r="A873" s="18" t="s">
        <v>30</v>
      </c>
      <c r="B873" s="8" t="s">
        <v>31</v>
      </c>
      <c r="C873" s="9" t="n">
        <v>46219</v>
      </c>
      <c r="D873" s="8" t="n">
        <v>2026</v>
      </c>
      <c r="E873" s="8" t="n">
        <v>29</v>
      </c>
      <c r="F873" s="18" t="s">
        <v>128</v>
      </c>
      <c r="G873" s="8" t="s">
        <v>119</v>
      </c>
      <c r="H873" s="19" t="n">
        <v>0.333333333333333</v>
      </c>
      <c r="I873" s="19" t="n">
        <v>0.333333333333333</v>
      </c>
      <c r="J873" s="19" t="n">
        <v>0.75</v>
      </c>
      <c r="K873" s="19" t="n">
        <v>0.75</v>
      </c>
      <c r="L873" s="19" t="n">
        <v>0.375</v>
      </c>
      <c r="M873" s="19" t="n">
        <v>0.375</v>
      </c>
      <c r="N873" s="19" t="n">
        <v>0</v>
      </c>
      <c r="O873" s="19" t="n">
        <v>0</v>
      </c>
      <c r="P873" s="17" t="n">
        <f aca="false">IF(AND(ISNUMBER(H873),ISNUMBER(I873)),MAX(0,ROUND((I873-H873)*1440,0)-'Bilan agents'!$C$4),0)</f>
        <v>0</v>
      </c>
      <c r="Q873" s="8" t="str">
        <f aca="false">IF(H873="Congé","CP",IF(H873="Férié","F",IF(H873="OFF","R",IF(N873&gt;0,"A",IF(ISNUMBER(I873),"P","NR")))))</f>
        <v>P</v>
      </c>
      <c r="R873" s="18"/>
    </row>
    <row r="874" customFormat="false" ht="15" hidden="false" customHeight="false" outlineLevel="0" collapsed="false">
      <c r="A874" s="18" t="s">
        <v>30</v>
      </c>
      <c r="B874" s="8" t="s">
        <v>31</v>
      </c>
      <c r="C874" s="9" t="n">
        <v>46220</v>
      </c>
      <c r="D874" s="8" t="n">
        <v>2026</v>
      </c>
      <c r="E874" s="8" t="n">
        <v>29</v>
      </c>
      <c r="F874" s="18" t="s">
        <v>128</v>
      </c>
      <c r="G874" s="8" t="s">
        <v>120</v>
      </c>
      <c r="H874" s="19" t="n">
        <v>0.333333333333333</v>
      </c>
      <c r="I874" s="19" t="n">
        <v>0.333333333333333</v>
      </c>
      <c r="J874" s="19" t="n">
        <v>0.708333333333333</v>
      </c>
      <c r="K874" s="19" t="n">
        <v>0.708333333333333</v>
      </c>
      <c r="L874" s="19" t="n">
        <v>0.333333333333333</v>
      </c>
      <c r="M874" s="19" t="n">
        <v>0.333333333333333</v>
      </c>
      <c r="N874" s="19" t="n">
        <v>0</v>
      </c>
      <c r="O874" s="19" t="n">
        <v>0</v>
      </c>
      <c r="P874" s="17" t="n">
        <f aca="false">IF(AND(ISNUMBER(H874),ISNUMBER(I874)),MAX(0,ROUND((I874-H874)*1440,0)-'Bilan agents'!$C$4),0)</f>
        <v>0</v>
      </c>
      <c r="Q874" s="8" t="str">
        <f aca="false">IF(H874="Congé","CP",IF(H874="Férié","F",IF(H874="OFF","R",IF(N874&gt;0,"A",IF(ISNUMBER(I874),"P","NR")))))</f>
        <v>P</v>
      </c>
      <c r="R874" s="18"/>
    </row>
    <row r="875" customFormat="false" ht="15" hidden="false" customHeight="false" outlineLevel="0" collapsed="false">
      <c r="A875" s="18" t="s">
        <v>30</v>
      </c>
      <c r="B875" s="8" t="s">
        <v>31</v>
      </c>
      <c r="C875" s="9" t="n">
        <v>46221</v>
      </c>
      <c r="D875" s="8" t="n">
        <v>2026</v>
      </c>
      <c r="E875" s="8" t="n">
        <v>29</v>
      </c>
      <c r="F875" s="18" t="s">
        <v>128</v>
      </c>
      <c r="G875" s="8" t="s">
        <v>121</v>
      </c>
      <c r="H875" s="19" t="s">
        <v>115</v>
      </c>
      <c r="I875" s="19"/>
      <c r="J875" s="19"/>
      <c r="K875" s="19"/>
      <c r="L875" s="19" t="n">
        <v>0</v>
      </c>
      <c r="M875" s="19"/>
      <c r="N875" s="19" t="n">
        <v>0</v>
      </c>
      <c r="O875" s="19" t="n">
        <v>0</v>
      </c>
      <c r="P875" s="17" t="n">
        <f aca="false">IF(AND(ISNUMBER(H875),ISNUMBER(I875)),MAX(0,ROUND((I875-H875)*1440,0)-'Bilan agents'!$C$4),0)</f>
        <v>0</v>
      </c>
      <c r="Q875" s="8" t="str">
        <f aca="false">IF(H875="Congé","CP",IF(H875="Férié","F",IF(H875="OFF","R",IF(N875&gt;0,"A",IF(ISNUMBER(I875),"P","NR")))))</f>
        <v>R</v>
      </c>
      <c r="R875" s="18"/>
    </row>
    <row r="876" customFormat="false" ht="15" hidden="false" customHeight="false" outlineLevel="0" collapsed="false">
      <c r="A876" s="18" t="s">
        <v>30</v>
      </c>
      <c r="B876" s="8" t="s">
        <v>31</v>
      </c>
      <c r="C876" s="9" t="n">
        <v>46222</v>
      </c>
      <c r="D876" s="8" t="n">
        <v>2026</v>
      </c>
      <c r="E876" s="8" t="n">
        <v>29</v>
      </c>
      <c r="F876" s="18" t="s">
        <v>128</v>
      </c>
      <c r="G876" s="8" t="s">
        <v>114</v>
      </c>
      <c r="H876" s="19" t="s">
        <v>115</v>
      </c>
      <c r="I876" s="19"/>
      <c r="J876" s="19"/>
      <c r="K876" s="19"/>
      <c r="L876" s="19" t="n">
        <v>0</v>
      </c>
      <c r="M876" s="19"/>
      <c r="N876" s="19" t="n">
        <v>0</v>
      </c>
      <c r="O876" s="19" t="n">
        <v>0</v>
      </c>
      <c r="P876" s="17" t="n">
        <f aca="false">IF(AND(ISNUMBER(H876),ISNUMBER(I876)),MAX(0,ROUND((I876-H876)*1440,0)-'Bilan agents'!$C$4),0)</f>
        <v>0</v>
      </c>
      <c r="Q876" s="8" t="str">
        <f aca="false">IF(H876="Congé","CP",IF(H876="Férié","F",IF(H876="OFF","R",IF(N876&gt;0,"A",IF(ISNUMBER(I876),"P","NR")))))</f>
        <v>R</v>
      </c>
      <c r="R876" s="18"/>
    </row>
    <row r="877" customFormat="false" ht="15" hidden="false" customHeight="false" outlineLevel="0" collapsed="false">
      <c r="A877" s="18" t="s">
        <v>30</v>
      </c>
      <c r="B877" s="8" t="s">
        <v>31</v>
      </c>
      <c r="C877" s="9" t="n">
        <v>46223</v>
      </c>
      <c r="D877" s="8" t="n">
        <v>2026</v>
      </c>
      <c r="E877" s="8" t="n">
        <v>30</v>
      </c>
      <c r="F877" s="18" t="s">
        <v>128</v>
      </c>
      <c r="G877" s="8" t="s">
        <v>116</v>
      </c>
      <c r="H877" s="19" t="n">
        <v>0.333333333333333</v>
      </c>
      <c r="I877" s="19" t="n">
        <v>0.330555555555556</v>
      </c>
      <c r="J877" s="19" t="n">
        <v>0.75</v>
      </c>
      <c r="K877" s="19" t="n">
        <v>0.75</v>
      </c>
      <c r="L877" s="19" t="n">
        <v>0.375</v>
      </c>
      <c r="M877" s="19" t="n">
        <v>0.375</v>
      </c>
      <c r="N877" s="19" t="n">
        <v>0</v>
      </c>
      <c r="O877" s="19" t="n">
        <v>0.00277777777777778</v>
      </c>
      <c r="P877" s="17" t="n">
        <f aca="false">IF(AND(ISNUMBER(H877),ISNUMBER(I877)),MAX(0,ROUND((I877-H877)*1440,0)-'Bilan agents'!$C$4),0)</f>
        <v>0</v>
      </c>
      <c r="Q877" s="8" t="str">
        <f aca="false">IF(H877="Congé","CP",IF(H877="Férié","F",IF(H877="OFF","R",IF(N877&gt;0,"A",IF(ISNUMBER(I877),"P","NR")))))</f>
        <v>P</v>
      </c>
      <c r="R877" s="18"/>
    </row>
    <row r="878" customFormat="false" ht="15" hidden="false" customHeight="false" outlineLevel="0" collapsed="false">
      <c r="A878" s="18" t="s">
        <v>30</v>
      </c>
      <c r="B878" s="8" t="s">
        <v>31</v>
      </c>
      <c r="C878" s="9" t="n">
        <v>46224</v>
      </c>
      <c r="D878" s="8" t="n">
        <v>2026</v>
      </c>
      <c r="E878" s="8" t="n">
        <v>30</v>
      </c>
      <c r="F878" s="18" t="s">
        <v>128</v>
      </c>
      <c r="G878" s="8" t="s">
        <v>117</v>
      </c>
      <c r="H878" s="19" t="n">
        <v>0.333333333333333</v>
      </c>
      <c r="I878" s="19" t="n">
        <v>0.33125</v>
      </c>
      <c r="J878" s="19" t="n">
        <v>0.75</v>
      </c>
      <c r="K878" s="19" t="n">
        <v>0.75</v>
      </c>
      <c r="L878" s="19" t="n">
        <v>0.375</v>
      </c>
      <c r="M878" s="19" t="n">
        <v>0.375</v>
      </c>
      <c r="N878" s="19" t="n">
        <v>0</v>
      </c>
      <c r="O878" s="19" t="n">
        <v>0.00208333333333333</v>
      </c>
      <c r="P878" s="17" t="n">
        <f aca="false">IF(AND(ISNUMBER(H878),ISNUMBER(I878)),MAX(0,ROUND((I878-H878)*1440,0)-'Bilan agents'!$C$4),0)</f>
        <v>0</v>
      </c>
      <c r="Q878" s="8" t="str">
        <f aca="false">IF(H878="Congé","CP",IF(H878="Férié","F",IF(H878="OFF","R",IF(N878&gt;0,"A",IF(ISNUMBER(I878),"P","NR")))))</f>
        <v>P</v>
      </c>
      <c r="R878" s="18"/>
    </row>
    <row r="879" customFormat="false" ht="15" hidden="false" customHeight="false" outlineLevel="0" collapsed="false">
      <c r="A879" s="18" t="s">
        <v>30</v>
      </c>
      <c r="B879" s="8" t="s">
        <v>31</v>
      </c>
      <c r="C879" s="9" t="n">
        <v>46225</v>
      </c>
      <c r="D879" s="8" t="n">
        <v>2026</v>
      </c>
      <c r="E879" s="8" t="n">
        <v>30</v>
      </c>
      <c r="F879" s="18" t="s">
        <v>128</v>
      </c>
      <c r="G879" s="8" t="s">
        <v>118</v>
      </c>
      <c r="H879" s="19" t="n">
        <v>0.333333333333333</v>
      </c>
      <c r="I879" s="19" t="n">
        <v>0.330555555555556</v>
      </c>
      <c r="J879" s="19" t="n">
        <v>0.75</v>
      </c>
      <c r="K879" s="19" t="n">
        <v>0.75</v>
      </c>
      <c r="L879" s="19" t="n">
        <v>0.375</v>
      </c>
      <c r="M879" s="19" t="n">
        <v>0.375</v>
      </c>
      <c r="N879" s="19" t="n">
        <v>0</v>
      </c>
      <c r="O879" s="19" t="n">
        <v>0.00277777777777778</v>
      </c>
      <c r="P879" s="17" t="n">
        <f aca="false">IF(AND(ISNUMBER(H879),ISNUMBER(I879)),MAX(0,ROUND((I879-H879)*1440,0)-'Bilan agents'!$C$4),0)</f>
        <v>0</v>
      </c>
      <c r="Q879" s="8" t="str">
        <f aca="false">IF(H879="Congé","CP",IF(H879="Férié","F",IF(H879="OFF","R",IF(N879&gt;0,"A",IF(ISNUMBER(I879),"P","NR")))))</f>
        <v>P</v>
      </c>
      <c r="R879" s="18"/>
    </row>
    <row r="880" customFormat="false" ht="15" hidden="false" customHeight="false" outlineLevel="0" collapsed="false">
      <c r="A880" s="18" t="s">
        <v>30</v>
      </c>
      <c r="B880" s="8" t="s">
        <v>31</v>
      </c>
      <c r="C880" s="9" t="n">
        <v>46226</v>
      </c>
      <c r="D880" s="8" t="n">
        <v>2026</v>
      </c>
      <c r="E880" s="8" t="n">
        <v>30</v>
      </c>
      <c r="F880" s="18" t="s">
        <v>128</v>
      </c>
      <c r="G880" s="8" t="s">
        <v>119</v>
      </c>
      <c r="H880" s="19" t="n">
        <v>0.333333333333333</v>
      </c>
      <c r="I880" s="19" t="n">
        <v>0.333333333333333</v>
      </c>
      <c r="J880" s="19" t="n">
        <v>0.75</v>
      </c>
      <c r="K880" s="19" t="n">
        <v>0.75</v>
      </c>
      <c r="L880" s="19" t="n">
        <v>0.375</v>
      </c>
      <c r="M880" s="19" t="n">
        <v>0.375</v>
      </c>
      <c r="N880" s="19" t="n">
        <v>0</v>
      </c>
      <c r="O880" s="19" t="n">
        <v>0</v>
      </c>
      <c r="P880" s="17" t="n">
        <f aca="false">IF(AND(ISNUMBER(H880),ISNUMBER(I880)),MAX(0,ROUND((I880-H880)*1440,0)-'Bilan agents'!$C$4),0)</f>
        <v>0</v>
      </c>
      <c r="Q880" s="8" t="str">
        <f aca="false">IF(H880="Congé","CP",IF(H880="Férié","F",IF(H880="OFF","R",IF(N880&gt;0,"A",IF(ISNUMBER(I880),"P","NR")))))</f>
        <v>P</v>
      </c>
      <c r="R880" s="18"/>
    </row>
    <row r="881" customFormat="false" ht="15" hidden="false" customHeight="false" outlineLevel="0" collapsed="false">
      <c r="A881" s="18" t="s">
        <v>30</v>
      </c>
      <c r="B881" s="8" t="s">
        <v>31</v>
      </c>
      <c r="C881" s="9" t="n">
        <v>46227</v>
      </c>
      <c r="D881" s="8" t="n">
        <v>2026</v>
      </c>
      <c r="E881" s="8" t="n">
        <v>30</v>
      </c>
      <c r="F881" s="18" t="s">
        <v>128</v>
      </c>
      <c r="G881" s="8" t="s">
        <v>120</v>
      </c>
      <c r="H881" s="19" t="s">
        <v>43</v>
      </c>
      <c r="I881" s="19"/>
      <c r="J881" s="19"/>
      <c r="K881" s="19"/>
      <c r="L881" s="19" t="n">
        <v>0</v>
      </c>
      <c r="M881" s="19"/>
      <c r="N881" s="19" t="n">
        <v>0</v>
      </c>
      <c r="O881" s="19" t="n">
        <v>0</v>
      </c>
      <c r="P881" s="17" t="n">
        <f aca="false">IF(AND(ISNUMBER(H881),ISNUMBER(I881)),MAX(0,ROUND((I881-H881)*1440,0)-'Bilan agents'!$C$4),0)</f>
        <v>0</v>
      </c>
      <c r="Q881" s="8" t="str">
        <f aca="false">IF(H881="Congé","CP",IF(H881="Férié","F",IF(H881="OFF","R",IF(N881&gt;0,"A",IF(ISNUMBER(I881),"P","NR")))))</f>
        <v>CP</v>
      </c>
      <c r="R881" s="18"/>
    </row>
    <row r="882" customFormat="false" ht="15" hidden="false" customHeight="false" outlineLevel="0" collapsed="false">
      <c r="A882" s="18" t="s">
        <v>30</v>
      </c>
      <c r="B882" s="8" t="s">
        <v>31</v>
      </c>
      <c r="C882" s="9" t="n">
        <v>46228</v>
      </c>
      <c r="D882" s="8" t="n">
        <v>2026</v>
      </c>
      <c r="E882" s="8" t="n">
        <v>30</v>
      </c>
      <c r="F882" s="18" t="s">
        <v>128</v>
      </c>
      <c r="G882" s="8" t="s">
        <v>121</v>
      </c>
      <c r="H882" s="19" t="s">
        <v>115</v>
      </c>
      <c r="I882" s="19"/>
      <c r="J882" s="19"/>
      <c r="K882" s="19"/>
      <c r="L882" s="19" t="n">
        <v>0</v>
      </c>
      <c r="M882" s="19"/>
      <c r="N882" s="19" t="n">
        <v>0</v>
      </c>
      <c r="O882" s="19" t="n">
        <v>0</v>
      </c>
      <c r="P882" s="17" t="n">
        <f aca="false">IF(AND(ISNUMBER(H882),ISNUMBER(I882)),MAX(0,ROUND((I882-H882)*1440,0)-'Bilan agents'!$C$4),0)</f>
        <v>0</v>
      </c>
      <c r="Q882" s="8" t="str">
        <f aca="false">IF(H882="Congé","CP",IF(H882="Férié","F",IF(H882="OFF","R",IF(N882&gt;0,"A",IF(ISNUMBER(I882),"P","NR")))))</f>
        <v>R</v>
      </c>
      <c r="R882" s="18"/>
    </row>
    <row r="883" customFormat="false" ht="15" hidden="false" customHeight="false" outlineLevel="0" collapsed="false">
      <c r="A883" s="18" t="s">
        <v>30</v>
      </c>
      <c r="B883" s="8" t="s">
        <v>31</v>
      </c>
      <c r="C883" s="9" t="n">
        <v>46229</v>
      </c>
      <c r="D883" s="8" t="n">
        <v>2026</v>
      </c>
      <c r="E883" s="8" t="n">
        <v>30</v>
      </c>
      <c r="F883" s="18" t="s">
        <v>128</v>
      </c>
      <c r="G883" s="8" t="s">
        <v>114</v>
      </c>
      <c r="H883" s="19" t="s">
        <v>115</v>
      </c>
      <c r="I883" s="19"/>
      <c r="J883" s="19"/>
      <c r="K883" s="19"/>
      <c r="L883" s="19" t="n">
        <v>0</v>
      </c>
      <c r="M883" s="19"/>
      <c r="N883" s="19" t="n">
        <v>0</v>
      </c>
      <c r="O883" s="19" t="n">
        <v>0</v>
      </c>
      <c r="P883" s="17" t="n">
        <f aca="false">IF(AND(ISNUMBER(H883),ISNUMBER(I883)),MAX(0,ROUND((I883-H883)*1440,0)-'Bilan agents'!$C$4),0)</f>
        <v>0</v>
      </c>
      <c r="Q883" s="8" t="str">
        <f aca="false">IF(H883="Congé","CP",IF(H883="Férié","F",IF(H883="OFF","R",IF(N883&gt;0,"A",IF(ISNUMBER(I883),"P","NR")))))</f>
        <v>R</v>
      </c>
      <c r="R883" s="18"/>
    </row>
    <row r="884" customFormat="false" ht="15" hidden="false" customHeight="false" outlineLevel="0" collapsed="false">
      <c r="A884" s="18" t="s">
        <v>30</v>
      </c>
      <c r="B884" s="8" t="s">
        <v>31</v>
      </c>
      <c r="C884" s="9" t="n">
        <v>46230</v>
      </c>
      <c r="D884" s="8" t="n">
        <v>2026</v>
      </c>
      <c r="E884" s="8" t="n">
        <v>31</v>
      </c>
      <c r="F884" s="18" t="s">
        <v>128</v>
      </c>
      <c r="G884" s="8" t="s">
        <v>116</v>
      </c>
      <c r="H884" s="19" t="n">
        <v>0.333333333333333</v>
      </c>
      <c r="I884" s="19" t="n">
        <v>0.333333333333333</v>
      </c>
      <c r="J884" s="19" t="n">
        <v>0.75</v>
      </c>
      <c r="K884" s="19" t="n">
        <v>0.75</v>
      </c>
      <c r="L884" s="19" t="n">
        <v>0.375</v>
      </c>
      <c r="M884" s="19" t="n">
        <v>0.375</v>
      </c>
      <c r="N884" s="19" t="n">
        <v>0</v>
      </c>
      <c r="O884" s="19" t="n">
        <v>0</v>
      </c>
      <c r="P884" s="17" t="n">
        <f aca="false">IF(AND(ISNUMBER(H884),ISNUMBER(I884)),MAX(0,ROUND((I884-H884)*1440,0)-'Bilan agents'!$C$4),0)</f>
        <v>0</v>
      </c>
      <c r="Q884" s="8" t="str">
        <f aca="false">IF(H884="Congé","CP",IF(H884="Férié","F",IF(H884="OFF","R",IF(N884&gt;0,"A",IF(ISNUMBER(I884),"P","NR")))))</f>
        <v>P</v>
      </c>
      <c r="R884" s="18"/>
    </row>
    <row r="885" customFormat="false" ht="15" hidden="false" customHeight="false" outlineLevel="0" collapsed="false">
      <c r="A885" s="18" t="s">
        <v>30</v>
      </c>
      <c r="B885" s="8" t="s">
        <v>31</v>
      </c>
      <c r="C885" s="9" t="n">
        <v>46231</v>
      </c>
      <c r="D885" s="8" t="n">
        <v>2026</v>
      </c>
      <c r="E885" s="8" t="n">
        <v>31</v>
      </c>
      <c r="F885" s="18" t="s">
        <v>128</v>
      </c>
      <c r="G885" s="8" t="s">
        <v>117</v>
      </c>
      <c r="H885" s="19" t="n">
        <v>0.333333333333333</v>
      </c>
      <c r="I885" s="19" t="n">
        <v>0.33125</v>
      </c>
      <c r="J885" s="19" t="n">
        <v>0.75</v>
      </c>
      <c r="K885" s="19" t="n">
        <v>0.75</v>
      </c>
      <c r="L885" s="19" t="n">
        <v>0.375</v>
      </c>
      <c r="M885" s="19" t="n">
        <v>0.375</v>
      </c>
      <c r="N885" s="19" t="n">
        <v>0</v>
      </c>
      <c r="O885" s="19" t="n">
        <v>0.00208333333333333</v>
      </c>
      <c r="P885" s="17" t="n">
        <f aca="false">IF(AND(ISNUMBER(H885),ISNUMBER(I885)),MAX(0,ROUND((I885-H885)*1440,0)-'Bilan agents'!$C$4),0)</f>
        <v>0</v>
      </c>
      <c r="Q885" s="8" t="str">
        <f aca="false">IF(H885="Congé","CP",IF(H885="Férié","F",IF(H885="OFF","R",IF(N885&gt;0,"A",IF(ISNUMBER(I885),"P","NR")))))</f>
        <v>P</v>
      </c>
      <c r="R885" s="18"/>
    </row>
    <row r="886" customFormat="false" ht="15" hidden="false" customHeight="false" outlineLevel="0" collapsed="false">
      <c r="A886" s="18" t="s">
        <v>30</v>
      </c>
      <c r="B886" s="8" t="s">
        <v>31</v>
      </c>
      <c r="C886" s="9" t="n">
        <v>46232</v>
      </c>
      <c r="D886" s="8" t="n">
        <v>2026</v>
      </c>
      <c r="E886" s="8" t="n">
        <v>31</v>
      </c>
      <c r="F886" s="18" t="s">
        <v>128</v>
      </c>
      <c r="G886" s="8" t="s">
        <v>118</v>
      </c>
      <c r="H886" s="19" t="n">
        <v>0.333333333333333</v>
      </c>
      <c r="I886" s="19" t="n">
        <v>0.332638888888889</v>
      </c>
      <c r="J886" s="19" t="n">
        <v>0.75</v>
      </c>
      <c r="K886" s="19" t="n">
        <v>0.75</v>
      </c>
      <c r="L886" s="19" t="n">
        <v>0.375</v>
      </c>
      <c r="M886" s="19" t="n">
        <v>0.375</v>
      </c>
      <c r="N886" s="19" t="n">
        <v>0</v>
      </c>
      <c r="O886" s="19" t="n">
        <v>0</v>
      </c>
      <c r="P886" s="17" t="n">
        <f aca="false">IF(AND(ISNUMBER(H886),ISNUMBER(I886)),MAX(0,ROUND((I886-H886)*1440,0)-'Bilan agents'!$C$4),0)</f>
        <v>0</v>
      </c>
      <c r="Q886" s="8" t="str">
        <f aca="false">IF(H886="Congé","CP",IF(H886="Férié","F",IF(H886="OFF","R",IF(N886&gt;0,"A",IF(ISNUMBER(I886),"P","NR")))))</f>
        <v>P</v>
      </c>
      <c r="R886" s="18"/>
    </row>
    <row r="887" customFormat="false" ht="15" hidden="false" customHeight="false" outlineLevel="0" collapsed="false">
      <c r="A887" s="18" t="s">
        <v>30</v>
      </c>
      <c r="B887" s="8" t="s">
        <v>31</v>
      </c>
      <c r="C887" s="9" t="n">
        <v>46233</v>
      </c>
      <c r="D887" s="8" t="n">
        <v>2026</v>
      </c>
      <c r="E887" s="8" t="n">
        <v>31</v>
      </c>
      <c r="F887" s="18" t="s">
        <v>128</v>
      </c>
      <c r="G887" s="8" t="s">
        <v>119</v>
      </c>
      <c r="H887" s="19" t="n">
        <v>0.333333333333333</v>
      </c>
      <c r="I887" s="19" t="n">
        <v>0.331944444444444</v>
      </c>
      <c r="J887" s="19" t="n">
        <v>0.75</v>
      </c>
      <c r="K887" s="19" t="n">
        <v>0.75</v>
      </c>
      <c r="L887" s="19" t="n">
        <v>0.375</v>
      </c>
      <c r="M887" s="19" t="n">
        <v>0.375</v>
      </c>
      <c r="N887" s="19" t="n">
        <v>0</v>
      </c>
      <c r="O887" s="19" t="n">
        <v>0.00138888888888889</v>
      </c>
      <c r="P887" s="17" t="n">
        <f aca="false">IF(AND(ISNUMBER(H887),ISNUMBER(I887)),MAX(0,ROUND((I887-H887)*1440,0)-'Bilan agents'!$C$4),0)</f>
        <v>0</v>
      </c>
      <c r="Q887" s="8" t="str">
        <f aca="false">IF(H887="Congé","CP",IF(H887="Férié","F",IF(H887="OFF","R",IF(N887&gt;0,"A",IF(ISNUMBER(I887),"P","NR")))))</f>
        <v>P</v>
      </c>
      <c r="R887" s="18"/>
    </row>
    <row r="888" customFormat="false" ht="15" hidden="false" customHeight="false" outlineLevel="0" collapsed="false">
      <c r="A888" s="18" t="s">
        <v>30</v>
      </c>
      <c r="B888" s="8" t="s">
        <v>31</v>
      </c>
      <c r="C888" s="9" t="n">
        <v>46234</v>
      </c>
      <c r="D888" s="8" t="n">
        <v>2026</v>
      </c>
      <c r="E888" s="8" t="n">
        <v>31</v>
      </c>
      <c r="F888" s="18" t="s">
        <v>128</v>
      </c>
      <c r="G888" s="8" t="s">
        <v>120</v>
      </c>
      <c r="H888" s="19" t="n">
        <v>0.333333333333333</v>
      </c>
      <c r="I888" s="19" t="n">
        <v>0.33125</v>
      </c>
      <c r="J888" s="19" t="n">
        <v>0.708333333333333</v>
      </c>
      <c r="K888" s="19" t="n">
        <v>0.708333333333333</v>
      </c>
      <c r="L888" s="19" t="n">
        <v>0.333333333333333</v>
      </c>
      <c r="M888" s="19" t="n">
        <v>0.333333333333333</v>
      </c>
      <c r="N888" s="19" t="n">
        <v>0</v>
      </c>
      <c r="O888" s="19" t="n">
        <v>0.00208333333333333</v>
      </c>
      <c r="P888" s="17" t="n">
        <f aca="false">IF(AND(ISNUMBER(H888),ISNUMBER(I888)),MAX(0,ROUND((I888-H888)*1440,0)-'Bilan agents'!$C$4),0)</f>
        <v>0</v>
      </c>
      <c r="Q888" s="8" t="str">
        <f aca="false">IF(H888="Congé","CP",IF(H888="Férié","F",IF(H888="OFF","R",IF(N888&gt;0,"A",IF(ISNUMBER(I888),"P","NR")))))</f>
        <v>P</v>
      </c>
      <c r="R888" s="18"/>
    </row>
    <row r="889" customFormat="false" ht="15" hidden="false" customHeight="false" outlineLevel="0" collapsed="false">
      <c r="A889" s="18" t="s">
        <v>30</v>
      </c>
      <c r="B889" s="8" t="s">
        <v>31</v>
      </c>
      <c r="C889" s="9" t="n">
        <v>46235</v>
      </c>
      <c r="D889" s="8" t="n">
        <v>2026</v>
      </c>
      <c r="E889" s="8" t="n">
        <v>31</v>
      </c>
      <c r="F889" s="18" t="s">
        <v>130</v>
      </c>
      <c r="G889" s="8" t="s">
        <v>121</v>
      </c>
      <c r="H889" s="19" t="s">
        <v>115</v>
      </c>
      <c r="I889" s="19"/>
      <c r="J889" s="19"/>
      <c r="K889" s="19"/>
      <c r="L889" s="19" t="n">
        <v>0</v>
      </c>
      <c r="M889" s="19"/>
      <c r="N889" s="19" t="n">
        <v>0</v>
      </c>
      <c r="O889" s="19" t="n">
        <v>0</v>
      </c>
      <c r="P889" s="17" t="n">
        <f aca="false">IF(AND(ISNUMBER(H889),ISNUMBER(I889)),MAX(0,ROUND((I889-H889)*1440,0)-'Bilan agents'!$C$4),0)</f>
        <v>0</v>
      </c>
      <c r="Q889" s="8" t="str">
        <f aca="false">IF(H889="Congé","CP",IF(H889="Férié","F",IF(H889="OFF","R",IF(N889&gt;0,"A",IF(ISNUMBER(I889),"P","NR")))))</f>
        <v>R</v>
      </c>
      <c r="R889" s="18"/>
    </row>
    <row r="890" customFormat="false" ht="15" hidden="false" customHeight="false" outlineLevel="0" collapsed="false">
      <c r="A890" s="18" t="s">
        <v>30</v>
      </c>
      <c r="B890" s="8" t="s">
        <v>31</v>
      </c>
      <c r="C890" s="9" t="n">
        <v>46236</v>
      </c>
      <c r="D890" s="8" t="n">
        <v>2026</v>
      </c>
      <c r="E890" s="8" t="n">
        <v>31</v>
      </c>
      <c r="F890" s="18" t="s">
        <v>130</v>
      </c>
      <c r="G890" s="8" t="s">
        <v>114</v>
      </c>
      <c r="H890" s="19" t="s">
        <v>115</v>
      </c>
      <c r="I890" s="19"/>
      <c r="J890" s="19"/>
      <c r="K890" s="19"/>
      <c r="L890" s="19" t="n">
        <v>0</v>
      </c>
      <c r="M890" s="19"/>
      <c r="N890" s="19" t="n">
        <v>0</v>
      </c>
      <c r="O890" s="19" t="n">
        <v>0</v>
      </c>
      <c r="P890" s="17" t="n">
        <f aca="false">IF(AND(ISNUMBER(H890),ISNUMBER(I890)),MAX(0,ROUND((I890-H890)*1440,0)-'Bilan agents'!$C$4),0)</f>
        <v>0</v>
      </c>
      <c r="Q890" s="8" t="str">
        <f aca="false">IF(H890="Congé","CP",IF(H890="Férié","F",IF(H890="OFF","R",IF(N890&gt;0,"A",IF(ISNUMBER(I890),"P","NR")))))</f>
        <v>R</v>
      </c>
      <c r="R890" s="18"/>
    </row>
    <row r="891" customFormat="false" ht="15" hidden="false" customHeight="false" outlineLevel="0" collapsed="false">
      <c r="A891" s="18" t="s">
        <v>30</v>
      </c>
      <c r="B891" s="8" t="s">
        <v>31</v>
      </c>
      <c r="C891" s="9" t="n">
        <v>46237</v>
      </c>
      <c r="D891" s="8" t="n">
        <v>2026</v>
      </c>
      <c r="E891" s="8" t="n">
        <v>32</v>
      </c>
      <c r="F891" s="18" t="s">
        <v>130</v>
      </c>
      <c r="G891" s="8" t="s">
        <v>116</v>
      </c>
      <c r="H891" s="19" t="n">
        <v>0.333333333333333</v>
      </c>
      <c r="I891" s="19" t="n">
        <v>0.347916666666667</v>
      </c>
      <c r="J891" s="19" t="n">
        <v>0.75</v>
      </c>
      <c r="K891" s="19" t="n">
        <v>0.75</v>
      </c>
      <c r="L891" s="19" t="n">
        <v>0.375</v>
      </c>
      <c r="M891" s="19" t="n">
        <v>0.375</v>
      </c>
      <c r="N891" s="19" t="n">
        <v>0</v>
      </c>
      <c r="O891" s="19" t="n">
        <v>0</v>
      </c>
      <c r="P891" s="17" t="n">
        <f aca="false">IF(AND(ISNUMBER(H891),ISNUMBER(I891)),MAX(0,ROUND((I891-H891)*1440,0)-'Bilan agents'!$C$4),0)</f>
        <v>21</v>
      </c>
      <c r="Q891" s="8" t="str">
        <f aca="false">IF(H891="Congé","CP",IF(H891="Férié","F",IF(H891="OFF","R",IF(N891&gt;0,"A",IF(ISNUMBER(I891),"P","NR")))))</f>
        <v>P</v>
      </c>
      <c r="R891" s="18"/>
    </row>
    <row r="892" customFormat="false" ht="15" hidden="false" customHeight="false" outlineLevel="0" collapsed="false">
      <c r="A892" s="18" t="s">
        <v>30</v>
      </c>
      <c r="B892" s="8" t="s">
        <v>31</v>
      </c>
      <c r="C892" s="9" t="n">
        <v>46238</v>
      </c>
      <c r="D892" s="8" t="n">
        <v>2026</v>
      </c>
      <c r="E892" s="8" t="n">
        <v>32</v>
      </c>
      <c r="F892" s="18" t="s">
        <v>130</v>
      </c>
      <c r="G892" s="8" t="s">
        <v>117</v>
      </c>
      <c r="H892" s="19" t="n">
        <v>0.333333333333333</v>
      </c>
      <c r="I892" s="19" t="n">
        <v>0.333333333333333</v>
      </c>
      <c r="J892" s="19" t="n">
        <v>0.75</v>
      </c>
      <c r="K892" s="19" t="n">
        <v>0.75</v>
      </c>
      <c r="L892" s="19" t="n">
        <v>0.375</v>
      </c>
      <c r="M892" s="19" t="n">
        <v>0.375</v>
      </c>
      <c r="N892" s="19" t="n">
        <v>0</v>
      </c>
      <c r="O892" s="19" t="n">
        <v>0</v>
      </c>
      <c r="P892" s="17" t="n">
        <f aca="false">IF(AND(ISNUMBER(H892),ISNUMBER(I892)),MAX(0,ROUND((I892-H892)*1440,0)-'Bilan agents'!$C$4),0)</f>
        <v>0</v>
      </c>
      <c r="Q892" s="8" t="str">
        <f aca="false">IF(H892="Congé","CP",IF(H892="Férié","F",IF(H892="OFF","R",IF(N892&gt;0,"A",IF(ISNUMBER(I892),"P","NR")))))</f>
        <v>P</v>
      </c>
      <c r="R892" s="18"/>
    </row>
    <row r="893" customFormat="false" ht="15" hidden="false" customHeight="false" outlineLevel="0" collapsed="false">
      <c r="A893" s="18" t="s">
        <v>30</v>
      </c>
      <c r="B893" s="8" t="s">
        <v>31</v>
      </c>
      <c r="C893" s="9" t="n">
        <v>46239</v>
      </c>
      <c r="D893" s="8" t="n">
        <v>2026</v>
      </c>
      <c r="E893" s="8" t="n">
        <v>32</v>
      </c>
      <c r="F893" s="18" t="s">
        <v>130</v>
      </c>
      <c r="G893" s="8" t="s">
        <v>118</v>
      </c>
      <c r="H893" s="19" t="n">
        <v>0.333333333333333</v>
      </c>
      <c r="I893" s="19" t="n">
        <v>0.333333333333333</v>
      </c>
      <c r="J893" s="19" t="n">
        <v>0.75</v>
      </c>
      <c r="K893" s="19" t="n">
        <v>0.75</v>
      </c>
      <c r="L893" s="19" t="n">
        <v>0.375</v>
      </c>
      <c r="M893" s="19" t="n">
        <v>0.375</v>
      </c>
      <c r="N893" s="19" t="n">
        <v>0</v>
      </c>
      <c r="O893" s="19" t="n">
        <v>0</v>
      </c>
      <c r="P893" s="17" t="n">
        <f aca="false">IF(AND(ISNUMBER(H893),ISNUMBER(I893)),MAX(0,ROUND((I893-H893)*1440,0)-'Bilan agents'!$C$4),0)</f>
        <v>0</v>
      </c>
      <c r="Q893" s="8" t="str">
        <f aca="false">IF(H893="Congé","CP",IF(H893="Férié","F",IF(H893="OFF","R",IF(N893&gt;0,"A",IF(ISNUMBER(I893),"P","NR")))))</f>
        <v>P</v>
      </c>
      <c r="R893" s="18"/>
    </row>
    <row r="894" customFormat="false" ht="15" hidden="false" customHeight="false" outlineLevel="0" collapsed="false">
      <c r="A894" s="18" t="s">
        <v>30</v>
      </c>
      <c r="B894" s="8" t="s">
        <v>31</v>
      </c>
      <c r="C894" s="9" t="n">
        <v>46240</v>
      </c>
      <c r="D894" s="8" t="n">
        <v>2026</v>
      </c>
      <c r="E894" s="8" t="n">
        <v>32</v>
      </c>
      <c r="F894" s="18" t="s">
        <v>130</v>
      </c>
      <c r="G894" s="8" t="s">
        <v>119</v>
      </c>
      <c r="H894" s="19" t="n">
        <v>0.333333333333333</v>
      </c>
      <c r="I894" s="19" t="n">
        <v>0.331944444444444</v>
      </c>
      <c r="J894" s="19" t="n">
        <v>0.75</v>
      </c>
      <c r="K894" s="19" t="n">
        <v>0.75</v>
      </c>
      <c r="L894" s="19" t="n">
        <v>0.375</v>
      </c>
      <c r="M894" s="19" t="n">
        <v>0.375</v>
      </c>
      <c r="N894" s="19" t="n">
        <v>0</v>
      </c>
      <c r="O894" s="19" t="n">
        <v>0.00138888888888889</v>
      </c>
      <c r="P894" s="17" t="n">
        <f aca="false">IF(AND(ISNUMBER(H894),ISNUMBER(I894)),MAX(0,ROUND((I894-H894)*1440,0)-'Bilan agents'!$C$4),0)</f>
        <v>0</v>
      </c>
      <c r="Q894" s="8" t="str">
        <f aca="false">IF(H894="Congé","CP",IF(H894="Férié","F",IF(H894="OFF","R",IF(N894&gt;0,"A",IF(ISNUMBER(I894),"P","NR")))))</f>
        <v>P</v>
      </c>
      <c r="R894" s="18"/>
    </row>
    <row r="895" customFormat="false" ht="15" hidden="false" customHeight="false" outlineLevel="0" collapsed="false">
      <c r="A895" s="18" t="s">
        <v>30</v>
      </c>
      <c r="B895" s="8" t="s">
        <v>31</v>
      </c>
      <c r="C895" s="9" t="n">
        <v>46241</v>
      </c>
      <c r="D895" s="8" t="n">
        <v>2026</v>
      </c>
      <c r="E895" s="8" t="n">
        <v>32</v>
      </c>
      <c r="F895" s="18" t="s">
        <v>130</v>
      </c>
      <c r="G895" s="8" t="s">
        <v>120</v>
      </c>
      <c r="H895" s="19" t="n">
        <v>0.333333333333333</v>
      </c>
      <c r="I895" s="19" t="n">
        <v>0.333333333333333</v>
      </c>
      <c r="J895" s="19" t="n">
        <v>0.708333333333333</v>
      </c>
      <c r="K895" s="19" t="n">
        <v>0.708333333333333</v>
      </c>
      <c r="L895" s="19" t="n">
        <v>0.333333333333333</v>
      </c>
      <c r="M895" s="19" t="n">
        <v>0.333333333333333</v>
      </c>
      <c r="N895" s="19" t="n">
        <v>0</v>
      </c>
      <c r="O895" s="19" t="n">
        <v>0</v>
      </c>
      <c r="P895" s="17" t="n">
        <f aca="false">IF(AND(ISNUMBER(H895),ISNUMBER(I895)),MAX(0,ROUND((I895-H895)*1440,0)-'Bilan agents'!$C$4),0)</f>
        <v>0</v>
      </c>
      <c r="Q895" s="8" t="str">
        <f aca="false">IF(H895="Congé","CP",IF(H895="Férié","F",IF(H895="OFF","R",IF(N895&gt;0,"A",IF(ISNUMBER(I895),"P","NR")))))</f>
        <v>P</v>
      </c>
      <c r="R895" s="18"/>
    </row>
    <row r="896" customFormat="false" ht="15" hidden="false" customHeight="false" outlineLevel="0" collapsed="false">
      <c r="A896" s="18" t="s">
        <v>30</v>
      </c>
      <c r="B896" s="8" t="s">
        <v>31</v>
      </c>
      <c r="C896" s="9" t="n">
        <v>46242</v>
      </c>
      <c r="D896" s="8" t="n">
        <v>2026</v>
      </c>
      <c r="E896" s="8" t="n">
        <v>32</v>
      </c>
      <c r="F896" s="18" t="s">
        <v>130</v>
      </c>
      <c r="G896" s="8" t="s">
        <v>121</v>
      </c>
      <c r="H896" s="19" t="s">
        <v>115</v>
      </c>
      <c r="I896" s="19"/>
      <c r="J896" s="19"/>
      <c r="K896" s="19"/>
      <c r="L896" s="19" t="n">
        <v>0</v>
      </c>
      <c r="M896" s="19"/>
      <c r="N896" s="19" t="n">
        <v>0</v>
      </c>
      <c r="O896" s="19" t="n">
        <v>0</v>
      </c>
      <c r="P896" s="17" t="n">
        <f aca="false">IF(AND(ISNUMBER(H896),ISNUMBER(I896)),MAX(0,ROUND((I896-H896)*1440,0)-'Bilan agents'!$C$4),0)</f>
        <v>0</v>
      </c>
      <c r="Q896" s="8" t="str">
        <f aca="false">IF(H896="Congé","CP",IF(H896="Férié","F",IF(H896="OFF","R",IF(N896&gt;0,"A",IF(ISNUMBER(I896),"P","NR")))))</f>
        <v>R</v>
      </c>
      <c r="R896" s="18"/>
    </row>
    <row r="897" customFormat="false" ht="15" hidden="false" customHeight="false" outlineLevel="0" collapsed="false">
      <c r="A897" s="18" t="s">
        <v>30</v>
      </c>
      <c r="B897" s="8" t="s">
        <v>31</v>
      </c>
      <c r="C897" s="9" t="n">
        <v>46243</v>
      </c>
      <c r="D897" s="8" t="n">
        <v>2026</v>
      </c>
      <c r="E897" s="8" t="n">
        <v>32</v>
      </c>
      <c r="F897" s="18" t="s">
        <v>130</v>
      </c>
      <c r="G897" s="8" t="s">
        <v>114</v>
      </c>
      <c r="H897" s="19" t="s">
        <v>115</v>
      </c>
      <c r="I897" s="19"/>
      <c r="J897" s="19"/>
      <c r="K897" s="19"/>
      <c r="L897" s="19" t="n">
        <v>0</v>
      </c>
      <c r="M897" s="19"/>
      <c r="N897" s="19" t="n">
        <v>0</v>
      </c>
      <c r="O897" s="19" t="n">
        <v>0</v>
      </c>
      <c r="P897" s="17" t="n">
        <f aca="false">IF(AND(ISNUMBER(H897),ISNUMBER(I897)),MAX(0,ROUND((I897-H897)*1440,0)-'Bilan agents'!$C$4),0)</f>
        <v>0</v>
      </c>
      <c r="Q897" s="8" t="str">
        <f aca="false">IF(H897="Congé","CP",IF(H897="Férié","F",IF(H897="OFF","R",IF(N897&gt;0,"A",IF(ISNUMBER(I897),"P","NR")))))</f>
        <v>R</v>
      </c>
      <c r="R897" s="18"/>
    </row>
    <row r="898" customFormat="false" ht="15" hidden="false" customHeight="false" outlineLevel="0" collapsed="false">
      <c r="A898" s="18" t="s">
        <v>30</v>
      </c>
      <c r="B898" s="8" t="s">
        <v>31</v>
      </c>
      <c r="C898" s="9" t="n">
        <v>46244</v>
      </c>
      <c r="D898" s="8" t="n">
        <v>2026</v>
      </c>
      <c r="E898" s="8" t="n">
        <v>33</v>
      </c>
      <c r="F898" s="18" t="s">
        <v>130</v>
      </c>
      <c r="G898" s="8" t="s">
        <v>116</v>
      </c>
      <c r="H898" s="19" t="n">
        <v>0.333333333333333</v>
      </c>
      <c r="I898" s="19" t="n">
        <v>0.332638888888889</v>
      </c>
      <c r="J898" s="19" t="n">
        <v>0.75</v>
      </c>
      <c r="K898" s="19" t="n">
        <v>0.75</v>
      </c>
      <c r="L898" s="19" t="n">
        <v>0.375</v>
      </c>
      <c r="M898" s="19" t="n">
        <v>0.375</v>
      </c>
      <c r="N898" s="19" t="n">
        <v>0</v>
      </c>
      <c r="O898" s="19" t="n">
        <v>0</v>
      </c>
      <c r="P898" s="17" t="n">
        <f aca="false">IF(AND(ISNUMBER(H898),ISNUMBER(I898)),MAX(0,ROUND((I898-H898)*1440,0)-'Bilan agents'!$C$4),0)</f>
        <v>0</v>
      </c>
      <c r="Q898" s="8" t="str">
        <f aca="false">IF(H898="Congé","CP",IF(H898="Férié","F",IF(H898="OFF","R",IF(N898&gt;0,"A",IF(ISNUMBER(I898),"P","NR")))))</f>
        <v>P</v>
      </c>
      <c r="R898" s="18"/>
    </row>
    <row r="899" customFormat="false" ht="15" hidden="false" customHeight="false" outlineLevel="0" collapsed="false">
      <c r="A899" s="18" t="s">
        <v>30</v>
      </c>
      <c r="B899" s="8" t="s">
        <v>31</v>
      </c>
      <c r="C899" s="9" t="n">
        <v>46245</v>
      </c>
      <c r="D899" s="8" t="n">
        <v>2026</v>
      </c>
      <c r="E899" s="8" t="n">
        <v>33</v>
      </c>
      <c r="F899" s="18" t="s">
        <v>130</v>
      </c>
      <c r="G899" s="8" t="s">
        <v>117</v>
      </c>
      <c r="H899" s="19" t="n">
        <v>0.333333333333333</v>
      </c>
      <c r="I899" s="19" t="n">
        <v>0.331944444444444</v>
      </c>
      <c r="J899" s="19" t="n">
        <v>0.75</v>
      </c>
      <c r="K899" s="19" t="n">
        <v>0.75</v>
      </c>
      <c r="L899" s="19" t="n">
        <v>0.375</v>
      </c>
      <c r="M899" s="19" t="n">
        <v>0.375</v>
      </c>
      <c r="N899" s="19" t="n">
        <v>0</v>
      </c>
      <c r="O899" s="19" t="n">
        <v>0.00138888888888889</v>
      </c>
      <c r="P899" s="17" t="n">
        <f aca="false">IF(AND(ISNUMBER(H899),ISNUMBER(I899)),MAX(0,ROUND((I899-H899)*1440,0)-'Bilan agents'!$C$4),0)</f>
        <v>0</v>
      </c>
      <c r="Q899" s="8" t="str">
        <f aca="false">IF(H899="Congé","CP",IF(H899="Férié","F",IF(H899="OFF","R",IF(N899&gt;0,"A",IF(ISNUMBER(I899),"P","NR")))))</f>
        <v>P</v>
      </c>
      <c r="R899" s="18"/>
    </row>
    <row r="900" customFormat="false" ht="15" hidden="false" customHeight="false" outlineLevel="0" collapsed="false">
      <c r="A900" s="18" t="s">
        <v>30</v>
      </c>
      <c r="B900" s="8" t="s">
        <v>31</v>
      </c>
      <c r="C900" s="9" t="n">
        <v>46246</v>
      </c>
      <c r="D900" s="8" t="n">
        <v>2026</v>
      </c>
      <c r="E900" s="8" t="n">
        <v>33</v>
      </c>
      <c r="F900" s="18" t="s">
        <v>130</v>
      </c>
      <c r="G900" s="8" t="s">
        <v>118</v>
      </c>
      <c r="H900" s="19" t="n">
        <v>0.333333333333333</v>
      </c>
      <c r="I900" s="19" t="n">
        <v>0.330555555555556</v>
      </c>
      <c r="J900" s="19" t="n">
        <v>0.75</v>
      </c>
      <c r="K900" s="19" t="n">
        <v>0.75</v>
      </c>
      <c r="L900" s="19" t="n">
        <v>0.375</v>
      </c>
      <c r="M900" s="19" t="n">
        <v>0.375</v>
      </c>
      <c r="N900" s="19" t="n">
        <v>0</v>
      </c>
      <c r="O900" s="19" t="n">
        <v>0.00277777777777778</v>
      </c>
      <c r="P900" s="17" t="n">
        <f aca="false">IF(AND(ISNUMBER(H900),ISNUMBER(I900)),MAX(0,ROUND((I900-H900)*1440,0)-'Bilan agents'!$C$4),0)</f>
        <v>0</v>
      </c>
      <c r="Q900" s="8" t="str">
        <f aca="false">IF(H900="Congé","CP",IF(H900="Férié","F",IF(H900="OFF","R",IF(N900&gt;0,"A",IF(ISNUMBER(I900),"P","NR")))))</f>
        <v>P</v>
      </c>
      <c r="R900" s="18"/>
    </row>
    <row r="901" customFormat="false" ht="15" hidden="false" customHeight="false" outlineLevel="0" collapsed="false">
      <c r="A901" s="18" t="s">
        <v>30</v>
      </c>
      <c r="B901" s="8" t="s">
        <v>31</v>
      </c>
      <c r="C901" s="9" t="n">
        <v>46247</v>
      </c>
      <c r="D901" s="8" t="n">
        <v>2026</v>
      </c>
      <c r="E901" s="8" t="n">
        <v>33</v>
      </c>
      <c r="F901" s="18" t="s">
        <v>130</v>
      </c>
      <c r="G901" s="8" t="s">
        <v>119</v>
      </c>
      <c r="H901" s="19" t="n">
        <v>0.333333333333333</v>
      </c>
      <c r="I901" s="19" t="n">
        <v>0.33125</v>
      </c>
      <c r="J901" s="19" t="n">
        <v>0.75</v>
      </c>
      <c r="K901" s="19" t="n">
        <v>0.75</v>
      </c>
      <c r="L901" s="19" t="n">
        <v>0.375</v>
      </c>
      <c r="M901" s="19" t="n">
        <v>0.375</v>
      </c>
      <c r="N901" s="19" t="n">
        <v>0</v>
      </c>
      <c r="O901" s="19" t="n">
        <v>0.00208333333333333</v>
      </c>
      <c r="P901" s="17" t="n">
        <f aca="false">IF(AND(ISNUMBER(H901),ISNUMBER(I901)),MAX(0,ROUND((I901-H901)*1440,0)-'Bilan agents'!$C$4),0)</f>
        <v>0</v>
      </c>
      <c r="Q901" s="8" t="str">
        <f aca="false">IF(H901="Congé","CP",IF(H901="Férié","F",IF(H901="OFF","R",IF(N901&gt;0,"A",IF(ISNUMBER(I901),"P","NR")))))</f>
        <v>P</v>
      </c>
      <c r="R901" s="18"/>
    </row>
    <row r="902" customFormat="false" ht="15" hidden="false" customHeight="false" outlineLevel="0" collapsed="false">
      <c r="A902" s="18" t="s">
        <v>30</v>
      </c>
      <c r="B902" s="8" t="s">
        <v>31</v>
      </c>
      <c r="C902" s="9" t="n">
        <v>46248</v>
      </c>
      <c r="D902" s="8" t="n">
        <v>2026</v>
      </c>
      <c r="E902" s="8" t="n">
        <v>33</v>
      </c>
      <c r="F902" s="18" t="s">
        <v>130</v>
      </c>
      <c r="G902" s="8" t="s">
        <v>120</v>
      </c>
      <c r="H902" s="19" t="n">
        <v>0.333333333333333</v>
      </c>
      <c r="I902" s="19" t="n">
        <v>0.333333333333333</v>
      </c>
      <c r="J902" s="19" t="n">
        <v>0.708333333333333</v>
      </c>
      <c r="K902" s="19" t="n">
        <v>0.708333333333333</v>
      </c>
      <c r="L902" s="19" t="n">
        <v>0.333333333333333</v>
      </c>
      <c r="M902" s="19" t="n">
        <v>0.333333333333333</v>
      </c>
      <c r="N902" s="19" t="n">
        <v>0</v>
      </c>
      <c r="O902" s="19" t="n">
        <v>0</v>
      </c>
      <c r="P902" s="17" t="n">
        <f aca="false">IF(AND(ISNUMBER(H902),ISNUMBER(I902)),MAX(0,ROUND((I902-H902)*1440,0)-'Bilan agents'!$C$4),0)</f>
        <v>0</v>
      </c>
      <c r="Q902" s="8" t="str">
        <f aca="false">IF(H902="Congé","CP",IF(H902="Férié","F",IF(H902="OFF","R",IF(N902&gt;0,"A",IF(ISNUMBER(I902),"P","NR")))))</f>
        <v>P</v>
      </c>
      <c r="R902" s="18"/>
    </row>
    <row r="903" customFormat="false" ht="15" hidden="false" customHeight="false" outlineLevel="0" collapsed="false">
      <c r="A903" s="18" t="s">
        <v>30</v>
      </c>
      <c r="B903" s="8" t="s">
        <v>31</v>
      </c>
      <c r="C903" s="9" t="n">
        <v>46249</v>
      </c>
      <c r="D903" s="8" t="n">
        <v>2026</v>
      </c>
      <c r="E903" s="8" t="n">
        <v>33</v>
      </c>
      <c r="F903" s="18" t="s">
        <v>130</v>
      </c>
      <c r="G903" s="8" t="s">
        <v>121</v>
      </c>
      <c r="H903" s="19" t="s">
        <v>115</v>
      </c>
      <c r="I903" s="19"/>
      <c r="J903" s="19"/>
      <c r="K903" s="19"/>
      <c r="L903" s="19" t="n">
        <v>0</v>
      </c>
      <c r="M903" s="19"/>
      <c r="N903" s="19" t="n">
        <v>0</v>
      </c>
      <c r="O903" s="19" t="n">
        <v>0</v>
      </c>
      <c r="P903" s="17" t="n">
        <f aca="false">IF(AND(ISNUMBER(H903),ISNUMBER(I903)),MAX(0,ROUND((I903-H903)*1440,0)-'Bilan agents'!$C$4),0)</f>
        <v>0</v>
      </c>
      <c r="Q903" s="8" t="str">
        <f aca="false">IF(H903="Congé","CP",IF(H903="Férié","F",IF(H903="OFF","R",IF(N903&gt;0,"A",IF(ISNUMBER(I903),"P","NR")))))</f>
        <v>R</v>
      </c>
      <c r="R903" s="18"/>
    </row>
    <row r="904" customFormat="false" ht="15" hidden="false" customHeight="false" outlineLevel="0" collapsed="false">
      <c r="A904" s="18" t="s">
        <v>30</v>
      </c>
      <c r="B904" s="8" t="s">
        <v>31</v>
      </c>
      <c r="C904" s="9" t="n">
        <v>46250</v>
      </c>
      <c r="D904" s="8" t="n">
        <v>2026</v>
      </c>
      <c r="E904" s="8" t="n">
        <v>33</v>
      </c>
      <c r="F904" s="18" t="s">
        <v>130</v>
      </c>
      <c r="G904" s="8" t="s">
        <v>114</v>
      </c>
      <c r="H904" s="19" t="s">
        <v>115</v>
      </c>
      <c r="I904" s="19"/>
      <c r="J904" s="19"/>
      <c r="K904" s="19"/>
      <c r="L904" s="19" t="n">
        <v>0</v>
      </c>
      <c r="M904" s="19"/>
      <c r="N904" s="19" t="n">
        <v>0</v>
      </c>
      <c r="O904" s="19" t="n">
        <v>0</v>
      </c>
      <c r="P904" s="17" t="n">
        <f aca="false">IF(AND(ISNUMBER(H904),ISNUMBER(I904)),MAX(0,ROUND((I904-H904)*1440,0)-'Bilan agents'!$C$4),0)</f>
        <v>0</v>
      </c>
      <c r="Q904" s="8" t="str">
        <f aca="false">IF(H904="Congé","CP",IF(H904="Férié","F",IF(H904="OFF","R",IF(N904&gt;0,"A",IF(ISNUMBER(I904),"P","NR")))))</f>
        <v>R</v>
      </c>
      <c r="R904" s="18"/>
    </row>
    <row r="905" customFormat="false" ht="15" hidden="false" customHeight="false" outlineLevel="0" collapsed="false">
      <c r="A905" s="18" t="s">
        <v>30</v>
      </c>
      <c r="B905" s="8" t="s">
        <v>31</v>
      </c>
      <c r="C905" s="9" t="n">
        <v>46251</v>
      </c>
      <c r="D905" s="8" t="n">
        <v>2026</v>
      </c>
      <c r="E905" s="8" t="n">
        <v>34</v>
      </c>
      <c r="F905" s="18" t="s">
        <v>130</v>
      </c>
      <c r="G905" s="8" t="s">
        <v>116</v>
      </c>
      <c r="H905" s="19" t="n">
        <v>0.333333333333333</v>
      </c>
      <c r="I905" s="19" t="n">
        <v>0.331944444444444</v>
      </c>
      <c r="J905" s="19" t="n">
        <v>0.75</v>
      </c>
      <c r="K905" s="19" t="n">
        <v>0.75</v>
      </c>
      <c r="L905" s="19" t="n">
        <v>0.375</v>
      </c>
      <c r="M905" s="19" t="n">
        <v>0.375</v>
      </c>
      <c r="N905" s="19" t="n">
        <v>0</v>
      </c>
      <c r="O905" s="19" t="n">
        <v>0.00138888888888889</v>
      </c>
      <c r="P905" s="17" t="n">
        <f aca="false">IF(AND(ISNUMBER(H905),ISNUMBER(I905)),MAX(0,ROUND((I905-H905)*1440,0)-'Bilan agents'!$C$4),0)</f>
        <v>0</v>
      </c>
      <c r="Q905" s="8" t="str">
        <f aca="false">IF(H905="Congé","CP",IF(H905="Férié","F",IF(H905="OFF","R",IF(N905&gt;0,"A",IF(ISNUMBER(I905),"P","NR")))))</f>
        <v>P</v>
      </c>
      <c r="R905" s="18"/>
    </row>
    <row r="906" customFormat="false" ht="15" hidden="false" customHeight="false" outlineLevel="0" collapsed="false">
      <c r="A906" s="18" t="s">
        <v>30</v>
      </c>
      <c r="B906" s="8" t="s">
        <v>31</v>
      </c>
      <c r="C906" s="9" t="n">
        <v>46252</v>
      </c>
      <c r="D906" s="8" t="n">
        <v>2026</v>
      </c>
      <c r="E906" s="8" t="n">
        <v>34</v>
      </c>
      <c r="F906" s="18" t="s">
        <v>130</v>
      </c>
      <c r="G906" s="8" t="s">
        <v>117</v>
      </c>
      <c r="H906" s="19" t="n">
        <v>0.333333333333333</v>
      </c>
      <c r="I906" s="19" t="n">
        <v>0.33125</v>
      </c>
      <c r="J906" s="19" t="n">
        <v>0.75</v>
      </c>
      <c r="K906" s="19" t="n">
        <v>0.75</v>
      </c>
      <c r="L906" s="19" t="n">
        <v>0.375</v>
      </c>
      <c r="M906" s="19" t="n">
        <v>0.375</v>
      </c>
      <c r="N906" s="19" t="n">
        <v>0</v>
      </c>
      <c r="O906" s="19" t="n">
        <v>0.00208333333333333</v>
      </c>
      <c r="P906" s="17" t="n">
        <f aca="false">IF(AND(ISNUMBER(H906),ISNUMBER(I906)),MAX(0,ROUND((I906-H906)*1440,0)-'Bilan agents'!$C$4),0)</f>
        <v>0</v>
      </c>
      <c r="Q906" s="8" t="str">
        <f aca="false">IF(H906="Congé","CP",IF(H906="Férié","F",IF(H906="OFF","R",IF(N906&gt;0,"A",IF(ISNUMBER(I906),"P","NR")))))</f>
        <v>P</v>
      </c>
      <c r="R906" s="18"/>
    </row>
    <row r="907" customFormat="false" ht="15" hidden="false" customHeight="false" outlineLevel="0" collapsed="false">
      <c r="A907" s="18" t="s">
        <v>30</v>
      </c>
      <c r="B907" s="8" t="s">
        <v>31</v>
      </c>
      <c r="C907" s="9" t="n">
        <v>46253</v>
      </c>
      <c r="D907" s="8" t="n">
        <v>2026</v>
      </c>
      <c r="E907" s="8" t="n">
        <v>34</v>
      </c>
      <c r="F907" s="18" t="s">
        <v>130</v>
      </c>
      <c r="G907" s="8" t="s">
        <v>118</v>
      </c>
      <c r="H907" s="19" t="n">
        <v>0.333333333333333</v>
      </c>
      <c r="I907" s="19" t="n">
        <v>0.333333333333333</v>
      </c>
      <c r="J907" s="19" t="n">
        <v>0.75</v>
      </c>
      <c r="K907" s="19" t="n">
        <v>0.75</v>
      </c>
      <c r="L907" s="19" t="n">
        <v>0.375</v>
      </c>
      <c r="M907" s="19" t="n">
        <v>0.375</v>
      </c>
      <c r="N907" s="19" t="n">
        <v>0</v>
      </c>
      <c r="O907" s="19" t="n">
        <v>0</v>
      </c>
      <c r="P907" s="17" t="n">
        <f aca="false">IF(AND(ISNUMBER(H907),ISNUMBER(I907)),MAX(0,ROUND((I907-H907)*1440,0)-'Bilan agents'!$C$4),0)</f>
        <v>0</v>
      </c>
      <c r="Q907" s="8" t="str">
        <f aca="false">IF(H907="Congé","CP",IF(H907="Férié","F",IF(H907="OFF","R",IF(N907&gt;0,"A",IF(ISNUMBER(I907),"P","NR")))))</f>
        <v>P</v>
      </c>
      <c r="R907" s="18"/>
    </row>
    <row r="908" customFormat="false" ht="15" hidden="false" customHeight="false" outlineLevel="0" collapsed="false">
      <c r="A908" s="18" t="s">
        <v>30</v>
      </c>
      <c r="B908" s="8" t="s">
        <v>31</v>
      </c>
      <c r="C908" s="9" t="n">
        <v>46254</v>
      </c>
      <c r="D908" s="8" t="n">
        <v>2026</v>
      </c>
      <c r="E908" s="8" t="n">
        <v>34</v>
      </c>
      <c r="F908" s="18" t="s">
        <v>130</v>
      </c>
      <c r="G908" s="8" t="s">
        <v>119</v>
      </c>
      <c r="H908" s="19" t="n">
        <v>0.333333333333333</v>
      </c>
      <c r="I908" s="19" t="n">
        <v>0.333333333333333</v>
      </c>
      <c r="J908" s="19" t="n">
        <v>0.75</v>
      </c>
      <c r="K908" s="19" t="n">
        <v>0.75</v>
      </c>
      <c r="L908" s="19" t="n">
        <v>0.375</v>
      </c>
      <c r="M908" s="19" t="n">
        <v>0.375</v>
      </c>
      <c r="N908" s="19" t="n">
        <v>0</v>
      </c>
      <c r="O908" s="19" t="n">
        <v>0</v>
      </c>
      <c r="P908" s="17" t="n">
        <f aca="false">IF(AND(ISNUMBER(H908),ISNUMBER(I908)),MAX(0,ROUND((I908-H908)*1440,0)-'Bilan agents'!$C$4),0)</f>
        <v>0</v>
      </c>
      <c r="Q908" s="8" t="str">
        <f aca="false">IF(H908="Congé","CP",IF(H908="Férié","F",IF(H908="OFF","R",IF(N908&gt;0,"A",IF(ISNUMBER(I908),"P","NR")))))</f>
        <v>P</v>
      </c>
      <c r="R908" s="18"/>
    </row>
    <row r="909" customFormat="false" ht="15" hidden="false" customHeight="false" outlineLevel="0" collapsed="false">
      <c r="A909" s="18" t="s">
        <v>30</v>
      </c>
      <c r="B909" s="8" t="s">
        <v>31</v>
      </c>
      <c r="C909" s="9" t="n">
        <v>46255</v>
      </c>
      <c r="D909" s="8" t="n">
        <v>2026</v>
      </c>
      <c r="E909" s="8" t="n">
        <v>34</v>
      </c>
      <c r="F909" s="18" t="s">
        <v>130</v>
      </c>
      <c r="G909" s="8" t="s">
        <v>120</v>
      </c>
      <c r="H909" s="19" t="n">
        <v>0.333333333333333</v>
      </c>
      <c r="I909" s="19" t="n">
        <v>0.332638888888889</v>
      </c>
      <c r="J909" s="19" t="n">
        <v>0.708333333333333</v>
      </c>
      <c r="K909" s="19" t="n">
        <v>0.708333333333333</v>
      </c>
      <c r="L909" s="19" t="n">
        <v>0.333333333333333</v>
      </c>
      <c r="M909" s="19" t="n">
        <v>0.333333333333333</v>
      </c>
      <c r="N909" s="19" t="n">
        <v>0</v>
      </c>
      <c r="O909" s="19" t="n">
        <v>0</v>
      </c>
      <c r="P909" s="17" t="n">
        <f aca="false">IF(AND(ISNUMBER(H909),ISNUMBER(I909)),MAX(0,ROUND((I909-H909)*1440,0)-'Bilan agents'!$C$4),0)</f>
        <v>0</v>
      </c>
      <c r="Q909" s="8" t="str">
        <f aca="false">IF(H909="Congé","CP",IF(H909="Férié","F",IF(H909="OFF","R",IF(N909&gt;0,"A",IF(ISNUMBER(I909),"P","NR")))))</f>
        <v>P</v>
      </c>
      <c r="R909" s="18"/>
    </row>
    <row r="910" customFormat="false" ht="15" hidden="false" customHeight="false" outlineLevel="0" collapsed="false">
      <c r="A910" s="18" t="s">
        <v>30</v>
      </c>
      <c r="B910" s="8" t="s">
        <v>31</v>
      </c>
      <c r="C910" s="9" t="n">
        <v>46256</v>
      </c>
      <c r="D910" s="8" t="n">
        <v>2026</v>
      </c>
      <c r="E910" s="8" t="n">
        <v>34</v>
      </c>
      <c r="F910" s="18" t="s">
        <v>130</v>
      </c>
      <c r="G910" s="8" t="s">
        <v>121</v>
      </c>
      <c r="H910" s="19" t="s">
        <v>115</v>
      </c>
      <c r="I910" s="19"/>
      <c r="J910" s="19"/>
      <c r="K910" s="19"/>
      <c r="L910" s="19" t="n">
        <v>0</v>
      </c>
      <c r="M910" s="19"/>
      <c r="N910" s="19" t="n">
        <v>0</v>
      </c>
      <c r="O910" s="19" t="n">
        <v>0</v>
      </c>
      <c r="P910" s="17" t="n">
        <f aca="false">IF(AND(ISNUMBER(H910),ISNUMBER(I910)),MAX(0,ROUND((I910-H910)*1440,0)-'Bilan agents'!$C$4),0)</f>
        <v>0</v>
      </c>
      <c r="Q910" s="8" t="str">
        <f aca="false">IF(H910="Congé","CP",IF(H910="Férié","F",IF(H910="OFF","R",IF(N910&gt;0,"A",IF(ISNUMBER(I910),"P","NR")))))</f>
        <v>R</v>
      </c>
      <c r="R910" s="18"/>
    </row>
    <row r="911" customFormat="false" ht="15" hidden="false" customHeight="false" outlineLevel="0" collapsed="false">
      <c r="A911" s="18" t="s">
        <v>30</v>
      </c>
      <c r="B911" s="8" t="s">
        <v>31</v>
      </c>
      <c r="C911" s="9" t="n">
        <v>46257</v>
      </c>
      <c r="D911" s="8" t="n">
        <v>2026</v>
      </c>
      <c r="E911" s="8" t="n">
        <v>34</v>
      </c>
      <c r="F911" s="18" t="s">
        <v>130</v>
      </c>
      <c r="G911" s="8" t="s">
        <v>114</v>
      </c>
      <c r="H911" s="19" t="s">
        <v>115</v>
      </c>
      <c r="I911" s="19"/>
      <c r="J911" s="19"/>
      <c r="K911" s="19"/>
      <c r="L911" s="19" t="n">
        <v>0</v>
      </c>
      <c r="M911" s="19"/>
      <c r="N911" s="19" t="n">
        <v>0</v>
      </c>
      <c r="O911" s="19" t="n">
        <v>0</v>
      </c>
      <c r="P911" s="17" t="n">
        <f aca="false">IF(AND(ISNUMBER(H911),ISNUMBER(I911)),MAX(0,ROUND((I911-H911)*1440,0)-'Bilan agents'!$C$4),0)</f>
        <v>0</v>
      </c>
      <c r="Q911" s="8" t="str">
        <f aca="false">IF(H911="Congé","CP",IF(H911="Férié","F",IF(H911="OFF","R",IF(N911&gt;0,"A",IF(ISNUMBER(I911),"P","NR")))))</f>
        <v>R</v>
      </c>
      <c r="R911" s="18"/>
    </row>
    <row r="912" customFormat="false" ht="15" hidden="false" customHeight="false" outlineLevel="0" collapsed="false">
      <c r="A912" s="18" t="s">
        <v>30</v>
      </c>
      <c r="B912" s="8" t="s">
        <v>31</v>
      </c>
      <c r="C912" s="9" t="n">
        <v>46258</v>
      </c>
      <c r="D912" s="8" t="n">
        <v>2026</v>
      </c>
      <c r="E912" s="8" t="n">
        <v>35</v>
      </c>
      <c r="F912" s="18" t="s">
        <v>130</v>
      </c>
      <c r="G912" s="8" t="s">
        <v>116</v>
      </c>
      <c r="H912" s="19" t="n">
        <v>0.333333333333333</v>
      </c>
      <c r="I912" s="19" t="n">
        <v>0.332638888888889</v>
      </c>
      <c r="J912" s="19" t="n">
        <v>0.75</v>
      </c>
      <c r="K912" s="19" t="n">
        <v>0.75</v>
      </c>
      <c r="L912" s="19" t="n">
        <v>0.375</v>
      </c>
      <c r="M912" s="19" t="n">
        <v>0.375</v>
      </c>
      <c r="N912" s="19" t="n">
        <v>0</v>
      </c>
      <c r="O912" s="19" t="n">
        <v>0</v>
      </c>
      <c r="P912" s="17" t="n">
        <f aca="false">IF(AND(ISNUMBER(H912),ISNUMBER(I912)),MAX(0,ROUND((I912-H912)*1440,0)-'Bilan agents'!$C$4),0)</f>
        <v>0</v>
      </c>
      <c r="Q912" s="8" t="str">
        <f aca="false">IF(H912="Congé","CP",IF(H912="Férié","F",IF(H912="OFF","R",IF(N912&gt;0,"A",IF(ISNUMBER(I912),"P","NR")))))</f>
        <v>P</v>
      </c>
      <c r="R912" s="18"/>
    </row>
    <row r="913" customFormat="false" ht="15" hidden="false" customHeight="false" outlineLevel="0" collapsed="false">
      <c r="A913" s="18" t="s">
        <v>30</v>
      </c>
      <c r="B913" s="8" t="s">
        <v>31</v>
      </c>
      <c r="C913" s="9" t="n">
        <v>46259</v>
      </c>
      <c r="D913" s="8" t="n">
        <v>2026</v>
      </c>
      <c r="E913" s="8" t="n">
        <v>35</v>
      </c>
      <c r="F913" s="18" t="s">
        <v>130</v>
      </c>
      <c r="G913" s="8" t="s">
        <v>117</v>
      </c>
      <c r="H913" s="19" t="n">
        <v>0.333333333333333</v>
      </c>
      <c r="I913" s="19" t="n">
        <v>0.333333333333333</v>
      </c>
      <c r="J913" s="19" t="n">
        <v>0.75</v>
      </c>
      <c r="K913" s="19" t="n">
        <v>0.75</v>
      </c>
      <c r="L913" s="19" t="n">
        <v>0.375</v>
      </c>
      <c r="M913" s="19" t="n">
        <v>0.375</v>
      </c>
      <c r="N913" s="19" t="n">
        <v>0</v>
      </c>
      <c r="O913" s="19" t="n">
        <v>0</v>
      </c>
      <c r="P913" s="17" t="n">
        <f aca="false">IF(AND(ISNUMBER(H913),ISNUMBER(I913)),MAX(0,ROUND((I913-H913)*1440,0)-'Bilan agents'!$C$4),0)</f>
        <v>0</v>
      </c>
      <c r="Q913" s="8" t="str">
        <f aca="false">IF(H913="Congé","CP",IF(H913="Férié","F",IF(H913="OFF","R",IF(N913&gt;0,"A",IF(ISNUMBER(I913),"P","NR")))))</f>
        <v>P</v>
      </c>
      <c r="R913" s="18"/>
    </row>
    <row r="914" customFormat="false" ht="15" hidden="false" customHeight="false" outlineLevel="0" collapsed="false">
      <c r="A914" s="18" t="s">
        <v>30</v>
      </c>
      <c r="B914" s="8" t="s">
        <v>31</v>
      </c>
      <c r="C914" s="9" t="n">
        <v>46260</v>
      </c>
      <c r="D914" s="8" t="n">
        <v>2026</v>
      </c>
      <c r="E914" s="8" t="n">
        <v>35</v>
      </c>
      <c r="F914" s="18" t="s">
        <v>130</v>
      </c>
      <c r="G914" s="8" t="s">
        <v>118</v>
      </c>
      <c r="H914" s="19" t="n">
        <v>0.333333333333333</v>
      </c>
      <c r="I914" s="19" t="n">
        <v>0.333333333333333</v>
      </c>
      <c r="J914" s="19" t="n">
        <v>0.75</v>
      </c>
      <c r="K914" s="19" t="n">
        <v>0.75</v>
      </c>
      <c r="L914" s="19" t="n">
        <v>0.375</v>
      </c>
      <c r="M914" s="19" t="n">
        <v>0.375</v>
      </c>
      <c r="N914" s="19" t="n">
        <v>0</v>
      </c>
      <c r="O914" s="19" t="n">
        <v>0</v>
      </c>
      <c r="P914" s="17" t="n">
        <f aca="false">IF(AND(ISNUMBER(H914),ISNUMBER(I914)),MAX(0,ROUND((I914-H914)*1440,0)-'Bilan agents'!$C$4),0)</f>
        <v>0</v>
      </c>
      <c r="Q914" s="8" t="str">
        <f aca="false">IF(H914="Congé","CP",IF(H914="Férié","F",IF(H914="OFF","R",IF(N914&gt;0,"A",IF(ISNUMBER(I914),"P","NR")))))</f>
        <v>P</v>
      </c>
      <c r="R914" s="18"/>
    </row>
    <row r="915" customFormat="false" ht="15" hidden="false" customHeight="false" outlineLevel="0" collapsed="false">
      <c r="A915" s="18" t="s">
        <v>30</v>
      </c>
      <c r="B915" s="8" t="s">
        <v>31</v>
      </c>
      <c r="C915" s="9" t="n">
        <v>46261</v>
      </c>
      <c r="D915" s="8" t="n">
        <v>2026</v>
      </c>
      <c r="E915" s="8" t="n">
        <v>35</v>
      </c>
      <c r="F915" s="18" t="s">
        <v>130</v>
      </c>
      <c r="G915" s="8" t="s">
        <v>119</v>
      </c>
      <c r="H915" s="19" t="n">
        <v>0.333333333333333</v>
      </c>
      <c r="I915" s="19" t="n">
        <v>0.332638888888889</v>
      </c>
      <c r="J915" s="19" t="n">
        <v>0.75</v>
      </c>
      <c r="K915" s="19" t="n">
        <v>0.75</v>
      </c>
      <c r="L915" s="19" t="n">
        <v>0.375</v>
      </c>
      <c r="M915" s="19" t="n">
        <v>0.375</v>
      </c>
      <c r="N915" s="19" t="n">
        <v>0</v>
      </c>
      <c r="O915" s="19" t="n">
        <v>0</v>
      </c>
      <c r="P915" s="17" t="n">
        <f aca="false">IF(AND(ISNUMBER(H915),ISNUMBER(I915)),MAX(0,ROUND((I915-H915)*1440,0)-'Bilan agents'!$C$4),0)</f>
        <v>0</v>
      </c>
      <c r="Q915" s="8" t="str">
        <f aca="false">IF(H915="Congé","CP",IF(H915="Férié","F",IF(H915="OFF","R",IF(N915&gt;0,"A",IF(ISNUMBER(I915),"P","NR")))))</f>
        <v>P</v>
      </c>
      <c r="R915" s="18"/>
    </row>
    <row r="916" customFormat="false" ht="15" hidden="false" customHeight="false" outlineLevel="0" collapsed="false">
      <c r="A916" s="18" t="s">
        <v>30</v>
      </c>
      <c r="B916" s="8" t="s">
        <v>31</v>
      </c>
      <c r="C916" s="9" t="n">
        <v>46262</v>
      </c>
      <c r="D916" s="8" t="n">
        <v>2026</v>
      </c>
      <c r="E916" s="8" t="n">
        <v>35</v>
      </c>
      <c r="F916" s="18" t="s">
        <v>130</v>
      </c>
      <c r="G916" s="8" t="s">
        <v>120</v>
      </c>
      <c r="H916" s="19" t="n">
        <v>0.333333333333333</v>
      </c>
      <c r="I916" s="19" t="n">
        <v>0.333333333333333</v>
      </c>
      <c r="J916" s="19" t="n">
        <v>0.708333333333333</v>
      </c>
      <c r="K916" s="19" t="n">
        <v>0.708333333333333</v>
      </c>
      <c r="L916" s="19" t="n">
        <v>0.333333333333333</v>
      </c>
      <c r="M916" s="19" t="n">
        <v>0.333333333333333</v>
      </c>
      <c r="N916" s="19" t="n">
        <v>0</v>
      </c>
      <c r="O916" s="19" t="n">
        <v>0</v>
      </c>
      <c r="P916" s="17" t="n">
        <f aca="false">IF(AND(ISNUMBER(H916),ISNUMBER(I916)),MAX(0,ROUND((I916-H916)*1440,0)-'Bilan agents'!$C$4),0)</f>
        <v>0</v>
      </c>
      <c r="Q916" s="8" t="str">
        <f aca="false">IF(H916="Congé","CP",IF(H916="Férié","F",IF(H916="OFF","R",IF(N916&gt;0,"A",IF(ISNUMBER(I916),"P","NR")))))</f>
        <v>P</v>
      </c>
      <c r="R916" s="18"/>
    </row>
    <row r="917" customFormat="false" ht="15" hidden="false" customHeight="false" outlineLevel="0" collapsed="false">
      <c r="A917" s="18" t="s">
        <v>30</v>
      </c>
      <c r="B917" s="8" t="s">
        <v>31</v>
      </c>
      <c r="C917" s="9" t="n">
        <v>46263</v>
      </c>
      <c r="D917" s="8" t="n">
        <v>2026</v>
      </c>
      <c r="E917" s="8" t="n">
        <v>35</v>
      </c>
      <c r="F917" s="18" t="s">
        <v>130</v>
      </c>
      <c r="G917" s="8" t="s">
        <v>121</v>
      </c>
      <c r="H917" s="19" t="s">
        <v>115</v>
      </c>
      <c r="I917" s="19"/>
      <c r="J917" s="19"/>
      <c r="K917" s="19"/>
      <c r="L917" s="19" t="n">
        <v>0</v>
      </c>
      <c r="M917" s="19"/>
      <c r="N917" s="19" t="n">
        <v>0</v>
      </c>
      <c r="O917" s="19" t="n">
        <v>0</v>
      </c>
      <c r="P917" s="17" t="n">
        <f aca="false">IF(AND(ISNUMBER(H917),ISNUMBER(I917)),MAX(0,ROUND((I917-H917)*1440,0)-'Bilan agents'!$C$4),0)</f>
        <v>0</v>
      </c>
      <c r="Q917" s="8" t="str">
        <f aca="false">IF(H917="Congé","CP",IF(H917="Férié","F",IF(H917="OFF","R",IF(N917&gt;0,"A",IF(ISNUMBER(I917),"P","NR")))))</f>
        <v>R</v>
      </c>
      <c r="R917" s="18"/>
    </row>
    <row r="918" customFormat="false" ht="15" hidden="false" customHeight="false" outlineLevel="0" collapsed="false">
      <c r="A918" s="18" t="s">
        <v>30</v>
      </c>
      <c r="B918" s="8" t="s">
        <v>31</v>
      </c>
      <c r="C918" s="9" t="n">
        <v>46264</v>
      </c>
      <c r="D918" s="8" t="n">
        <v>2026</v>
      </c>
      <c r="E918" s="8" t="n">
        <v>35</v>
      </c>
      <c r="F918" s="18" t="s">
        <v>130</v>
      </c>
      <c r="G918" s="8" t="s">
        <v>114</v>
      </c>
      <c r="H918" s="19" t="s">
        <v>115</v>
      </c>
      <c r="I918" s="19"/>
      <c r="J918" s="19"/>
      <c r="K918" s="19"/>
      <c r="L918" s="19" t="n">
        <v>0</v>
      </c>
      <c r="M918" s="19"/>
      <c r="N918" s="19" t="n">
        <v>0</v>
      </c>
      <c r="O918" s="19" t="n">
        <v>0</v>
      </c>
      <c r="P918" s="17" t="n">
        <f aca="false">IF(AND(ISNUMBER(H918),ISNUMBER(I918)),MAX(0,ROUND((I918-H918)*1440,0)-'Bilan agents'!$C$4),0)</f>
        <v>0</v>
      </c>
      <c r="Q918" s="8" t="str">
        <f aca="false">IF(H918="Congé","CP",IF(H918="Férié","F",IF(H918="OFF","R",IF(N918&gt;0,"A",IF(ISNUMBER(I918),"P","NR")))))</f>
        <v>R</v>
      </c>
      <c r="R918" s="18"/>
    </row>
    <row r="919" customFormat="false" ht="15" hidden="false" customHeight="false" outlineLevel="0" collapsed="false">
      <c r="A919" s="18" t="s">
        <v>30</v>
      </c>
      <c r="B919" s="8" t="s">
        <v>31</v>
      </c>
      <c r="C919" s="9" t="n">
        <v>46265</v>
      </c>
      <c r="D919" s="8" t="n">
        <v>2026</v>
      </c>
      <c r="E919" s="8" t="n">
        <v>36</v>
      </c>
      <c r="F919" s="18" t="s">
        <v>130</v>
      </c>
      <c r="G919" s="8" t="s">
        <v>116</v>
      </c>
      <c r="H919" s="19" t="n">
        <v>0.333333333333333</v>
      </c>
      <c r="I919" s="19" t="n">
        <v>0.333333333333333</v>
      </c>
      <c r="J919" s="19" t="n">
        <v>0.75</v>
      </c>
      <c r="K919" s="19" t="n">
        <v>0.75</v>
      </c>
      <c r="L919" s="19" t="n">
        <v>0.375</v>
      </c>
      <c r="M919" s="19" t="n">
        <v>0.375</v>
      </c>
      <c r="N919" s="19" t="n">
        <v>0</v>
      </c>
      <c r="O919" s="19" t="n">
        <v>0</v>
      </c>
      <c r="P919" s="17" t="n">
        <f aca="false">IF(AND(ISNUMBER(H919),ISNUMBER(I919)),MAX(0,ROUND((I919-H919)*1440,0)-'Bilan agents'!$C$4),0)</f>
        <v>0</v>
      </c>
      <c r="Q919" s="8" t="str">
        <f aca="false">IF(H919="Congé","CP",IF(H919="Férié","F",IF(H919="OFF","R",IF(N919&gt;0,"A",IF(ISNUMBER(I919),"P","NR")))))</f>
        <v>P</v>
      </c>
      <c r="R919" s="18"/>
    </row>
    <row r="920" customFormat="false" ht="15" hidden="false" customHeight="false" outlineLevel="0" collapsed="false">
      <c r="A920" s="18" t="s">
        <v>30</v>
      </c>
      <c r="B920" s="8" t="s">
        <v>31</v>
      </c>
      <c r="C920" s="9" t="n">
        <v>46266</v>
      </c>
      <c r="D920" s="8" t="n">
        <v>2026</v>
      </c>
      <c r="E920" s="8" t="n">
        <v>36</v>
      </c>
      <c r="F920" s="18" t="s">
        <v>131</v>
      </c>
      <c r="G920" s="8" t="s">
        <v>117</v>
      </c>
      <c r="H920" s="19" t="n">
        <v>0.333333333333333</v>
      </c>
      <c r="I920" s="19" t="n">
        <v>0.333333333333333</v>
      </c>
      <c r="J920" s="19" t="n">
        <v>0.75</v>
      </c>
      <c r="K920" s="19" t="n">
        <v>0.75</v>
      </c>
      <c r="L920" s="19" t="n">
        <v>0.375</v>
      </c>
      <c r="M920" s="19" t="n">
        <v>0.375</v>
      </c>
      <c r="N920" s="19" t="n">
        <v>0</v>
      </c>
      <c r="O920" s="19" t="n">
        <v>0</v>
      </c>
      <c r="P920" s="17" t="n">
        <f aca="false">IF(AND(ISNUMBER(H920),ISNUMBER(I920)),MAX(0,ROUND((I920-H920)*1440,0)-'Bilan agents'!$C$4),0)</f>
        <v>0</v>
      </c>
      <c r="Q920" s="8" t="str">
        <f aca="false">IF(H920="Congé","CP",IF(H920="Férié","F",IF(H920="OFF","R",IF(N920&gt;0,"A",IF(ISNUMBER(I920),"P","NR")))))</f>
        <v>P</v>
      </c>
      <c r="R920" s="18"/>
    </row>
    <row r="921" customFormat="false" ht="15" hidden="false" customHeight="false" outlineLevel="0" collapsed="false">
      <c r="A921" s="18" t="s">
        <v>30</v>
      </c>
      <c r="B921" s="8" t="s">
        <v>31</v>
      </c>
      <c r="C921" s="9" t="n">
        <v>46267</v>
      </c>
      <c r="D921" s="8" t="n">
        <v>2026</v>
      </c>
      <c r="E921" s="8" t="n">
        <v>36</v>
      </c>
      <c r="F921" s="18" t="s">
        <v>131</v>
      </c>
      <c r="G921" s="8" t="s">
        <v>118</v>
      </c>
      <c r="H921" s="19" t="n">
        <v>0.333333333333333</v>
      </c>
      <c r="I921" s="19" t="n">
        <v>0.333333333333333</v>
      </c>
      <c r="J921" s="19" t="n">
        <v>0.75</v>
      </c>
      <c r="K921" s="19" t="n">
        <v>0.75</v>
      </c>
      <c r="L921" s="19" t="n">
        <v>0.375</v>
      </c>
      <c r="M921" s="19" t="n">
        <v>0.375</v>
      </c>
      <c r="N921" s="19" t="n">
        <v>0</v>
      </c>
      <c r="O921" s="19" t="n">
        <v>0</v>
      </c>
      <c r="P921" s="17" t="n">
        <f aca="false">IF(AND(ISNUMBER(H921),ISNUMBER(I921)),MAX(0,ROUND((I921-H921)*1440,0)-'Bilan agents'!$C$4),0)</f>
        <v>0</v>
      </c>
      <c r="Q921" s="8" t="str">
        <f aca="false">IF(H921="Congé","CP",IF(H921="Férié","F",IF(H921="OFF","R",IF(N921&gt;0,"A",IF(ISNUMBER(I921),"P","NR")))))</f>
        <v>P</v>
      </c>
      <c r="R921" s="18"/>
    </row>
    <row r="922" customFormat="false" ht="15" hidden="false" customHeight="false" outlineLevel="0" collapsed="false">
      <c r="A922" s="18" t="s">
        <v>30</v>
      </c>
      <c r="B922" s="8" t="s">
        <v>31</v>
      </c>
      <c r="C922" s="9" t="n">
        <v>46268</v>
      </c>
      <c r="D922" s="8" t="n">
        <v>2026</v>
      </c>
      <c r="E922" s="8" t="n">
        <v>36</v>
      </c>
      <c r="F922" s="18" t="s">
        <v>131</v>
      </c>
      <c r="G922" s="8" t="s">
        <v>119</v>
      </c>
      <c r="H922" s="19" t="n">
        <v>0.333333333333333</v>
      </c>
      <c r="I922" s="19" t="n">
        <v>0.333333333333333</v>
      </c>
      <c r="J922" s="19" t="n">
        <v>0.75</v>
      </c>
      <c r="K922" s="19" t="n">
        <v>0.75</v>
      </c>
      <c r="L922" s="19" t="n">
        <v>0.375</v>
      </c>
      <c r="M922" s="19" t="n">
        <v>0.375</v>
      </c>
      <c r="N922" s="19" t="n">
        <v>0</v>
      </c>
      <c r="O922" s="19" t="n">
        <v>0</v>
      </c>
      <c r="P922" s="17" t="n">
        <f aca="false">IF(AND(ISNUMBER(H922),ISNUMBER(I922)),MAX(0,ROUND((I922-H922)*1440,0)-'Bilan agents'!$C$4),0)</f>
        <v>0</v>
      </c>
      <c r="Q922" s="8" t="str">
        <f aca="false">IF(H922="Congé","CP",IF(H922="Férié","F",IF(H922="OFF","R",IF(N922&gt;0,"A",IF(ISNUMBER(I922),"P","NR")))))</f>
        <v>P</v>
      </c>
      <c r="R922" s="18"/>
    </row>
    <row r="923" customFormat="false" ht="15" hidden="false" customHeight="false" outlineLevel="0" collapsed="false">
      <c r="A923" s="18" t="s">
        <v>30</v>
      </c>
      <c r="B923" s="8" t="s">
        <v>31</v>
      </c>
      <c r="C923" s="9" t="n">
        <v>46269</v>
      </c>
      <c r="D923" s="8" t="n">
        <v>2026</v>
      </c>
      <c r="E923" s="8" t="n">
        <v>36</v>
      </c>
      <c r="F923" s="18" t="s">
        <v>131</v>
      </c>
      <c r="G923" s="8" t="s">
        <v>120</v>
      </c>
      <c r="H923" s="19" t="n">
        <v>0.333333333333333</v>
      </c>
      <c r="I923" s="19" t="n">
        <v>0.333333333333333</v>
      </c>
      <c r="J923" s="19" t="n">
        <v>0.708333333333333</v>
      </c>
      <c r="K923" s="19" t="n">
        <v>0.708333333333333</v>
      </c>
      <c r="L923" s="19" t="n">
        <v>0.333333333333333</v>
      </c>
      <c r="M923" s="19" t="n">
        <v>0.333333333333333</v>
      </c>
      <c r="N923" s="19" t="n">
        <v>0</v>
      </c>
      <c r="O923" s="19" t="n">
        <v>0</v>
      </c>
      <c r="P923" s="17" t="n">
        <f aca="false">IF(AND(ISNUMBER(H923),ISNUMBER(I923)),MAX(0,ROUND((I923-H923)*1440,0)-'Bilan agents'!$C$4),0)</f>
        <v>0</v>
      </c>
      <c r="Q923" s="8" t="str">
        <f aca="false">IF(H923="Congé","CP",IF(H923="Férié","F",IF(H923="OFF","R",IF(N923&gt;0,"A",IF(ISNUMBER(I923),"P","NR")))))</f>
        <v>P</v>
      </c>
      <c r="R923" s="18"/>
    </row>
    <row r="924" customFormat="false" ht="15" hidden="false" customHeight="false" outlineLevel="0" collapsed="false">
      <c r="A924" s="18" t="s">
        <v>30</v>
      </c>
      <c r="B924" s="8" t="s">
        <v>31</v>
      </c>
      <c r="C924" s="9" t="n">
        <v>46270</v>
      </c>
      <c r="D924" s="8" t="n">
        <v>2026</v>
      </c>
      <c r="E924" s="8" t="n">
        <v>36</v>
      </c>
      <c r="F924" s="18" t="s">
        <v>131</v>
      </c>
      <c r="G924" s="8" t="s">
        <v>121</v>
      </c>
      <c r="H924" s="19" t="s">
        <v>115</v>
      </c>
      <c r="I924" s="19"/>
      <c r="J924" s="19"/>
      <c r="K924" s="19"/>
      <c r="L924" s="19" t="n">
        <v>0</v>
      </c>
      <c r="M924" s="19"/>
      <c r="N924" s="19" t="n">
        <v>0</v>
      </c>
      <c r="O924" s="19" t="n">
        <v>0</v>
      </c>
      <c r="P924" s="17" t="n">
        <f aca="false">IF(AND(ISNUMBER(H924),ISNUMBER(I924)),MAX(0,ROUND((I924-H924)*1440,0)-'Bilan agents'!$C$4),0)</f>
        <v>0</v>
      </c>
      <c r="Q924" s="8" t="str">
        <f aca="false">IF(H924="Congé","CP",IF(H924="Férié","F",IF(H924="OFF","R",IF(N924&gt;0,"A",IF(ISNUMBER(I924),"P","NR")))))</f>
        <v>R</v>
      </c>
      <c r="R924" s="18"/>
    </row>
    <row r="925" customFormat="false" ht="15" hidden="false" customHeight="false" outlineLevel="0" collapsed="false">
      <c r="A925" s="18" t="s">
        <v>30</v>
      </c>
      <c r="B925" s="8" t="s">
        <v>31</v>
      </c>
      <c r="C925" s="9" t="n">
        <v>46271</v>
      </c>
      <c r="D925" s="8" t="n">
        <v>2026</v>
      </c>
      <c r="E925" s="8" t="n">
        <v>36</v>
      </c>
      <c r="F925" s="18" t="s">
        <v>131</v>
      </c>
      <c r="G925" s="8" t="s">
        <v>114</v>
      </c>
      <c r="H925" s="19" t="s">
        <v>115</v>
      </c>
      <c r="I925" s="19"/>
      <c r="J925" s="19"/>
      <c r="K925" s="19"/>
      <c r="L925" s="19" t="n">
        <v>0</v>
      </c>
      <c r="M925" s="19"/>
      <c r="N925" s="19" t="n">
        <v>0</v>
      </c>
      <c r="O925" s="19" t="n">
        <v>0</v>
      </c>
      <c r="P925" s="17" t="n">
        <f aca="false">IF(AND(ISNUMBER(H925),ISNUMBER(I925)),MAX(0,ROUND((I925-H925)*1440,0)-'Bilan agents'!$C$4),0)</f>
        <v>0</v>
      </c>
      <c r="Q925" s="8" t="str">
        <f aca="false">IF(H925="Congé","CP",IF(H925="Férié","F",IF(H925="OFF","R",IF(N925&gt;0,"A",IF(ISNUMBER(I925),"P","NR")))))</f>
        <v>R</v>
      </c>
      <c r="R925" s="18"/>
    </row>
    <row r="926" customFormat="false" ht="15" hidden="false" customHeight="false" outlineLevel="0" collapsed="false">
      <c r="A926" s="18" t="s">
        <v>30</v>
      </c>
      <c r="B926" s="8" t="s">
        <v>31</v>
      </c>
      <c r="C926" s="9" t="n">
        <v>46272</v>
      </c>
      <c r="D926" s="8" t="n">
        <v>2026</v>
      </c>
      <c r="E926" s="8" t="n">
        <v>37</v>
      </c>
      <c r="F926" s="18" t="s">
        <v>131</v>
      </c>
      <c r="G926" s="8" t="s">
        <v>116</v>
      </c>
      <c r="H926" s="19" t="n">
        <v>0.333333333333333</v>
      </c>
      <c r="I926" s="19" t="n">
        <v>0.333333333333333</v>
      </c>
      <c r="J926" s="19" t="n">
        <v>0.75</v>
      </c>
      <c r="K926" s="19" t="n">
        <v>0.75</v>
      </c>
      <c r="L926" s="19" t="n">
        <v>0.375</v>
      </c>
      <c r="M926" s="19" t="n">
        <v>0.375</v>
      </c>
      <c r="N926" s="19" t="n">
        <v>0</v>
      </c>
      <c r="O926" s="19" t="n">
        <v>0</v>
      </c>
      <c r="P926" s="17" t="n">
        <f aca="false">IF(AND(ISNUMBER(H926),ISNUMBER(I926)),MAX(0,ROUND((I926-H926)*1440,0)-'Bilan agents'!$C$4),0)</f>
        <v>0</v>
      </c>
      <c r="Q926" s="8" t="str">
        <f aca="false">IF(H926="Congé","CP",IF(H926="Férié","F",IF(H926="OFF","R",IF(N926&gt;0,"A",IF(ISNUMBER(I926),"P","NR")))))</f>
        <v>P</v>
      </c>
      <c r="R926" s="18" t="s">
        <v>132</v>
      </c>
    </row>
    <row r="927" customFormat="false" ht="15" hidden="false" customHeight="false" outlineLevel="0" collapsed="false">
      <c r="A927" s="18" t="s">
        <v>30</v>
      </c>
      <c r="B927" s="8" t="s">
        <v>31</v>
      </c>
      <c r="C927" s="9" t="n">
        <v>46273</v>
      </c>
      <c r="D927" s="8" t="n">
        <v>2026</v>
      </c>
      <c r="E927" s="8" t="n">
        <v>37</v>
      </c>
      <c r="F927" s="18" t="s">
        <v>131</v>
      </c>
      <c r="G927" s="8" t="s">
        <v>117</v>
      </c>
      <c r="H927" s="19" t="n">
        <v>0.333333333333333</v>
      </c>
      <c r="I927" s="19" t="n">
        <v>0.333333333333333</v>
      </c>
      <c r="J927" s="19" t="n">
        <v>0.75</v>
      </c>
      <c r="K927" s="19" t="n">
        <v>0.75</v>
      </c>
      <c r="L927" s="19" t="n">
        <v>0.375</v>
      </c>
      <c r="M927" s="19" t="n">
        <v>0.375</v>
      </c>
      <c r="N927" s="19" t="n">
        <v>0</v>
      </c>
      <c r="O927" s="19" t="n">
        <v>0</v>
      </c>
      <c r="P927" s="17" t="n">
        <f aca="false">IF(AND(ISNUMBER(H927),ISNUMBER(I927)),MAX(0,ROUND((I927-H927)*1440,0)-'Bilan agents'!$C$4),0)</f>
        <v>0</v>
      </c>
      <c r="Q927" s="8" t="str">
        <f aca="false">IF(H927="Congé","CP",IF(H927="Férié","F",IF(H927="OFF","R",IF(N927&gt;0,"A",IF(ISNUMBER(I927),"P","NR")))))</f>
        <v>P</v>
      </c>
      <c r="R927" s="18" t="s">
        <v>132</v>
      </c>
    </row>
    <row r="928" customFormat="false" ht="15" hidden="false" customHeight="false" outlineLevel="0" collapsed="false">
      <c r="A928" s="18" t="s">
        <v>30</v>
      </c>
      <c r="B928" s="8" t="s">
        <v>31</v>
      </c>
      <c r="C928" s="9" t="n">
        <v>46274</v>
      </c>
      <c r="D928" s="8" t="n">
        <v>2026</v>
      </c>
      <c r="E928" s="8" t="n">
        <v>37</v>
      </c>
      <c r="F928" s="18" t="s">
        <v>131</v>
      </c>
      <c r="G928" s="8" t="s">
        <v>118</v>
      </c>
      <c r="H928" s="19" t="n">
        <v>0.333333333333333</v>
      </c>
      <c r="I928" s="19" t="n">
        <v>0.333333333333333</v>
      </c>
      <c r="J928" s="19" t="n">
        <v>0.75</v>
      </c>
      <c r="K928" s="19" t="n">
        <v>0.75</v>
      </c>
      <c r="L928" s="19" t="n">
        <v>0.375</v>
      </c>
      <c r="M928" s="19" t="n">
        <v>0.375</v>
      </c>
      <c r="N928" s="19" t="n">
        <v>0</v>
      </c>
      <c r="O928" s="19" t="n">
        <v>0</v>
      </c>
      <c r="P928" s="17" t="n">
        <f aca="false">IF(AND(ISNUMBER(H928),ISNUMBER(I928)),MAX(0,ROUND((I928-H928)*1440,0)-'Bilan agents'!$C$4),0)</f>
        <v>0</v>
      </c>
      <c r="Q928" s="8" t="str">
        <f aca="false">IF(H928="Congé","CP",IF(H928="Férié","F",IF(H928="OFF","R",IF(N928&gt;0,"A",IF(ISNUMBER(I928),"P","NR")))))</f>
        <v>P</v>
      </c>
      <c r="R928" s="18" t="s">
        <v>132</v>
      </c>
    </row>
    <row r="929" customFormat="false" ht="15" hidden="false" customHeight="false" outlineLevel="0" collapsed="false">
      <c r="A929" s="18" t="s">
        <v>30</v>
      </c>
      <c r="B929" s="8" t="s">
        <v>31</v>
      </c>
      <c r="C929" s="9" t="n">
        <v>46275</v>
      </c>
      <c r="D929" s="8" t="n">
        <v>2026</v>
      </c>
      <c r="E929" s="8" t="n">
        <v>37</v>
      </c>
      <c r="F929" s="18" t="s">
        <v>131</v>
      </c>
      <c r="G929" s="8" t="s">
        <v>119</v>
      </c>
      <c r="H929" s="19" t="n">
        <v>0.333333333333333</v>
      </c>
      <c r="I929" s="19" t="n">
        <v>0.333333333333333</v>
      </c>
      <c r="J929" s="19" t="n">
        <v>0.75</v>
      </c>
      <c r="K929" s="19" t="n">
        <v>0.75</v>
      </c>
      <c r="L929" s="19" t="n">
        <v>0.375</v>
      </c>
      <c r="M929" s="19" t="n">
        <v>0.375</v>
      </c>
      <c r="N929" s="19" t="n">
        <v>0</v>
      </c>
      <c r="O929" s="19" t="n">
        <v>0</v>
      </c>
      <c r="P929" s="17" t="n">
        <f aca="false">IF(AND(ISNUMBER(H929),ISNUMBER(I929)),MAX(0,ROUND((I929-H929)*1440,0)-'Bilan agents'!$C$4),0)</f>
        <v>0</v>
      </c>
      <c r="Q929" s="8" t="str">
        <f aca="false">IF(H929="Congé","CP",IF(H929="Férié","F",IF(H929="OFF","R",IF(N929&gt;0,"A",IF(ISNUMBER(I929),"P","NR")))))</f>
        <v>P</v>
      </c>
      <c r="R929" s="18" t="s">
        <v>132</v>
      </c>
    </row>
    <row r="930" customFormat="false" ht="15" hidden="false" customHeight="false" outlineLevel="0" collapsed="false">
      <c r="A930" s="18" t="s">
        <v>30</v>
      </c>
      <c r="B930" s="8" t="s">
        <v>31</v>
      </c>
      <c r="C930" s="9" t="n">
        <v>46276</v>
      </c>
      <c r="D930" s="8" t="n">
        <v>2026</v>
      </c>
      <c r="E930" s="8" t="n">
        <v>37</v>
      </c>
      <c r="F930" s="18" t="s">
        <v>131</v>
      </c>
      <c r="G930" s="8" t="s">
        <v>120</v>
      </c>
      <c r="H930" s="19" t="n">
        <v>0.333333333333333</v>
      </c>
      <c r="I930" s="19" t="n">
        <v>0.333333333333333</v>
      </c>
      <c r="J930" s="19" t="n">
        <v>0.708333333333333</v>
      </c>
      <c r="K930" s="19" t="n">
        <v>0.708333333333333</v>
      </c>
      <c r="L930" s="19" t="n">
        <v>0.333333333333333</v>
      </c>
      <c r="M930" s="19" t="n">
        <v>0.333333333333333</v>
      </c>
      <c r="N930" s="19" t="n">
        <v>0</v>
      </c>
      <c r="O930" s="19" t="n">
        <v>0</v>
      </c>
      <c r="P930" s="17" t="n">
        <f aca="false">IF(AND(ISNUMBER(H930),ISNUMBER(I930)),MAX(0,ROUND((I930-H930)*1440,0)-'Bilan agents'!$C$4),0)</f>
        <v>0</v>
      </c>
      <c r="Q930" s="8" t="str">
        <f aca="false">IF(H930="Congé","CP",IF(H930="Férié","F",IF(H930="OFF","R",IF(N930&gt;0,"A",IF(ISNUMBER(I930),"P","NR")))))</f>
        <v>P</v>
      </c>
      <c r="R930" s="18" t="s">
        <v>132</v>
      </c>
    </row>
    <row r="931" customFormat="false" ht="15" hidden="false" customHeight="false" outlineLevel="0" collapsed="false">
      <c r="A931" s="18" t="s">
        <v>30</v>
      </c>
      <c r="B931" s="8" t="s">
        <v>31</v>
      </c>
      <c r="C931" s="9" t="n">
        <v>46277</v>
      </c>
      <c r="D931" s="8" t="n">
        <v>2026</v>
      </c>
      <c r="E931" s="8" t="n">
        <v>37</v>
      </c>
      <c r="F931" s="18" t="s">
        <v>131</v>
      </c>
      <c r="G931" s="8" t="s">
        <v>121</v>
      </c>
      <c r="H931" s="19" t="s">
        <v>115</v>
      </c>
      <c r="I931" s="19"/>
      <c r="J931" s="19"/>
      <c r="K931" s="19"/>
      <c r="L931" s="19" t="n">
        <v>0</v>
      </c>
      <c r="M931" s="19"/>
      <c r="N931" s="19" t="n">
        <v>0</v>
      </c>
      <c r="O931" s="19" t="n">
        <v>0</v>
      </c>
      <c r="P931" s="17" t="n">
        <f aca="false">IF(AND(ISNUMBER(H931),ISNUMBER(I931)),MAX(0,ROUND((I931-H931)*1440,0)-'Bilan agents'!$C$4),0)</f>
        <v>0</v>
      </c>
      <c r="Q931" s="8" t="str">
        <f aca="false">IF(H931="Congé","CP",IF(H931="Férié","F",IF(H931="OFF","R",IF(N931&gt;0,"A",IF(ISNUMBER(I931),"P","NR")))))</f>
        <v>R</v>
      </c>
      <c r="R931" s="18" t="s">
        <v>132</v>
      </c>
    </row>
    <row r="932" customFormat="false" ht="15" hidden="false" customHeight="false" outlineLevel="0" collapsed="false">
      <c r="A932" s="18" t="s">
        <v>30</v>
      </c>
      <c r="B932" s="8" t="s">
        <v>31</v>
      </c>
      <c r="C932" s="9" t="n">
        <v>46278</v>
      </c>
      <c r="D932" s="8" t="n">
        <v>2026</v>
      </c>
      <c r="E932" s="8" t="n">
        <v>37</v>
      </c>
      <c r="F932" s="18" t="s">
        <v>131</v>
      </c>
      <c r="G932" s="8" t="s">
        <v>114</v>
      </c>
      <c r="H932" s="19" t="s">
        <v>115</v>
      </c>
      <c r="I932" s="19"/>
      <c r="J932" s="19"/>
      <c r="K932" s="19"/>
      <c r="L932" s="19" t="n">
        <v>0</v>
      </c>
      <c r="M932" s="19"/>
      <c r="N932" s="19" t="n">
        <v>0</v>
      </c>
      <c r="O932" s="19" t="n">
        <v>0</v>
      </c>
      <c r="P932" s="17" t="n">
        <f aca="false">IF(AND(ISNUMBER(H932),ISNUMBER(I932)),MAX(0,ROUND((I932-H932)*1440,0)-'Bilan agents'!$C$4),0)</f>
        <v>0</v>
      </c>
      <c r="Q932" s="8" t="str">
        <f aca="false">IF(H932="Congé","CP",IF(H932="Férié","F",IF(H932="OFF","R",IF(N932&gt;0,"A",IF(ISNUMBER(I932),"P","NR")))))</f>
        <v>R</v>
      </c>
      <c r="R932" s="18" t="s">
        <v>132</v>
      </c>
    </row>
    <row r="933" customFormat="false" ht="15" hidden="false" customHeight="false" outlineLevel="0" collapsed="false">
      <c r="A933" s="18" t="s">
        <v>30</v>
      </c>
      <c r="B933" s="8" t="s">
        <v>31</v>
      </c>
      <c r="C933" s="9" t="n">
        <v>46279</v>
      </c>
      <c r="D933" s="8" t="n">
        <v>2026</v>
      </c>
      <c r="E933" s="8" t="n">
        <v>38</v>
      </c>
      <c r="F933" s="18" t="s">
        <v>131</v>
      </c>
      <c r="G933" s="8" t="s">
        <v>116</v>
      </c>
      <c r="H933" s="19" t="n">
        <v>0.333333333333333</v>
      </c>
      <c r="I933" s="19" t="n">
        <v>0.345138888888889</v>
      </c>
      <c r="J933" s="19" t="n">
        <v>0.75</v>
      </c>
      <c r="K933" s="19" t="n">
        <v>0.75</v>
      </c>
      <c r="L933" s="19" t="n">
        <v>0.375</v>
      </c>
      <c r="M933" s="19" t="n">
        <v>0.375</v>
      </c>
      <c r="N933" s="19" t="n">
        <v>0</v>
      </c>
      <c r="O933" s="19" t="n">
        <v>0</v>
      </c>
      <c r="P933" s="17" t="n">
        <f aca="false">IF(AND(ISNUMBER(H933),ISNUMBER(I933)),MAX(0,ROUND((I933-H933)*1440,0)-'Bilan agents'!$C$4),0)</f>
        <v>17</v>
      </c>
      <c r="Q933" s="8" t="str">
        <f aca="false">IF(H933="Congé","CP",IF(H933="Férié","F",IF(H933="OFF","R",IF(N933&gt;0,"A",IF(ISNUMBER(I933),"P","NR")))))</f>
        <v>P</v>
      </c>
      <c r="R933" s="18"/>
    </row>
    <row r="934" customFormat="false" ht="15" hidden="false" customHeight="false" outlineLevel="0" collapsed="false">
      <c r="A934" s="18" t="s">
        <v>30</v>
      </c>
      <c r="B934" s="8" t="s">
        <v>31</v>
      </c>
      <c r="C934" s="9" t="n">
        <v>46280</v>
      </c>
      <c r="D934" s="8" t="n">
        <v>2026</v>
      </c>
      <c r="E934" s="8" t="n">
        <v>38</v>
      </c>
      <c r="F934" s="18" t="s">
        <v>131</v>
      </c>
      <c r="G934" s="8" t="s">
        <v>117</v>
      </c>
      <c r="H934" s="19" t="n">
        <v>0.333333333333333</v>
      </c>
      <c r="I934" s="19" t="n">
        <v>0.330555555555556</v>
      </c>
      <c r="J934" s="19" t="n">
        <v>0.75</v>
      </c>
      <c r="K934" s="19" t="n">
        <v>0.75</v>
      </c>
      <c r="L934" s="19" t="n">
        <v>0.375</v>
      </c>
      <c r="M934" s="19" t="n">
        <v>0.375</v>
      </c>
      <c r="N934" s="19" t="n">
        <v>0</v>
      </c>
      <c r="O934" s="19" t="n">
        <v>0.00277777777777778</v>
      </c>
      <c r="P934" s="17" t="n">
        <f aca="false">IF(AND(ISNUMBER(H934),ISNUMBER(I934)),MAX(0,ROUND((I934-H934)*1440,0)-'Bilan agents'!$C$4),0)</f>
        <v>0</v>
      </c>
      <c r="Q934" s="8" t="str">
        <f aca="false">IF(H934="Congé","CP",IF(H934="Férié","F",IF(H934="OFF","R",IF(N934&gt;0,"A",IF(ISNUMBER(I934),"P","NR")))))</f>
        <v>P</v>
      </c>
      <c r="R934" s="18"/>
    </row>
    <row r="935" customFormat="false" ht="15" hidden="false" customHeight="false" outlineLevel="0" collapsed="false">
      <c r="A935" s="18" t="s">
        <v>30</v>
      </c>
      <c r="B935" s="8" t="s">
        <v>31</v>
      </c>
      <c r="C935" s="9" t="n">
        <v>46281</v>
      </c>
      <c r="D935" s="8" t="n">
        <v>2026</v>
      </c>
      <c r="E935" s="8" t="n">
        <v>38</v>
      </c>
      <c r="F935" s="18" t="s">
        <v>131</v>
      </c>
      <c r="G935" s="8" t="s">
        <v>118</v>
      </c>
      <c r="H935" s="19" t="n">
        <v>0.333333333333333</v>
      </c>
      <c r="I935" s="19" t="n">
        <v>0.330555555555556</v>
      </c>
      <c r="J935" s="19" t="n">
        <v>0.75</v>
      </c>
      <c r="K935" s="19" t="n">
        <v>0.75</v>
      </c>
      <c r="L935" s="19" t="n">
        <v>0.375</v>
      </c>
      <c r="M935" s="19" t="n">
        <v>0.375</v>
      </c>
      <c r="N935" s="19" t="n">
        <v>0</v>
      </c>
      <c r="O935" s="19" t="n">
        <v>0.00277777777777778</v>
      </c>
      <c r="P935" s="17" t="n">
        <f aca="false">IF(AND(ISNUMBER(H935),ISNUMBER(I935)),MAX(0,ROUND((I935-H935)*1440,0)-'Bilan agents'!$C$4),0)</f>
        <v>0</v>
      </c>
      <c r="Q935" s="8" t="str">
        <f aca="false">IF(H935="Congé","CP",IF(H935="Férié","F",IF(H935="OFF","R",IF(N935&gt;0,"A",IF(ISNUMBER(I935),"P","NR")))))</f>
        <v>P</v>
      </c>
      <c r="R935" s="18"/>
    </row>
    <row r="936" customFormat="false" ht="15" hidden="false" customHeight="false" outlineLevel="0" collapsed="false">
      <c r="A936" s="18" t="s">
        <v>30</v>
      </c>
      <c r="B936" s="8" t="s">
        <v>31</v>
      </c>
      <c r="C936" s="9" t="n">
        <v>46282</v>
      </c>
      <c r="D936" s="8" t="n">
        <v>2026</v>
      </c>
      <c r="E936" s="8" t="n">
        <v>38</v>
      </c>
      <c r="F936" s="18" t="s">
        <v>131</v>
      </c>
      <c r="G936" s="8" t="s">
        <v>119</v>
      </c>
      <c r="H936" s="19" t="n">
        <v>0.333333333333333</v>
      </c>
      <c r="I936" s="19" t="n">
        <v>0.331944444444444</v>
      </c>
      <c r="J936" s="19" t="n">
        <v>0.75</v>
      </c>
      <c r="K936" s="19" t="n">
        <v>0.75</v>
      </c>
      <c r="L936" s="19" t="n">
        <v>0.375</v>
      </c>
      <c r="M936" s="19" t="n">
        <v>0.375</v>
      </c>
      <c r="N936" s="19" t="n">
        <v>0</v>
      </c>
      <c r="O936" s="19" t="n">
        <v>0.00138888888888889</v>
      </c>
      <c r="P936" s="17" t="n">
        <f aca="false">IF(AND(ISNUMBER(H936),ISNUMBER(I936)),MAX(0,ROUND((I936-H936)*1440,0)-'Bilan agents'!$C$4),0)</f>
        <v>0</v>
      </c>
      <c r="Q936" s="8" t="str">
        <f aca="false">IF(H936="Congé","CP",IF(H936="Férié","F",IF(H936="OFF","R",IF(N936&gt;0,"A",IF(ISNUMBER(I936),"P","NR")))))</f>
        <v>P</v>
      </c>
      <c r="R936" s="18"/>
    </row>
    <row r="937" customFormat="false" ht="15" hidden="false" customHeight="false" outlineLevel="0" collapsed="false">
      <c r="A937" s="18" t="s">
        <v>30</v>
      </c>
      <c r="B937" s="8" t="s">
        <v>31</v>
      </c>
      <c r="C937" s="9" t="n">
        <v>46283</v>
      </c>
      <c r="D937" s="8" t="n">
        <v>2026</v>
      </c>
      <c r="E937" s="8" t="n">
        <v>38</v>
      </c>
      <c r="F937" s="18" t="s">
        <v>131</v>
      </c>
      <c r="G937" s="8" t="s">
        <v>120</v>
      </c>
      <c r="H937" s="19" t="n">
        <v>0.333333333333333</v>
      </c>
      <c r="I937" s="19" t="n">
        <v>0.333333333333333</v>
      </c>
      <c r="J937" s="19" t="n">
        <v>0.708333333333333</v>
      </c>
      <c r="K937" s="19" t="n">
        <v>0.708333333333333</v>
      </c>
      <c r="L937" s="19" t="n">
        <v>0.333333333333333</v>
      </c>
      <c r="M937" s="19" t="n">
        <v>0.333333333333333</v>
      </c>
      <c r="N937" s="19" t="n">
        <v>0</v>
      </c>
      <c r="O937" s="19" t="n">
        <v>0</v>
      </c>
      <c r="P937" s="17" t="n">
        <f aca="false">IF(AND(ISNUMBER(H937),ISNUMBER(I937)),MAX(0,ROUND((I937-H937)*1440,0)-'Bilan agents'!$C$4),0)</f>
        <v>0</v>
      </c>
      <c r="Q937" s="8" t="str">
        <f aca="false">IF(H937="Congé","CP",IF(H937="Férié","F",IF(H937="OFF","R",IF(N937&gt;0,"A",IF(ISNUMBER(I937),"P","NR")))))</f>
        <v>P</v>
      </c>
      <c r="R937" s="18"/>
    </row>
    <row r="938" customFormat="false" ht="15" hidden="false" customHeight="false" outlineLevel="0" collapsed="false">
      <c r="A938" s="18" t="s">
        <v>30</v>
      </c>
      <c r="B938" s="8" t="s">
        <v>31</v>
      </c>
      <c r="C938" s="9" t="n">
        <v>46284</v>
      </c>
      <c r="D938" s="8" t="n">
        <v>2026</v>
      </c>
      <c r="E938" s="8" t="n">
        <v>38</v>
      </c>
      <c r="F938" s="18" t="s">
        <v>131</v>
      </c>
      <c r="G938" s="8" t="s">
        <v>121</v>
      </c>
      <c r="H938" s="19" t="s">
        <v>115</v>
      </c>
      <c r="I938" s="19"/>
      <c r="J938" s="19"/>
      <c r="K938" s="19"/>
      <c r="L938" s="19" t="n">
        <v>0</v>
      </c>
      <c r="M938" s="19"/>
      <c r="N938" s="19" t="n">
        <v>0</v>
      </c>
      <c r="O938" s="19" t="n">
        <v>0</v>
      </c>
      <c r="P938" s="17" t="n">
        <f aca="false">IF(AND(ISNUMBER(H938),ISNUMBER(I938)),MAX(0,ROUND((I938-H938)*1440,0)-'Bilan agents'!$C$4),0)</f>
        <v>0</v>
      </c>
      <c r="Q938" s="8" t="str">
        <f aca="false">IF(H938="Congé","CP",IF(H938="Férié","F",IF(H938="OFF","R",IF(N938&gt;0,"A",IF(ISNUMBER(I938),"P","NR")))))</f>
        <v>R</v>
      </c>
      <c r="R938" s="18"/>
    </row>
    <row r="939" customFormat="false" ht="15" hidden="false" customHeight="false" outlineLevel="0" collapsed="false">
      <c r="A939" s="18" t="s">
        <v>30</v>
      </c>
      <c r="B939" s="8" t="s">
        <v>31</v>
      </c>
      <c r="C939" s="9" t="n">
        <v>46285</v>
      </c>
      <c r="D939" s="8" t="n">
        <v>2026</v>
      </c>
      <c r="E939" s="8" t="n">
        <v>38</v>
      </c>
      <c r="F939" s="18" t="s">
        <v>131</v>
      </c>
      <c r="G939" s="8" t="s">
        <v>114</v>
      </c>
      <c r="H939" s="19" t="s">
        <v>115</v>
      </c>
      <c r="I939" s="19"/>
      <c r="J939" s="19"/>
      <c r="K939" s="19"/>
      <c r="L939" s="19" t="n">
        <v>0</v>
      </c>
      <c r="M939" s="19"/>
      <c r="N939" s="19" t="n">
        <v>0</v>
      </c>
      <c r="O939" s="19" t="n">
        <v>0</v>
      </c>
      <c r="P939" s="17" t="n">
        <f aca="false">IF(AND(ISNUMBER(H939),ISNUMBER(I939)),MAX(0,ROUND((I939-H939)*1440,0)-'Bilan agents'!$C$4),0)</f>
        <v>0</v>
      </c>
      <c r="Q939" s="8" t="str">
        <f aca="false">IF(H939="Congé","CP",IF(H939="Férié","F",IF(H939="OFF","R",IF(N939&gt;0,"A",IF(ISNUMBER(I939),"P","NR")))))</f>
        <v>R</v>
      </c>
      <c r="R939" s="18"/>
    </row>
    <row r="940" customFormat="false" ht="15" hidden="false" customHeight="false" outlineLevel="0" collapsed="false">
      <c r="A940" s="18" t="s">
        <v>30</v>
      </c>
      <c r="B940" s="8" t="s">
        <v>31</v>
      </c>
      <c r="C940" s="9" t="n">
        <v>46286</v>
      </c>
      <c r="D940" s="8" t="n">
        <v>2026</v>
      </c>
      <c r="E940" s="8" t="n">
        <v>39</v>
      </c>
      <c r="F940" s="18" t="s">
        <v>131</v>
      </c>
      <c r="G940" s="8" t="s">
        <v>116</v>
      </c>
      <c r="H940" s="19" t="n">
        <v>0.333333333333333</v>
      </c>
      <c r="I940" s="19" t="n">
        <v>0.333333333333333</v>
      </c>
      <c r="J940" s="19" t="n">
        <v>0.75</v>
      </c>
      <c r="K940" s="19" t="n">
        <v>0.75</v>
      </c>
      <c r="L940" s="19" t="n">
        <v>0.375</v>
      </c>
      <c r="M940" s="19" t="n">
        <v>0.375</v>
      </c>
      <c r="N940" s="19" t="n">
        <v>0</v>
      </c>
      <c r="O940" s="19" t="n">
        <v>0</v>
      </c>
      <c r="P940" s="17" t="n">
        <f aca="false">IF(AND(ISNUMBER(H940),ISNUMBER(I940)),MAX(0,ROUND((I940-H940)*1440,0)-'Bilan agents'!$C$4),0)</f>
        <v>0</v>
      </c>
      <c r="Q940" s="8" t="str">
        <f aca="false">IF(H940="Congé","CP",IF(H940="Férié","F",IF(H940="OFF","R",IF(N940&gt;0,"A",IF(ISNUMBER(I940),"P","NR")))))</f>
        <v>P</v>
      </c>
      <c r="R940" s="18"/>
    </row>
    <row r="941" customFormat="false" ht="15" hidden="false" customHeight="false" outlineLevel="0" collapsed="false">
      <c r="A941" s="18" t="s">
        <v>30</v>
      </c>
      <c r="B941" s="8" t="s">
        <v>31</v>
      </c>
      <c r="C941" s="9" t="n">
        <v>46287</v>
      </c>
      <c r="D941" s="8" t="n">
        <v>2026</v>
      </c>
      <c r="E941" s="8" t="n">
        <v>39</v>
      </c>
      <c r="F941" s="18" t="s">
        <v>131</v>
      </c>
      <c r="G941" s="8" t="s">
        <v>117</v>
      </c>
      <c r="H941" s="19" t="n">
        <v>0.333333333333333</v>
      </c>
      <c r="I941" s="19" t="n">
        <v>0.333333333333333</v>
      </c>
      <c r="J941" s="19" t="n">
        <v>0.75</v>
      </c>
      <c r="K941" s="19" t="n">
        <v>0.75</v>
      </c>
      <c r="L941" s="19" t="n">
        <v>0.375</v>
      </c>
      <c r="M941" s="19" t="n">
        <v>0.375</v>
      </c>
      <c r="N941" s="19" t="n">
        <v>0</v>
      </c>
      <c r="O941" s="19" t="n">
        <v>0</v>
      </c>
      <c r="P941" s="17" t="n">
        <f aca="false">IF(AND(ISNUMBER(H941),ISNUMBER(I941)),MAX(0,ROUND((I941-H941)*1440,0)-'Bilan agents'!$C$4),0)</f>
        <v>0</v>
      </c>
      <c r="Q941" s="8" t="str">
        <f aca="false">IF(H941="Congé","CP",IF(H941="Férié","F",IF(H941="OFF","R",IF(N941&gt;0,"A",IF(ISNUMBER(I941),"P","NR")))))</f>
        <v>P</v>
      </c>
      <c r="R941" s="18"/>
    </row>
    <row r="942" customFormat="false" ht="15" hidden="false" customHeight="false" outlineLevel="0" collapsed="false">
      <c r="A942" s="18" t="s">
        <v>30</v>
      </c>
      <c r="B942" s="8" t="s">
        <v>31</v>
      </c>
      <c r="C942" s="9" t="n">
        <v>46288</v>
      </c>
      <c r="D942" s="8" t="n">
        <v>2026</v>
      </c>
      <c r="E942" s="8" t="n">
        <v>39</v>
      </c>
      <c r="F942" s="18" t="s">
        <v>131</v>
      </c>
      <c r="G942" s="8" t="s">
        <v>118</v>
      </c>
      <c r="H942" s="19" t="n">
        <v>0.333333333333333</v>
      </c>
      <c r="I942" s="19" t="n">
        <v>0.333333333333333</v>
      </c>
      <c r="J942" s="19" t="n">
        <v>0.75</v>
      </c>
      <c r="K942" s="19" t="n">
        <v>0.75</v>
      </c>
      <c r="L942" s="19" t="n">
        <v>0.375</v>
      </c>
      <c r="M942" s="19" t="n">
        <v>0.375</v>
      </c>
      <c r="N942" s="19" t="n">
        <v>0</v>
      </c>
      <c r="O942" s="19" t="n">
        <v>0</v>
      </c>
      <c r="P942" s="17" t="n">
        <f aca="false">IF(AND(ISNUMBER(H942),ISNUMBER(I942)),MAX(0,ROUND((I942-H942)*1440,0)-'Bilan agents'!$C$4),0)</f>
        <v>0</v>
      </c>
      <c r="Q942" s="8" t="str">
        <f aca="false">IF(H942="Congé","CP",IF(H942="Férié","F",IF(H942="OFF","R",IF(N942&gt;0,"A",IF(ISNUMBER(I942),"P","NR")))))</f>
        <v>P</v>
      </c>
      <c r="R942" s="18"/>
    </row>
    <row r="943" customFormat="false" ht="15" hidden="false" customHeight="false" outlineLevel="0" collapsed="false">
      <c r="A943" s="18" t="s">
        <v>30</v>
      </c>
      <c r="B943" s="8" t="s">
        <v>31</v>
      </c>
      <c r="C943" s="9" t="n">
        <v>46289</v>
      </c>
      <c r="D943" s="8" t="n">
        <v>2026</v>
      </c>
      <c r="E943" s="8" t="n">
        <v>39</v>
      </c>
      <c r="F943" s="18" t="s">
        <v>131</v>
      </c>
      <c r="G943" s="8" t="s">
        <v>119</v>
      </c>
      <c r="H943" s="19" t="n">
        <v>0.333333333333333</v>
      </c>
      <c r="I943" s="19" t="n">
        <v>0.326388888888889</v>
      </c>
      <c r="J943" s="19" t="n">
        <v>0.75</v>
      </c>
      <c r="K943" s="19" t="n">
        <v>0.75</v>
      </c>
      <c r="L943" s="19" t="n">
        <v>0.375</v>
      </c>
      <c r="M943" s="19" t="n">
        <v>0.375</v>
      </c>
      <c r="N943" s="19" t="n">
        <v>0</v>
      </c>
      <c r="O943" s="19" t="n">
        <v>0.00694444444444444</v>
      </c>
      <c r="P943" s="17" t="n">
        <f aca="false">IF(AND(ISNUMBER(H943),ISNUMBER(I943)),MAX(0,ROUND((I943-H943)*1440,0)-'Bilan agents'!$C$4),0)</f>
        <v>0</v>
      </c>
      <c r="Q943" s="8" t="str">
        <f aca="false">IF(H943="Congé","CP",IF(H943="Férié","F",IF(H943="OFF","R",IF(N943&gt;0,"A",IF(ISNUMBER(I943),"P","NR")))))</f>
        <v>P</v>
      </c>
      <c r="R943" s="18"/>
    </row>
    <row r="944" customFormat="false" ht="15" hidden="false" customHeight="false" outlineLevel="0" collapsed="false">
      <c r="A944" s="18" t="s">
        <v>30</v>
      </c>
      <c r="B944" s="8" t="s">
        <v>31</v>
      </c>
      <c r="C944" s="9" t="n">
        <v>46290</v>
      </c>
      <c r="D944" s="8" t="n">
        <v>2026</v>
      </c>
      <c r="E944" s="8" t="n">
        <v>39</v>
      </c>
      <c r="F944" s="18" t="s">
        <v>131</v>
      </c>
      <c r="G944" s="8" t="s">
        <v>120</v>
      </c>
      <c r="H944" s="19" t="n">
        <v>0.333333333333333</v>
      </c>
      <c r="I944" s="19" t="n">
        <v>0.333333333333333</v>
      </c>
      <c r="J944" s="19" t="n">
        <v>0.708333333333333</v>
      </c>
      <c r="K944" s="19" t="n">
        <v>0.708333333333333</v>
      </c>
      <c r="L944" s="19" t="n">
        <v>0.333333333333333</v>
      </c>
      <c r="M944" s="19" t="n">
        <v>0.333333333333333</v>
      </c>
      <c r="N944" s="19" t="n">
        <v>0</v>
      </c>
      <c r="O944" s="19" t="n">
        <v>0</v>
      </c>
      <c r="P944" s="17" t="n">
        <f aca="false">IF(AND(ISNUMBER(H944),ISNUMBER(I944)),MAX(0,ROUND((I944-H944)*1440,0)-'Bilan agents'!$C$4),0)</f>
        <v>0</v>
      </c>
      <c r="Q944" s="8" t="str">
        <f aca="false">IF(H944="Congé","CP",IF(H944="Férié","F",IF(H944="OFF","R",IF(N944&gt;0,"A",IF(ISNUMBER(I944),"P","NR")))))</f>
        <v>P</v>
      </c>
      <c r="R944" s="18"/>
    </row>
    <row r="945" customFormat="false" ht="15" hidden="false" customHeight="false" outlineLevel="0" collapsed="false">
      <c r="A945" s="18" t="s">
        <v>30</v>
      </c>
      <c r="B945" s="8" t="s">
        <v>31</v>
      </c>
      <c r="C945" s="9" t="n">
        <v>46291</v>
      </c>
      <c r="D945" s="8" t="n">
        <v>2026</v>
      </c>
      <c r="E945" s="8" t="n">
        <v>39</v>
      </c>
      <c r="F945" s="18" t="s">
        <v>131</v>
      </c>
      <c r="G945" s="8" t="s">
        <v>121</v>
      </c>
      <c r="H945" s="19" t="s">
        <v>115</v>
      </c>
      <c r="I945" s="19"/>
      <c r="J945" s="19"/>
      <c r="K945" s="19"/>
      <c r="L945" s="19" t="n">
        <v>0</v>
      </c>
      <c r="M945" s="19"/>
      <c r="N945" s="19" t="n">
        <v>0</v>
      </c>
      <c r="O945" s="19" t="n">
        <v>0</v>
      </c>
      <c r="P945" s="17" t="n">
        <f aca="false">IF(AND(ISNUMBER(H945),ISNUMBER(I945)),MAX(0,ROUND((I945-H945)*1440,0)-'Bilan agents'!$C$4),0)</f>
        <v>0</v>
      </c>
      <c r="Q945" s="8" t="str">
        <f aca="false">IF(H945="Congé","CP",IF(H945="Férié","F",IF(H945="OFF","R",IF(N945&gt;0,"A",IF(ISNUMBER(I945),"P","NR")))))</f>
        <v>R</v>
      </c>
      <c r="R945" s="18"/>
    </row>
    <row r="946" customFormat="false" ht="15" hidden="false" customHeight="false" outlineLevel="0" collapsed="false">
      <c r="A946" s="18" t="s">
        <v>30</v>
      </c>
      <c r="B946" s="8" t="s">
        <v>31</v>
      </c>
      <c r="C946" s="9" t="n">
        <v>46292</v>
      </c>
      <c r="D946" s="8" t="n">
        <v>2026</v>
      </c>
      <c r="E946" s="8" t="n">
        <v>39</v>
      </c>
      <c r="F946" s="18" t="s">
        <v>131</v>
      </c>
      <c r="G946" s="8" t="s">
        <v>114</v>
      </c>
      <c r="H946" s="19" t="s">
        <v>115</v>
      </c>
      <c r="I946" s="19"/>
      <c r="J946" s="19"/>
      <c r="K946" s="19"/>
      <c r="L946" s="19" t="n">
        <v>0</v>
      </c>
      <c r="M946" s="19"/>
      <c r="N946" s="19" t="n">
        <v>0</v>
      </c>
      <c r="O946" s="19" t="n">
        <v>0</v>
      </c>
      <c r="P946" s="17" t="n">
        <f aca="false">IF(AND(ISNUMBER(H946),ISNUMBER(I946)),MAX(0,ROUND((I946-H946)*1440,0)-'Bilan agents'!$C$4),0)</f>
        <v>0</v>
      </c>
      <c r="Q946" s="8" t="str">
        <f aca="false">IF(H946="Congé","CP",IF(H946="Férié","F",IF(H946="OFF","R",IF(N946&gt;0,"A",IF(ISNUMBER(I946),"P","NR")))))</f>
        <v>R</v>
      </c>
      <c r="R946" s="18"/>
    </row>
    <row r="947" customFormat="false" ht="15" hidden="false" customHeight="false" outlineLevel="0" collapsed="false">
      <c r="A947" s="18" t="s">
        <v>30</v>
      </c>
      <c r="B947" s="8" t="s">
        <v>31</v>
      </c>
      <c r="C947" s="9" t="n">
        <v>46293</v>
      </c>
      <c r="D947" s="8" t="n">
        <v>2026</v>
      </c>
      <c r="E947" s="8" t="n">
        <v>40</v>
      </c>
      <c r="F947" s="18" t="s">
        <v>131</v>
      </c>
      <c r="G947" s="8" t="s">
        <v>116</v>
      </c>
      <c r="H947" s="19" t="n">
        <v>0.333333333333333</v>
      </c>
      <c r="I947" s="19" t="n">
        <v>0.333333333333333</v>
      </c>
      <c r="J947" s="19" t="n">
        <v>0.75</v>
      </c>
      <c r="K947" s="19" t="n">
        <v>0.75</v>
      </c>
      <c r="L947" s="19" t="n">
        <v>0.375</v>
      </c>
      <c r="M947" s="19" t="n">
        <v>0.375</v>
      </c>
      <c r="N947" s="19" t="n">
        <v>0</v>
      </c>
      <c r="O947" s="19" t="n">
        <v>0</v>
      </c>
      <c r="P947" s="17" t="n">
        <f aca="false">IF(AND(ISNUMBER(H947),ISNUMBER(I947)),MAX(0,ROUND((I947-H947)*1440,0)-'Bilan agents'!$C$4),0)</f>
        <v>0</v>
      </c>
      <c r="Q947" s="8" t="str">
        <f aca="false">IF(H947="Congé","CP",IF(H947="Férié","F",IF(H947="OFF","R",IF(N947&gt;0,"A",IF(ISNUMBER(I947),"P","NR")))))</f>
        <v>P</v>
      </c>
      <c r="R947" s="18"/>
    </row>
    <row r="948" customFormat="false" ht="15" hidden="false" customHeight="false" outlineLevel="0" collapsed="false">
      <c r="A948" s="18" t="s">
        <v>30</v>
      </c>
      <c r="B948" s="8" t="s">
        <v>31</v>
      </c>
      <c r="C948" s="9" t="n">
        <v>46294</v>
      </c>
      <c r="D948" s="8" t="n">
        <v>2026</v>
      </c>
      <c r="E948" s="8" t="n">
        <v>40</v>
      </c>
      <c r="F948" s="18" t="s">
        <v>131</v>
      </c>
      <c r="G948" s="8" t="s">
        <v>117</v>
      </c>
      <c r="H948" s="19" t="n">
        <v>0.333333333333333</v>
      </c>
      <c r="I948" s="19" t="n">
        <v>0.352083333333333</v>
      </c>
      <c r="J948" s="19" t="n">
        <v>0.75</v>
      </c>
      <c r="K948" s="19" t="n">
        <v>0.75</v>
      </c>
      <c r="L948" s="19" t="n">
        <v>0.375</v>
      </c>
      <c r="M948" s="19" t="n">
        <v>0.375</v>
      </c>
      <c r="N948" s="19" t="n">
        <v>0</v>
      </c>
      <c r="O948" s="19" t="n">
        <v>0</v>
      </c>
      <c r="P948" s="17" t="n">
        <f aca="false">IF(AND(ISNUMBER(H948),ISNUMBER(I948)),MAX(0,ROUND((I948-H948)*1440,0)-'Bilan agents'!$C$4),0)</f>
        <v>27</v>
      </c>
      <c r="Q948" s="8" t="str">
        <f aca="false">IF(H948="Congé","CP",IF(H948="Férié","F",IF(H948="OFF","R",IF(N948&gt;0,"A",IF(ISNUMBER(I948),"P","NR")))))</f>
        <v>P</v>
      </c>
      <c r="R948" s="18"/>
    </row>
    <row r="949" customFormat="false" ht="15" hidden="false" customHeight="false" outlineLevel="0" collapsed="false">
      <c r="A949" s="18" t="s">
        <v>30</v>
      </c>
      <c r="B949" s="8" t="s">
        <v>31</v>
      </c>
      <c r="C949" s="9" t="n">
        <v>46295</v>
      </c>
      <c r="D949" s="8" t="n">
        <v>2026</v>
      </c>
      <c r="E949" s="8" t="n">
        <v>40</v>
      </c>
      <c r="F949" s="18" t="s">
        <v>131</v>
      </c>
      <c r="G949" s="8" t="s">
        <v>118</v>
      </c>
      <c r="H949" s="19" t="n">
        <v>0.333333333333333</v>
      </c>
      <c r="I949" s="19" t="n">
        <v>0.328472222222222</v>
      </c>
      <c r="J949" s="19" t="n">
        <v>0.75</v>
      </c>
      <c r="K949" s="19" t="n">
        <v>0.75</v>
      </c>
      <c r="L949" s="19" t="n">
        <v>0.375</v>
      </c>
      <c r="M949" s="19" t="n">
        <v>0.375</v>
      </c>
      <c r="N949" s="19" t="n">
        <v>0</v>
      </c>
      <c r="O949" s="19" t="n">
        <v>0.00486111111111111</v>
      </c>
      <c r="P949" s="17" t="n">
        <f aca="false">IF(AND(ISNUMBER(H949),ISNUMBER(I949)),MAX(0,ROUND((I949-H949)*1440,0)-'Bilan agents'!$C$4),0)</f>
        <v>0</v>
      </c>
      <c r="Q949" s="8" t="str">
        <f aca="false">IF(H949="Congé","CP",IF(H949="Férié","F",IF(H949="OFF","R",IF(N949&gt;0,"A",IF(ISNUMBER(I949),"P","NR")))))</f>
        <v>P</v>
      </c>
      <c r="R949" s="18"/>
    </row>
    <row r="950" customFormat="false" ht="15" hidden="false" customHeight="false" outlineLevel="0" collapsed="false">
      <c r="A950" s="18" t="s">
        <v>30</v>
      </c>
      <c r="B950" s="8" t="s">
        <v>31</v>
      </c>
      <c r="C950" s="9" t="n">
        <v>46296</v>
      </c>
      <c r="D950" s="8" t="n">
        <v>2026</v>
      </c>
      <c r="E950" s="8" t="n">
        <v>40</v>
      </c>
      <c r="F950" s="18" t="s">
        <v>133</v>
      </c>
      <c r="G950" s="8" t="s">
        <v>119</v>
      </c>
      <c r="H950" s="19" t="n">
        <v>0.333333333333333</v>
      </c>
      <c r="I950" s="19" t="n">
        <v>0.333333333333333</v>
      </c>
      <c r="J950" s="19" t="n">
        <v>0.75</v>
      </c>
      <c r="K950" s="19" t="n">
        <v>0.75</v>
      </c>
      <c r="L950" s="19" t="n">
        <v>0.375</v>
      </c>
      <c r="M950" s="19" t="n">
        <v>0.375</v>
      </c>
      <c r="N950" s="19" t="n">
        <v>0</v>
      </c>
      <c r="O950" s="19" t="n">
        <v>0</v>
      </c>
      <c r="P950" s="17" t="n">
        <f aca="false">IF(AND(ISNUMBER(H950),ISNUMBER(I950)),MAX(0,ROUND((I950-H950)*1440,0)-'Bilan agents'!$C$4),0)</f>
        <v>0</v>
      </c>
      <c r="Q950" s="8" t="str">
        <f aca="false">IF(H950="Congé","CP",IF(H950="Férié","F",IF(H950="OFF","R",IF(N950&gt;0,"A",IF(ISNUMBER(I950),"P","NR")))))</f>
        <v>P</v>
      </c>
      <c r="R950" s="18"/>
    </row>
    <row r="951" customFormat="false" ht="15" hidden="false" customHeight="false" outlineLevel="0" collapsed="false">
      <c r="A951" s="18" t="s">
        <v>30</v>
      </c>
      <c r="B951" s="8" t="s">
        <v>31</v>
      </c>
      <c r="C951" s="9" t="n">
        <v>46297</v>
      </c>
      <c r="D951" s="8" t="n">
        <v>2026</v>
      </c>
      <c r="E951" s="8" t="n">
        <v>40</v>
      </c>
      <c r="F951" s="18" t="s">
        <v>133</v>
      </c>
      <c r="G951" s="8" t="s">
        <v>120</v>
      </c>
      <c r="H951" s="19" t="n">
        <v>0.333333333333333</v>
      </c>
      <c r="I951" s="19" t="n">
        <v>0.333333333333333</v>
      </c>
      <c r="J951" s="19" t="n">
        <v>0.708333333333333</v>
      </c>
      <c r="K951" s="19" t="n">
        <v>0.708333333333333</v>
      </c>
      <c r="L951" s="19" t="n">
        <v>0.333333333333333</v>
      </c>
      <c r="M951" s="19" t="n">
        <v>0.333333333333333</v>
      </c>
      <c r="N951" s="19" t="n">
        <v>0</v>
      </c>
      <c r="O951" s="19" t="n">
        <v>0</v>
      </c>
      <c r="P951" s="17" t="n">
        <f aca="false">IF(AND(ISNUMBER(H951),ISNUMBER(I951)),MAX(0,ROUND((I951-H951)*1440,0)-'Bilan agents'!$C$4),0)</f>
        <v>0</v>
      </c>
      <c r="Q951" s="8" t="str">
        <f aca="false">IF(H951="Congé","CP",IF(H951="Férié","F",IF(H951="OFF","R",IF(N951&gt;0,"A",IF(ISNUMBER(I951),"P","NR")))))</f>
        <v>P</v>
      </c>
      <c r="R951" s="18"/>
    </row>
    <row r="952" customFormat="false" ht="15" hidden="false" customHeight="false" outlineLevel="0" collapsed="false">
      <c r="A952" s="18" t="s">
        <v>30</v>
      </c>
      <c r="B952" s="8" t="s">
        <v>31</v>
      </c>
      <c r="C952" s="9" t="n">
        <v>46298</v>
      </c>
      <c r="D952" s="8" t="n">
        <v>2026</v>
      </c>
      <c r="E952" s="8" t="n">
        <v>40</v>
      </c>
      <c r="F952" s="18" t="s">
        <v>133</v>
      </c>
      <c r="G952" s="8" t="s">
        <v>121</v>
      </c>
      <c r="H952" s="19" t="s">
        <v>115</v>
      </c>
      <c r="I952" s="19"/>
      <c r="J952" s="19"/>
      <c r="K952" s="19"/>
      <c r="L952" s="19" t="n">
        <v>0</v>
      </c>
      <c r="M952" s="19"/>
      <c r="N952" s="19" t="n">
        <v>0</v>
      </c>
      <c r="O952" s="19" t="n">
        <v>0</v>
      </c>
      <c r="P952" s="17" t="n">
        <f aca="false">IF(AND(ISNUMBER(H952),ISNUMBER(I952)),MAX(0,ROUND((I952-H952)*1440,0)-'Bilan agents'!$C$4),0)</f>
        <v>0</v>
      </c>
      <c r="Q952" s="8" t="str">
        <f aca="false">IF(H952="Congé","CP",IF(H952="Férié","F",IF(H952="OFF","R",IF(N952&gt;0,"A",IF(ISNUMBER(I952),"P","NR")))))</f>
        <v>R</v>
      </c>
      <c r="R952" s="18"/>
    </row>
    <row r="953" customFormat="false" ht="15" hidden="false" customHeight="false" outlineLevel="0" collapsed="false">
      <c r="A953" s="18" t="s">
        <v>30</v>
      </c>
      <c r="B953" s="8" t="s">
        <v>31</v>
      </c>
      <c r="C953" s="9" t="n">
        <v>46299</v>
      </c>
      <c r="D953" s="8" t="n">
        <v>2026</v>
      </c>
      <c r="E953" s="8" t="n">
        <v>40</v>
      </c>
      <c r="F953" s="18" t="s">
        <v>133</v>
      </c>
      <c r="G953" s="8" t="s">
        <v>114</v>
      </c>
      <c r="H953" s="19" t="s">
        <v>115</v>
      </c>
      <c r="I953" s="19"/>
      <c r="J953" s="19"/>
      <c r="K953" s="19"/>
      <c r="L953" s="19" t="n">
        <v>0</v>
      </c>
      <c r="M953" s="19"/>
      <c r="N953" s="19" t="n">
        <v>0</v>
      </c>
      <c r="O953" s="19" t="n">
        <v>0</v>
      </c>
      <c r="P953" s="17" t="n">
        <f aca="false">IF(AND(ISNUMBER(H953),ISNUMBER(I953)),MAX(0,ROUND((I953-H953)*1440,0)-'Bilan agents'!$C$4),0)</f>
        <v>0</v>
      </c>
      <c r="Q953" s="8" t="str">
        <f aca="false">IF(H953="Congé","CP",IF(H953="Férié","F",IF(H953="OFF","R",IF(N953&gt;0,"A",IF(ISNUMBER(I953),"P","NR")))))</f>
        <v>R</v>
      </c>
      <c r="R953" s="18"/>
    </row>
    <row r="954" customFormat="false" ht="15" hidden="false" customHeight="false" outlineLevel="0" collapsed="false">
      <c r="A954" s="18" t="s">
        <v>30</v>
      </c>
      <c r="B954" s="8" t="s">
        <v>31</v>
      </c>
      <c r="C954" s="9" t="n">
        <v>46300</v>
      </c>
      <c r="D954" s="8" t="n">
        <v>2026</v>
      </c>
      <c r="E954" s="8" t="n">
        <v>41</v>
      </c>
      <c r="F954" s="18" t="s">
        <v>133</v>
      </c>
      <c r="G954" s="8" t="s">
        <v>116</v>
      </c>
      <c r="H954" s="19" t="n">
        <v>0.333333333333333</v>
      </c>
      <c r="I954" s="19" t="n">
        <v>0.333333333333333</v>
      </c>
      <c r="J954" s="19" t="n">
        <v>0.75</v>
      </c>
      <c r="K954" s="19" t="n">
        <v>0.75</v>
      </c>
      <c r="L954" s="19" t="n">
        <v>0.375</v>
      </c>
      <c r="M954" s="19" t="n">
        <v>0.375</v>
      </c>
      <c r="N954" s="19" t="n">
        <v>0</v>
      </c>
      <c r="O954" s="19" t="n">
        <v>0</v>
      </c>
      <c r="P954" s="17" t="n">
        <f aca="false">IF(AND(ISNUMBER(H954),ISNUMBER(I954)),MAX(0,ROUND((I954-H954)*1440,0)-'Bilan agents'!$C$4),0)</f>
        <v>0</v>
      </c>
      <c r="Q954" s="8" t="str">
        <f aca="false">IF(H954="Congé","CP",IF(H954="Férié","F",IF(H954="OFF","R",IF(N954&gt;0,"A",IF(ISNUMBER(I954),"P","NR")))))</f>
        <v>P</v>
      </c>
      <c r="R954" s="18"/>
    </row>
    <row r="955" customFormat="false" ht="15" hidden="false" customHeight="false" outlineLevel="0" collapsed="false">
      <c r="A955" s="18" t="s">
        <v>30</v>
      </c>
      <c r="B955" s="8" t="s">
        <v>31</v>
      </c>
      <c r="C955" s="9" t="n">
        <v>46301</v>
      </c>
      <c r="D955" s="8" t="n">
        <v>2026</v>
      </c>
      <c r="E955" s="8" t="n">
        <v>41</v>
      </c>
      <c r="F955" s="18" t="s">
        <v>133</v>
      </c>
      <c r="G955" s="8" t="s">
        <v>117</v>
      </c>
      <c r="H955" s="19" t="n">
        <v>0.333333333333333</v>
      </c>
      <c r="I955" s="19" t="n">
        <v>0.333333333333333</v>
      </c>
      <c r="J955" s="19" t="n">
        <v>0.75</v>
      </c>
      <c r="K955" s="19" t="n">
        <v>0.75</v>
      </c>
      <c r="L955" s="19" t="n">
        <v>0.375</v>
      </c>
      <c r="M955" s="19" t="n">
        <v>0.375</v>
      </c>
      <c r="N955" s="19" t="n">
        <v>0</v>
      </c>
      <c r="O955" s="19" t="n">
        <v>0</v>
      </c>
      <c r="P955" s="17" t="n">
        <f aca="false">IF(AND(ISNUMBER(H955),ISNUMBER(I955)),MAX(0,ROUND((I955-H955)*1440,0)-'Bilan agents'!$C$4),0)</f>
        <v>0</v>
      </c>
      <c r="Q955" s="8" t="str">
        <f aca="false">IF(H955="Congé","CP",IF(H955="Férié","F",IF(H955="OFF","R",IF(N955&gt;0,"A",IF(ISNUMBER(I955),"P","NR")))))</f>
        <v>P</v>
      </c>
      <c r="R955" s="18"/>
    </row>
    <row r="956" customFormat="false" ht="15" hidden="false" customHeight="false" outlineLevel="0" collapsed="false">
      <c r="A956" s="18" t="s">
        <v>30</v>
      </c>
      <c r="B956" s="8" t="s">
        <v>31</v>
      </c>
      <c r="C956" s="9" t="n">
        <v>46302</v>
      </c>
      <c r="D956" s="8" t="n">
        <v>2026</v>
      </c>
      <c r="E956" s="8" t="n">
        <v>41</v>
      </c>
      <c r="F956" s="18" t="s">
        <v>133</v>
      </c>
      <c r="G956" s="8" t="s">
        <v>118</v>
      </c>
      <c r="H956" s="19" t="n">
        <v>0.333333333333333</v>
      </c>
      <c r="I956" s="19" t="n">
        <v>0.333333333333333</v>
      </c>
      <c r="J956" s="19" t="n">
        <v>0.75</v>
      </c>
      <c r="K956" s="19" t="n">
        <v>0.75</v>
      </c>
      <c r="L956" s="19" t="n">
        <v>0.375</v>
      </c>
      <c r="M956" s="19" t="n">
        <v>0.375</v>
      </c>
      <c r="N956" s="19" t="n">
        <v>0</v>
      </c>
      <c r="O956" s="19" t="n">
        <v>0</v>
      </c>
      <c r="P956" s="17" t="n">
        <f aca="false">IF(AND(ISNUMBER(H956),ISNUMBER(I956)),MAX(0,ROUND((I956-H956)*1440,0)-'Bilan agents'!$C$4),0)</f>
        <v>0</v>
      </c>
      <c r="Q956" s="8" t="str">
        <f aca="false">IF(H956="Congé","CP",IF(H956="Férié","F",IF(H956="OFF","R",IF(N956&gt;0,"A",IF(ISNUMBER(I956),"P","NR")))))</f>
        <v>P</v>
      </c>
      <c r="R956" s="18"/>
    </row>
    <row r="957" customFormat="false" ht="15" hidden="false" customHeight="false" outlineLevel="0" collapsed="false">
      <c r="A957" s="18" t="s">
        <v>30</v>
      </c>
      <c r="B957" s="8" t="s">
        <v>31</v>
      </c>
      <c r="C957" s="9" t="n">
        <v>46303</v>
      </c>
      <c r="D957" s="8" t="n">
        <v>2026</v>
      </c>
      <c r="E957" s="8" t="n">
        <v>41</v>
      </c>
      <c r="F957" s="18" t="s">
        <v>133</v>
      </c>
      <c r="G957" s="8" t="s">
        <v>119</v>
      </c>
      <c r="H957" s="19" t="n">
        <v>0.333333333333333</v>
      </c>
      <c r="I957" s="19" t="n">
        <v>0.330555555555556</v>
      </c>
      <c r="J957" s="19" t="n">
        <v>0.75</v>
      </c>
      <c r="K957" s="19" t="n">
        <v>0.75</v>
      </c>
      <c r="L957" s="19" t="n">
        <v>0.375</v>
      </c>
      <c r="M957" s="19" t="n">
        <v>0.375</v>
      </c>
      <c r="N957" s="19" t="n">
        <v>0</v>
      </c>
      <c r="O957" s="19" t="n">
        <v>0.00277777777777778</v>
      </c>
      <c r="P957" s="17" t="n">
        <f aca="false">IF(AND(ISNUMBER(H957),ISNUMBER(I957)),MAX(0,ROUND((I957-H957)*1440,0)-'Bilan agents'!$C$4),0)</f>
        <v>0</v>
      </c>
      <c r="Q957" s="8" t="str">
        <f aca="false">IF(H957="Congé","CP",IF(H957="Férié","F",IF(H957="OFF","R",IF(N957&gt;0,"A",IF(ISNUMBER(I957),"P","NR")))))</f>
        <v>P</v>
      </c>
      <c r="R957" s="18"/>
    </row>
    <row r="958" customFormat="false" ht="15" hidden="false" customHeight="false" outlineLevel="0" collapsed="false">
      <c r="A958" s="18" t="s">
        <v>30</v>
      </c>
      <c r="B958" s="8" t="s">
        <v>31</v>
      </c>
      <c r="C958" s="9" t="n">
        <v>46304</v>
      </c>
      <c r="D958" s="8" t="n">
        <v>2026</v>
      </c>
      <c r="E958" s="8" t="n">
        <v>41</v>
      </c>
      <c r="F958" s="18" t="s">
        <v>133</v>
      </c>
      <c r="G958" s="8" t="s">
        <v>120</v>
      </c>
      <c r="H958" s="19" t="n">
        <v>0.333333333333333</v>
      </c>
      <c r="I958" s="19" t="n">
        <v>0.333333333333333</v>
      </c>
      <c r="J958" s="19" t="n">
        <v>0.708333333333333</v>
      </c>
      <c r="K958" s="19" t="n">
        <v>0.708333333333333</v>
      </c>
      <c r="L958" s="19" t="n">
        <v>0.333333333333333</v>
      </c>
      <c r="M958" s="19" t="n">
        <v>0.333333333333333</v>
      </c>
      <c r="N958" s="19" t="n">
        <v>0</v>
      </c>
      <c r="O958" s="19" t="n">
        <v>0</v>
      </c>
      <c r="P958" s="17" t="n">
        <f aca="false">IF(AND(ISNUMBER(H958),ISNUMBER(I958)),MAX(0,ROUND((I958-H958)*1440,0)-'Bilan agents'!$C$4),0)</f>
        <v>0</v>
      </c>
      <c r="Q958" s="8" t="str">
        <f aca="false">IF(H958="Congé","CP",IF(H958="Férié","F",IF(H958="OFF","R",IF(N958&gt;0,"A",IF(ISNUMBER(I958),"P","NR")))))</f>
        <v>P</v>
      </c>
      <c r="R958" s="18"/>
    </row>
    <row r="959" customFormat="false" ht="15" hidden="false" customHeight="false" outlineLevel="0" collapsed="false">
      <c r="A959" s="18" t="s">
        <v>30</v>
      </c>
      <c r="B959" s="8" t="s">
        <v>31</v>
      </c>
      <c r="C959" s="9" t="n">
        <v>46305</v>
      </c>
      <c r="D959" s="8" t="n">
        <v>2026</v>
      </c>
      <c r="E959" s="8" t="n">
        <v>41</v>
      </c>
      <c r="F959" s="18" t="s">
        <v>133</v>
      </c>
      <c r="G959" s="8" t="s">
        <v>121</v>
      </c>
      <c r="H959" s="19" t="s">
        <v>115</v>
      </c>
      <c r="I959" s="19"/>
      <c r="J959" s="19"/>
      <c r="K959" s="19"/>
      <c r="L959" s="19" t="n">
        <v>0</v>
      </c>
      <c r="M959" s="19"/>
      <c r="N959" s="19" t="n">
        <v>0</v>
      </c>
      <c r="O959" s="19" t="n">
        <v>0</v>
      </c>
      <c r="P959" s="17" t="n">
        <f aca="false">IF(AND(ISNUMBER(H959),ISNUMBER(I959)),MAX(0,ROUND((I959-H959)*1440,0)-'Bilan agents'!$C$4),0)</f>
        <v>0</v>
      </c>
      <c r="Q959" s="8" t="str">
        <f aca="false">IF(H959="Congé","CP",IF(H959="Férié","F",IF(H959="OFF","R",IF(N959&gt;0,"A",IF(ISNUMBER(I959),"P","NR")))))</f>
        <v>R</v>
      </c>
      <c r="R959" s="18"/>
    </row>
    <row r="960" customFormat="false" ht="15" hidden="false" customHeight="false" outlineLevel="0" collapsed="false">
      <c r="A960" s="18" t="s">
        <v>30</v>
      </c>
      <c r="B960" s="8" t="s">
        <v>31</v>
      </c>
      <c r="C960" s="9" t="n">
        <v>46306</v>
      </c>
      <c r="D960" s="8" t="n">
        <v>2026</v>
      </c>
      <c r="E960" s="8" t="n">
        <v>41</v>
      </c>
      <c r="F960" s="18" t="s">
        <v>133</v>
      </c>
      <c r="G960" s="8" t="s">
        <v>114</v>
      </c>
      <c r="H960" s="19" t="s">
        <v>115</v>
      </c>
      <c r="I960" s="19"/>
      <c r="J960" s="19"/>
      <c r="K960" s="19"/>
      <c r="L960" s="19" t="n">
        <v>0</v>
      </c>
      <c r="M960" s="19"/>
      <c r="N960" s="19" t="n">
        <v>0</v>
      </c>
      <c r="O960" s="19" t="n">
        <v>0</v>
      </c>
      <c r="P960" s="17" t="n">
        <f aca="false">IF(AND(ISNUMBER(H960),ISNUMBER(I960)),MAX(0,ROUND((I960-H960)*1440,0)-'Bilan agents'!$C$4),0)</f>
        <v>0</v>
      </c>
      <c r="Q960" s="8" t="str">
        <f aca="false">IF(H960="Congé","CP",IF(H960="Férié","F",IF(H960="OFF","R",IF(N960&gt;0,"A",IF(ISNUMBER(I960),"P","NR")))))</f>
        <v>R</v>
      </c>
      <c r="R960" s="18"/>
    </row>
    <row r="961" customFormat="false" ht="15" hidden="false" customHeight="false" outlineLevel="0" collapsed="false">
      <c r="A961" s="18" t="s">
        <v>32</v>
      </c>
      <c r="B961" s="8" t="s">
        <v>33</v>
      </c>
      <c r="C961" s="9" t="n">
        <v>46300</v>
      </c>
      <c r="D961" s="8" t="n">
        <v>2026</v>
      </c>
      <c r="E961" s="8" t="n">
        <v>41</v>
      </c>
      <c r="F961" s="18" t="s">
        <v>133</v>
      </c>
      <c r="G961" s="8" t="s">
        <v>116</v>
      </c>
      <c r="H961" s="19" t="n">
        <v>0.333333333333333</v>
      </c>
      <c r="I961" s="19" t="n">
        <v>0.333333333333333</v>
      </c>
      <c r="J961" s="19" t="n">
        <v>0.75</v>
      </c>
      <c r="K961" s="19" t="n">
        <v>0.75</v>
      </c>
      <c r="L961" s="19"/>
      <c r="M961" s="19"/>
      <c r="N961" s="19" t="n">
        <v>0</v>
      </c>
      <c r="O961" s="19" t="n">
        <v>0</v>
      </c>
      <c r="P961" s="17" t="n">
        <f aca="false">IF(AND(ISNUMBER(H961),ISNUMBER(I961)),MAX(0,ROUND((I961-H961)*1440,0)-'Bilan agents'!$C$4),0)</f>
        <v>0</v>
      </c>
      <c r="Q961" s="8" t="str">
        <f aca="false">IF(H961="Congé","CP",IF(H961="Férié","F",IF(H961="OFF","R",IF(N961&gt;0,"A",IF(ISNUMBER(I961),"P","NR")))))</f>
        <v>P</v>
      </c>
      <c r="R961" s="18"/>
    </row>
    <row r="962" customFormat="false" ht="15" hidden="false" customHeight="false" outlineLevel="0" collapsed="false">
      <c r="A962" s="18" t="s">
        <v>32</v>
      </c>
      <c r="B962" s="8" t="s">
        <v>33</v>
      </c>
      <c r="C962" s="9" t="n">
        <v>46301</v>
      </c>
      <c r="D962" s="8" t="n">
        <v>2026</v>
      </c>
      <c r="E962" s="8" t="n">
        <v>41</v>
      </c>
      <c r="F962" s="18" t="s">
        <v>133</v>
      </c>
      <c r="G962" s="8" t="s">
        <v>117</v>
      </c>
      <c r="H962" s="19" t="n">
        <v>0.333333333333333</v>
      </c>
      <c r="I962" s="19" t="n">
        <v>0.333333333333333</v>
      </c>
      <c r="J962" s="19" t="n">
        <v>0.75</v>
      </c>
      <c r="K962" s="19" t="n">
        <v>0.75</v>
      </c>
      <c r="L962" s="19"/>
      <c r="M962" s="19"/>
      <c r="N962" s="19" t="n">
        <v>0</v>
      </c>
      <c r="O962" s="19" t="n">
        <v>0</v>
      </c>
      <c r="P962" s="17" t="n">
        <f aca="false">IF(AND(ISNUMBER(H962),ISNUMBER(I962)),MAX(0,ROUND((I962-H962)*1440,0)-'Bilan agents'!$C$4),0)</f>
        <v>0</v>
      </c>
      <c r="Q962" s="8" t="str">
        <f aca="false">IF(H962="Congé","CP",IF(H962="Férié","F",IF(H962="OFF","R",IF(N962&gt;0,"A",IF(ISNUMBER(I962),"P","NR")))))</f>
        <v>P</v>
      </c>
      <c r="R962" s="18"/>
    </row>
    <row r="963" customFormat="false" ht="15" hidden="false" customHeight="false" outlineLevel="0" collapsed="false">
      <c r="A963" s="18" t="s">
        <v>32</v>
      </c>
      <c r="B963" s="8" t="s">
        <v>33</v>
      </c>
      <c r="C963" s="9" t="n">
        <v>46302</v>
      </c>
      <c r="D963" s="8" t="n">
        <v>2026</v>
      </c>
      <c r="E963" s="8" t="n">
        <v>41</v>
      </c>
      <c r="F963" s="18" t="s">
        <v>133</v>
      </c>
      <c r="G963" s="8" t="s">
        <v>118</v>
      </c>
      <c r="H963" s="19" t="n">
        <v>0.333333333333333</v>
      </c>
      <c r="I963" s="19" t="n">
        <v>0.333333333333333</v>
      </c>
      <c r="J963" s="19" t="n">
        <v>0.75</v>
      </c>
      <c r="K963" s="19" t="n">
        <v>0.75</v>
      </c>
      <c r="L963" s="19"/>
      <c r="M963" s="19"/>
      <c r="N963" s="19" t="n">
        <v>0</v>
      </c>
      <c r="O963" s="19" t="n">
        <v>0</v>
      </c>
      <c r="P963" s="17" t="n">
        <f aca="false">IF(AND(ISNUMBER(H963),ISNUMBER(I963)),MAX(0,ROUND((I963-H963)*1440,0)-'Bilan agents'!$C$4),0)</f>
        <v>0</v>
      </c>
      <c r="Q963" s="8" t="str">
        <f aca="false">IF(H963="Congé","CP",IF(H963="Férié","F",IF(H963="OFF","R",IF(N963&gt;0,"A",IF(ISNUMBER(I963),"P","NR")))))</f>
        <v>P</v>
      </c>
      <c r="R963" s="18"/>
    </row>
    <row r="964" customFormat="false" ht="15" hidden="false" customHeight="false" outlineLevel="0" collapsed="false">
      <c r="A964" s="18" t="s">
        <v>32</v>
      </c>
      <c r="B964" s="8" t="s">
        <v>33</v>
      </c>
      <c r="C964" s="9" t="n">
        <v>46303</v>
      </c>
      <c r="D964" s="8" t="n">
        <v>2026</v>
      </c>
      <c r="E964" s="8" t="n">
        <v>41</v>
      </c>
      <c r="F964" s="18" t="s">
        <v>133</v>
      </c>
      <c r="G964" s="8" t="s">
        <v>119</v>
      </c>
      <c r="H964" s="19" t="n">
        <v>0.333333333333333</v>
      </c>
      <c r="I964" s="19" t="n">
        <v>0.333333333333333</v>
      </c>
      <c r="J964" s="19" t="n">
        <v>0.75</v>
      </c>
      <c r="K964" s="19" t="n">
        <v>0.75</v>
      </c>
      <c r="L964" s="19"/>
      <c r="M964" s="19"/>
      <c r="N964" s="19" t="n">
        <v>0</v>
      </c>
      <c r="O964" s="19" t="n">
        <v>0</v>
      </c>
      <c r="P964" s="17" t="n">
        <f aca="false">IF(AND(ISNUMBER(H964),ISNUMBER(I964)),MAX(0,ROUND((I964-H964)*1440,0)-'Bilan agents'!$C$4),0)</f>
        <v>0</v>
      </c>
      <c r="Q964" s="8" t="str">
        <f aca="false">IF(H964="Congé","CP",IF(H964="Férié","F",IF(H964="OFF","R",IF(N964&gt;0,"A",IF(ISNUMBER(I964),"P","NR")))))</f>
        <v>P</v>
      </c>
      <c r="R964" s="18"/>
    </row>
    <row r="965" customFormat="false" ht="15" hidden="false" customHeight="false" outlineLevel="0" collapsed="false">
      <c r="A965" s="18" t="s">
        <v>32</v>
      </c>
      <c r="B965" s="8" t="s">
        <v>33</v>
      </c>
      <c r="C965" s="9" t="n">
        <v>46304</v>
      </c>
      <c r="D965" s="8" t="n">
        <v>2026</v>
      </c>
      <c r="E965" s="8" t="n">
        <v>41</v>
      </c>
      <c r="F965" s="18" t="s">
        <v>133</v>
      </c>
      <c r="G965" s="8" t="s">
        <v>120</v>
      </c>
      <c r="H965" s="19" t="n">
        <v>0.333333333333333</v>
      </c>
      <c r="I965" s="19" t="n">
        <v>0.333333333333333</v>
      </c>
      <c r="J965" s="19" t="n">
        <v>0.708333333333333</v>
      </c>
      <c r="K965" s="19" t="n">
        <v>0.708333333333333</v>
      </c>
      <c r="L965" s="19"/>
      <c r="M965" s="19"/>
      <c r="N965" s="19" t="n">
        <v>0</v>
      </c>
      <c r="O965" s="19" t="n">
        <v>0</v>
      </c>
      <c r="P965" s="17" t="n">
        <f aca="false">IF(AND(ISNUMBER(H965),ISNUMBER(I965)),MAX(0,ROUND((I965-H965)*1440,0)-'Bilan agents'!$C$4),0)</f>
        <v>0</v>
      </c>
      <c r="Q965" s="8" t="str">
        <f aca="false">IF(H965="Congé","CP",IF(H965="Férié","F",IF(H965="OFF","R",IF(N965&gt;0,"A",IF(ISNUMBER(I965),"P","NR")))))</f>
        <v>P</v>
      </c>
      <c r="R965" s="18"/>
    </row>
    <row r="966" customFormat="false" ht="15" hidden="false" customHeight="false" outlineLevel="0" collapsed="false">
      <c r="A966" s="18" t="s">
        <v>32</v>
      </c>
      <c r="B966" s="8" t="s">
        <v>33</v>
      </c>
      <c r="C966" s="9" t="n">
        <v>46305</v>
      </c>
      <c r="D966" s="8" t="n">
        <v>2026</v>
      </c>
      <c r="E966" s="8" t="n">
        <v>41</v>
      </c>
      <c r="F966" s="18" t="s">
        <v>133</v>
      </c>
      <c r="G966" s="8" t="s">
        <v>121</v>
      </c>
      <c r="H966" s="19" t="s">
        <v>115</v>
      </c>
      <c r="I966" s="19"/>
      <c r="J966" s="19"/>
      <c r="K966" s="19"/>
      <c r="L966" s="19"/>
      <c r="M966" s="19"/>
      <c r="N966" s="19" t="n">
        <v>0</v>
      </c>
      <c r="O966" s="19" t="n">
        <v>0</v>
      </c>
      <c r="P966" s="17" t="n">
        <f aca="false">IF(AND(ISNUMBER(H966),ISNUMBER(I966)),MAX(0,ROUND((I966-H966)*1440,0)-'Bilan agents'!$C$4),0)</f>
        <v>0</v>
      </c>
      <c r="Q966" s="8" t="str">
        <f aca="false">IF(H966="Congé","CP",IF(H966="Férié","F",IF(H966="OFF","R",IF(N966&gt;0,"A",IF(ISNUMBER(I966),"P","NR")))))</f>
        <v>R</v>
      </c>
      <c r="R966" s="18"/>
    </row>
    <row r="967" customFormat="false" ht="15" hidden="false" customHeight="false" outlineLevel="0" collapsed="false">
      <c r="A967" s="18" t="s">
        <v>32</v>
      </c>
      <c r="B967" s="8" t="s">
        <v>33</v>
      </c>
      <c r="C967" s="9" t="n">
        <v>46306</v>
      </c>
      <c r="D967" s="8" t="n">
        <v>2026</v>
      </c>
      <c r="E967" s="8" t="n">
        <v>41</v>
      </c>
      <c r="F967" s="18" t="s">
        <v>133</v>
      </c>
      <c r="G967" s="8" t="s">
        <v>114</v>
      </c>
      <c r="H967" s="19" t="s">
        <v>115</v>
      </c>
      <c r="I967" s="19"/>
      <c r="J967" s="19"/>
      <c r="K967" s="19"/>
      <c r="L967" s="19"/>
      <c r="M967" s="19"/>
      <c r="N967" s="19" t="n">
        <v>0</v>
      </c>
      <c r="O967" s="19" t="n">
        <v>0</v>
      </c>
      <c r="P967" s="17" t="n">
        <f aca="false">IF(AND(ISNUMBER(H967),ISNUMBER(I967)),MAX(0,ROUND((I967-H967)*1440,0)-'Bilan agents'!$C$4),0)</f>
        <v>0</v>
      </c>
      <c r="Q967" s="8" t="str">
        <f aca="false">IF(H967="Congé","CP",IF(H967="Férié","F",IF(H967="OFF","R",IF(N967&gt;0,"A",IF(ISNUMBER(I967),"P","NR")))))</f>
        <v>R</v>
      </c>
      <c r="R967" s="18"/>
    </row>
  </sheetData>
  <autoFilter ref="A1:R967"/>
  <conditionalFormatting sqref="Q2:Q967">
    <cfRule type="cellIs" priority="2" operator="equal" aboveAverage="0" equalAverage="0" bottom="0" percent="0" rank="0" text="" dxfId="11">
      <formula>"P"</formula>
    </cfRule>
    <cfRule type="cellIs" priority="3" operator="equal" aboveAverage="0" equalAverage="0" bottom="0" percent="0" rank="0" text="" dxfId="12">
      <formula>"A"</formula>
    </cfRule>
    <cfRule type="cellIs" priority="4" operator="equal" aboveAverage="0" equalAverage="0" bottom="0" percent="0" rank="0" text="" dxfId="13">
      <formula>"NR"</formula>
    </cfRule>
    <cfRule type="cellIs" priority="5" operator="equal" aboveAverage="0" equalAverage="0" bottom="0" percent="0" rank="0" text="" dxfId="14">
      <formula>"CP"</formula>
    </cfRule>
    <cfRule type="cellIs" priority="6" operator="equal" aboveAverage="0" equalAverage="0" bottom="0" percent="0" rank="0" text="" dxfId="15">
      <formula>"F"</formula>
    </cfRule>
    <cfRule type="cellIs" priority="7" operator="equal" aboveAverage="0" equalAverage="0" bottom="0" percent="0" rank="0" text="" dxfId="16">
      <formula>"R"</formula>
    </cfRule>
  </conditionalFormatting>
  <conditionalFormatting sqref="P2:P967">
    <cfRule type="cellIs" priority="8" operator="greaterThan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6" t="s">
        <v>134</v>
      </c>
      <c r="B1" s="6" t="s">
        <v>135</v>
      </c>
    </row>
    <row r="2" customFormat="false" ht="23.85" hidden="false" customHeight="false" outlineLevel="0" collapsed="false">
      <c r="A2" s="20" t="s">
        <v>136</v>
      </c>
      <c r="B2" s="21" t="s">
        <v>137</v>
      </c>
    </row>
    <row r="3" customFormat="false" ht="15" hidden="false" customHeight="false" outlineLevel="0" collapsed="false">
      <c r="A3" s="20" t="s">
        <v>138</v>
      </c>
      <c r="B3" s="21" t="s">
        <v>139</v>
      </c>
    </row>
    <row r="4" customFormat="false" ht="15" hidden="false" customHeight="false" outlineLevel="0" collapsed="false">
      <c r="A4" s="20" t="s">
        <v>140</v>
      </c>
      <c r="B4" s="21" t="s">
        <v>141</v>
      </c>
    </row>
    <row r="5" customFormat="false" ht="15" hidden="false" customHeight="false" outlineLevel="0" collapsed="false">
      <c r="A5" s="20" t="s">
        <v>24</v>
      </c>
      <c r="B5" s="21" t="s">
        <v>142</v>
      </c>
    </row>
    <row r="6" customFormat="false" ht="23.85" hidden="false" customHeight="false" outlineLevel="0" collapsed="false">
      <c r="A6" s="20" t="s">
        <v>32</v>
      </c>
      <c r="B6" s="21" t="s">
        <v>143</v>
      </c>
    </row>
    <row r="7" customFormat="false" ht="23.85" hidden="false" customHeight="false" outlineLevel="0" collapsed="false">
      <c r="A7" s="20" t="s">
        <v>144</v>
      </c>
      <c r="B7" s="21" t="s">
        <v>145</v>
      </c>
    </row>
    <row r="8" customFormat="false" ht="23.85" hidden="false" customHeight="false" outlineLevel="0" collapsed="false">
      <c r="A8" s="20" t="s">
        <v>146</v>
      </c>
      <c r="B8" s="21" t="s">
        <v>147</v>
      </c>
    </row>
    <row r="9" customFormat="false" ht="23.85" hidden="false" customHeight="false" outlineLevel="0" collapsed="false">
      <c r="A9" s="20" t="s">
        <v>148</v>
      </c>
      <c r="B9" s="21" t="s">
        <v>149</v>
      </c>
    </row>
    <row r="10" customFormat="false" ht="15" hidden="false" customHeight="false" outlineLevel="0" collapsed="false">
      <c r="A10" s="20" t="s">
        <v>150</v>
      </c>
      <c r="B10" s="21" t="s">
        <v>151</v>
      </c>
    </row>
    <row r="11" customFormat="false" ht="15" hidden="false" customHeight="false" outlineLevel="0" collapsed="false">
      <c r="A11" s="20" t="s">
        <v>152</v>
      </c>
      <c r="B11" s="2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2026-10-27T11:18:34Z</dcterms:created>
  <dc:creator>openpyxl</dc:creator>
  <dc:description/>
  <dc:language>en-US</dc:language>
  <cp:lastModifiedBy/>
  <dcterms:modified xsi:type="dcterms:W3CDTF">2026-10-27T11:18:35Z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