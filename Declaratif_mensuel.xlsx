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UBRAHMO\Desktop\"/>
    </mc:Choice>
  </mc:AlternateContent>
  <xr:revisionPtr revIDLastSave="0" documentId="13_ncr:1_{0814C0A7-1FC6-4AA5-B943-C99E52F42799}" xr6:coauthVersionLast="47" xr6:coauthVersionMax="47" xr10:uidLastSave="{00000000-0000-0000-0000-000000000000}"/>
  <bookViews>
    <workbookView xWindow="28680" yWindow="-120" windowWidth="29040" windowHeight="15720" tabRatio="624" xr2:uid="{00000000-000D-0000-FFFF-FFFF00000000}"/>
  </bookViews>
  <sheets>
    <sheet name="Mensuel" sheetId="7" r:id="rId1"/>
    <sheet name="GLF" sheetId="4" r:id="rId2"/>
    <sheet name="Juin" sheetId="6" r:id="rId3"/>
    <sheet name="Juillet" sheetId="8" r:id="rId4"/>
    <sheet name="Aout" sheetId="9" r:id="rId5"/>
    <sheet name="Septembre" sheetId="10" r:id="rId6"/>
    <sheet name="Octobre" sheetId="11" r:id="rId7"/>
    <sheet name="Novembre" sheetId="12" r:id="rId8"/>
    <sheet name="Décembre" sheetId="14" r:id="rId9"/>
    <sheet name="Janvier26" sheetId="15" r:id="rId10"/>
    <sheet name="Fevrier26" sheetId="16" r:id="rId11"/>
    <sheet name="Mars26" sheetId="17" r:id="rId12"/>
    <sheet name="Avril26" sheetId="18" r:id="rId13"/>
    <sheet name="Mai26" sheetId="19" r:id="rId14"/>
    <sheet name="Juin26" sheetId="20" r:id="rId15"/>
    <sheet name="Juillet26" sheetId="21" r:id="rId16"/>
    <sheet name="Aout26" sheetId="22" r:id="rId17"/>
    <sheet name="Septembre26" sheetId="23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3" i="4" l="1"/>
  <c r="M13" i="4"/>
  <c r="G13" i="4"/>
  <c r="V11" i="4"/>
  <c r="R5" i="4" l="1"/>
  <c r="C34" i="23"/>
  <c r="R13" i="4" s="1"/>
  <c r="B21" i="23"/>
  <c r="B20" i="23"/>
  <c r="B18" i="23"/>
  <c r="B5" i="23"/>
  <c r="B13" i="23"/>
  <c r="E34" i="23"/>
  <c r="R17" i="4" s="1"/>
  <c r="D17" i="23"/>
  <c r="D32" i="23"/>
  <c r="D7" i="23"/>
  <c r="M34" i="23"/>
  <c r="K34" i="23"/>
  <c r="I34" i="23"/>
  <c r="G34" i="23"/>
  <c r="L33" i="23"/>
  <c r="J33" i="23"/>
  <c r="H33" i="23"/>
  <c r="F33" i="23"/>
  <c r="D33" i="23"/>
  <c r="B33" i="23"/>
  <c r="L32" i="23"/>
  <c r="J32" i="23"/>
  <c r="H32" i="23"/>
  <c r="F32" i="23"/>
  <c r="B32" i="23"/>
  <c r="L26" i="23"/>
  <c r="J26" i="23"/>
  <c r="H26" i="23"/>
  <c r="F26" i="23"/>
  <c r="D26" i="23"/>
  <c r="B26" i="23"/>
  <c r="L25" i="23"/>
  <c r="J25" i="23"/>
  <c r="H25" i="23"/>
  <c r="F25" i="23"/>
  <c r="D25" i="23"/>
  <c r="B25" i="23"/>
  <c r="L19" i="23"/>
  <c r="J19" i="23"/>
  <c r="H19" i="23"/>
  <c r="F19" i="23"/>
  <c r="D19" i="23"/>
  <c r="B19" i="23"/>
  <c r="L18" i="23"/>
  <c r="J18" i="23"/>
  <c r="H18" i="23"/>
  <c r="F18" i="23"/>
  <c r="D18" i="23"/>
  <c r="L12" i="23"/>
  <c r="J12" i="23"/>
  <c r="H12" i="23"/>
  <c r="F12" i="23"/>
  <c r="D12" i="23"/>
  <c r="B12" i="23"/>
  <c r="L11" i="23"/>
  <c r="J11" i="23"/>
  <c r="H11" i="23"/>
  <c r="F11" i="23"/>
  <c r="D11" i="23"/>
  <c r="B11" i="23"/>
  <c r="L5" i="23"/>
  <c r="J5" i="23"/>
  <c r="H5" i="23"/>
  <c r="F5" i="23"/>
  <c r="D5" i="23"/>
  <c r="L4" i="23"/>
  <c r="J4" i="23"/>
  <c r="H4" i="23"/>
  <c r="F4" i="23"/>
  <c r="D4" i="23"/>
  <c r="S34" i="23"/>
  <c r="R34" i="23"/>
  <c r="Q34" i="23"/>
  <c r="P34" i="23"/>
  <c r="N34" i="23"/>
  <c r="L31" i="23"/>
  <c r="J31" i="23"/>
  <c r="H31" i="23"/>
  <c r="F31" i="23"/>
  <c r="D31" i="23"/>
  <c r="B31" i="23"/>
  <c r="L28" i="23"/>
  <c r="J28" i="23"/>
  <c r="H28" i="23"/>
  <c r="F28" i="23"/>
  <c r="D28" i="23"/>
  <c r="B28" i="23"/>
  <c r="L27" i="23"/>
  <c r="J27" i="23"/>
  <c r="H27" i="23"/>
  <c r="F27" i="23"/>
  <c r="D27" i="23"/>
  <c r="B27" i="23"/>
  <c r="L24" i="23"/>
  <c r="J24" i="23"/>
  <c r="H24" i="23"/>
  <c r="F24" i="23"/>
  <c r="D24" i="23"/>
  <c r="B24" i="23"/>
  <c r="L21" i="23"/>
  <c r="J21" i="23"/>
  <c r="H21" i="23"/>
  <c r="F21" i="23"/>
  <c r="D21" i="23"/>
  <c r="L20" i="23"/>
  <c r="J20" i="23"/>
  <c r="H20" i="23"/>
  <c r="F20" i="23"/>
  <c r="L17" i="23"/>
  <c r="J17" i="23"/>
  <c r="H17" i="23"/>
  <c r="F17" i="23"/>
  <c r="B17" i="23"/>
  <c r="L14" i="23"/>
  <c r="J14" i="23"/>
  <c r="H14" i="23"/>
  <c r="F14" i="23"/>
  <c r="D14" i="23"/>
  <c r="B14" i="23"/>
  <c r="L13" i="23"/>
  <c r="J13" i="23"/>
  <c r="H13" i="23"/>
  <c r="F13" i="23"/>
  <c r="D13" i="23"/>
  <c r="L10" i="23"/>
  <c r="J10" i="23"/>
  <c r="H10" i="23"/>
  <c r="F10" i="23"/>
  <c r="D10" i="23"/>
  <c r="B10" i="23"/>
  <c r="L7" i="23"/>
  <c r="J7" i="23"/>
  <c r="H7" i="23"/>
  <c r="F7" i="23"/>
  <c r="B7" i="23"/>
  <c r="L6" i="23"/>
  <c r="J6" i="23"/>
  <c r="H6" i="23"/>
  <c r="F6" i="23"/>
  <c r="D6" i="23"/>
  <c r="B6" i="23"/>
  <c r="B4" i="23" l="1"/>
  <c r="O34" i="23"/>
  <c r="D20" i="23"/>
  <c r="D34" i="23" s="1"/>
  <c r="H34" i="23"/>
  <c r="L34" i="23"/>
  <c r="J34" i="23"/>
  <c r="F34" i="23"/>
  <c r="B34" i="23"/>
  <c r="E35" i="22"/>
  <c r="C35" i="22"/>
  <c r="Q35" i="22" l="1"/>
  <c r="Q13" i="4" l="1"/>
  <c r="Q17" i="4"/>
  <c r="J4" i="4"/>
  <c r="P5" i="4"/>
  <c r="Q5" i="4"/>
  <c r="S5" i="4"/>
  <c r="T5" i="4"/>
  <c r="U5" i="4"/>
  <c r="O5" i="4"/>
  <c r="C35" i="21"/>
  <c r="P13" i="4" s="1"/>
  <c r="P4" i="4" s="1"/>
  <c r="Q35" i="21"/>
  <c r="E35" i="21"/>
  <c r="P17" i="4" s="1"/>
  <c r="G35" i="21"/>
  <c r="I35" i="21"/>
  <c r="K35" i="21"/>
  <c r="M35" i="21"/>
  <c r="O35" i="21" s="1"/>
  <c r="P20" i="4"/>
  <c r="N5" i="4"/>
  <c r="C34" i="20"/>
  <c r="E34" i="20"/>
  <c r="O34" i="20" s="1"/>
  <c r="G34" i="20"/>
  <c r="I34" i="20"/>
  <c r="Q34" i="20"/>
  <c r="O13" i="4"/>
  <c r="M5" i="4"/>
  <c r="V12" i="4"/>
  <c r="M33" i="19"/>
  <c r="K33" i="19"/>
  <c r="I33" i="19"/>
  <c r="O33" i="19" s="1"/>
  <c r="G33" i="19"/>
  <c r="E33" i="19"/>
  <c r="C33" i="19"/>
  <c r="L31" i="22"/>
  <c r="J31" i="22"/>
  <c r="H31" i="22"/>
  <c r="F31" i="22"/>
  <c r="D31" i="22"/>
  <c r="B31" i="22"/>
  <c r="L30" i="22"/>
  <c r="J30" i="22"/>
  <c r="H30" i="22"/>
  <c r="F30" i="22"/>
  <c r="D30" i="22"/>
  <c r="B30" i="22"/>
  <c r="L29" i="22"/>
  <c r="J29" i="22"/>
  <c r="H29" i="22"/>
  <c r="F29" i="22"/>
  <c r="D29" i="22"/>
  <c r="B29" i="22"/>
  <c r="L28" i="22"/>
  <c r="J28" i="22"/>
  <c r="H28" i="22"/>
  <c r="F28" i="22"/>
  <c r="D28" i="22"/>
  <c r="B28" i="22"/>
  <c r="L27" i="22"/>
  <c r="J27" i="22"/>
  <c r="H27" i="22"/>
  <c r="F27" i="22"/>
  <c r="D27" i="22"/>
  <c r="B27" i="22"/>
  <c r="S35" i="22"/>
  <c r="R35" i="22"/>
  <c r="P35" i="22"/>
  <c r="N35" i="22"/>
  <c r="M35" i="22"/>
  <c r="G35" i="22"/>
  <c r="L34" i="22"/>
  <c r="J34" i="22"/>
  <c r="H34" i="22"/>
  <c r="R20" i="4" s="1"/>
  <c r="R4" i="4" s="1"/>
  <c r="F34" i="22"/>
  <c r="D34" i="22"/>
  <c r="B34" i="22"/>
  <c r="L24" i="22"/>
  <c r="J24" i="22"/>
  <c r="H24" i="22"/>
  <c r="F24" i="22"/>
  <c r="D24" i="22"/>
  <c r="B24" i="22"/>
  <c r="L23" i="22"/>
  <c r="J23" i="22"/>
  <c r="H23" i="22"/>
  <c r="F23" i="22"/>
  <c r="D23" i="22"/>
  <c r="B23" i="22"/>
  <c r="L22" i="22"/>
  <c r="J22" i="22"/>
  <c r="H22" i="22"/>
  <c r="F22" i="22"/>
  <c r="D22" i="22"/>
  <c r="B22" i="22"/>
  <c r="L21" i="22"/>
  <c r="J21" i="22"/>
  <c r="H21" i="22"/>
  <c r="F21" i="22"/>
  <c r="D21" i="22"/>
  <c r="B21" i="22"/>
  <c r="L20" i="22"/>
  <c r="J20" i="22"/>
  <c r="H20" i="22"/>
  <c r="F20" i="22"/>
  <c r="D20" i="22"/>
  <c r="B20" i="22"/>
  <c r="L17" i="22"/>
  <c r="J17" i="22"/>
  <c r="H17" i="22"/>
  <c r="F17" i="22"/>
  <c r="D17" i="22"/>
  <c r="B17" i="22"/>
  <c r="L16" i="22"/>
  <c r="J16" i="22"/>
  <c r="H16" i="22"/>
  <c r="F16" i="22"/>
  <c r="D16" i="22"/>
  <c r="B16" i="22"/>
  <c r="L15" i="22"/>
  <c r="J15" i="22"/>
  <c r="H15" i="22"/>
  <c r="F15" i="22"/>
  <c r="D15" i="22"/>
  <c r="B15" i="22"/>
  <c r="L14" i="22"/>
  <c r="J14" i="22"/>
  <c r="H14" i="22"/>
  <c r="F14" i="22"/>
  <c r="D14" i="22"/>
  <c r="B14" i="22"/>
  <c r="L13" i="22"/>
  <c r="J13" i="22"/>
  <c r="H13" i="22"/>
  <c r="F13" i="22"/>
  <c r="D13" i="22"/>
  <c r="B13" i="22"/>
  <c r="L10" i="22"/>
  <c r="J10" i="22"/>
  <c r="H10" i="22"/>
  <c r="F10" i="22"/>
  <c r="D10" i="22"/>
  <c r="B10" i="22"/>
  <c r="L9" i="22"/>
  <c r="J9" i="22"/>
  <c r="H9" i="22"/>
  <c r="F9" i="22"/>
  <c r="D9" i="22"/>
  <c r="B9" i="22"/>
  <c r="L8" i="22"/>
  <c r="J8" i="22"/>
  <c r="H8" i="22"/>
  <c r="F8" i="22"/>
  <c r="D8" i="22"/>
  <c r="B8" i="22"/>
  <c r="L7" i="22"/>
  <c r="J7" i="22"/>
  <c r="H7" i="22"/>
  <c r="F7" i="22"/>
  <c r="D7" i="22"/>
  <c r="B7" i="22"/>
  <c r="L6" i="22"/>
  <c r="J6" i="22"/>
  <c r="J35" i="22" s="1"/>
  <c r="H6" i="22"/>
  <c r="F6" i="22"/>
  <c r="F35" i="22" s="1"/>
  <c r="D6" i="22"/>
  <c r="B6" i="22"/>
  <c r="K35" i="22"/>
  <c r="I35" i="22"/>
  <c r="L34" i="21"/>
  <c r="J34" i="21"/>
  <c r="H34" i="21"/>
  <c r="F34" i="21"/>
  <c r="D34" i="21"/>
  <c r="B34" i="21"/>
  <c r="L33" i="21"/>
  <c r="J33" i="21"/>
  <c r="H33" i="21"/>
  <c r="F33" i="21"/>
  <c r="D33" i="21"/>
  <c r="B33" i="21"/>
  <c r="L32" i="21"/>
  <c r="J32" i="21"/>
  <c r="H32" i="21"/>
  <c r="F32" i="21"/>
  <c r="D32" i="21"/>
  <c r="B32" i="21"/>
  <c r="L31" i="21"/>
  <c r="J31" i="21"/>
  <c r="H31" i="21"/>
  <c r="F31" i="21"/>
  <c r="D31" i="21"/>
  <c r="B31" i="21"/>
  <c r="L30" i="21"/>
  <c r="J30" i="21"/>
  <c r="H30" i="21"/>
  <c r="H35" i="21" s="1"/>
  <c r="F30" i="21"/>
  <c r="D30" i="21"/>
  <c r="B30" i="21"/>
  <c r="B35" i="21" s="1"/>
  <c r="S35" i="21"/>
  <c r="R35" i="21"/>
  <c r="P35" i="21"/>
  <c r="N35" i="21"/>
  <c r="L27" i="21"/>
  <c r="J27" i="21"/>
  <c r="H27" i="21"/>
  <c r="F27" i="21"/>
  <c r="D27" i="21"/>
  <c r="B27" i="21"/>
  <c r="L26" i="21"/>
  <c r="J26" i="21"/>
  <c r="H26" i="21"/>
  <c r="F26" i="21"/>
  <c r="D26" i="21"/>
  <c r="B26" i="21"/>
  <c r="L25" i="21"/>
  <c r="J25" i="21"/>
  <c r="H25" i="21"/>
  <c r="F25" i="21"/>
  <c r="D25" i="21"/>
  <c r="B25" i="21"/>
  <c r="L24" i="21"/>
  <c r="J24" i="21"/>
  <c r="H24" i="21"/>
  <c r="F24" i="21"/>
  <c r="D24" i="21"/>
  <c r="B24" i="21"/>
  <c r="L23" i="21"/>
  <c r="J23" i="21"/>
  <c r="H23" i="21"/>
  <c r="F23" i="21"/>
  <c r="D23" i="21"/>
  <c r="B23" i="21"/>
  <c r="L20" i="21"/>
  <c r="J20" i="21"/>
  <c r="H20" i="21"/>
  <c r="F20" i="21"/>
  <c r="D20" i="21"/>
  <c r="B20" i="21"/>
  <c r="L19" i="21"/>
  <c r="J19" i="21"/>
  <c r="H19" i="21"/>
  <c r="F19" i="21"/>
  <c r="D19" i="21"/>
  <c r="B19" i="21"/>
  <c r="L18" i="21"/>
  <c r="J18" i="21"/>
  <c r="H18" i="21"/>
  <c r="F18" i="21"/>
  <c r="D18" i="21"/>
  <c r="B18" i="21"/>
  <c r="L16" i="21"/>
  <c r="J16" i="21"/>
  <c r="H16" i="21"/>
  <c r="F16" i="21"/>
  <c r="D16" i="21"/>
  <c r="B16" i="21"/>
  <c r="L13" i="21"/>
  <c r="J13" i="21"/>
  <c r="H13" i="21"/>
  <c r="F13" i="21"/>
  <c r="D13" i="21"/>
  <c r="B13" i="21"/>
  <c r="L12" i="21"/>
  <c r="J12" i="21"/>
  <c r="H12" i="21"/>
  <c r="F12" i="21"/>
  <c r="D12" i="21"/>
  <c r="B12" i="21"/>
  <c r="L11" i="21"/>
  <c r="J11" i="21"/>
  <c r="H11" i="21"/>
  <c r="F11" i="21"/>
  <c r="D11" i="21"/>
  <c r="B11" i="21"/>
  <c r="L10" i="21"/>
  <c r="J10" i="21"/>
  <c r="H10" i="21"/>
  <c r="F10" i="21"/>
  <c r="D10" i="21"/>
  <c r="B10" i="21"/>
  <c r="L9" i="21"/>
  <c r="J9" i="21"/>
  <c r="H9" i="21"/>
  <c r="F9" i="21"/>
  <c r="D9" i="21"/>
  <c r="B9" i="21"/>
  <c r="L6" i="21"/>
  <c r="J6" i="21"/>
  <c r="H6" i="21"/>
  <c r="F6" i="21"/>
  <c r="D6" i="21"/>
  <c r="B6" i="21"/>
  <c r="L5" i="21"/>
  <c r="J5" i="21"/>
  <c r="J35" i="21" s="1"/>
  <c r="H5" i="21"/>
  <c r="F5" i="21"/>
  <c r="F35" i="21" s="1"/>
  <c r="D5" i="21"/>
  <c r="B5" i="21"/>
  <c r="L4" i="21"/>
  <c r="J4" i="21"/>
  <c r="H4" i="21"/>
  <c r="F4" i="21"/>
  <c r="D4" i="21"/>
  <c r="B4" i="21"/>
  <c r="L29" i="20"/>
  <c r="J29" i="20"/>
  <c r="H29" i="20"/>
  <c r="F29" i="20"/>
  <c r="D29" i="20"/>
  <c r="B29" i="20"/>
  <c r="L33" i="20"/>
  <c r="J33" i="20"/>
  <c r="H33" i="20"/>
  <c r="F33" i="20"/>
  <c r="D33" i="20"/>
  <c r="B33" i="20"/>
  <c r="L32" i="20"/>
  <c r="J32" i="20"/>
  <c r="H32" i="20"/>
  <c r="F32" i="20"/>
  <c r="D32" i="20"/>
  <c r="B32" i="20"/>
  <c r="L4" i="20"/>
  <c r="J4" i="20"/>
  <c r="H4" i="20"/>
  <c r="F4" i="20"/>
  <c r="D4" i="20"/>
  <c r="D34" i="20" s="1"/>
  <c r="B4" i="20"/>
  <c r="B34" i="20" s="1"/>
  <c r="L7" i="19"/>
  <c r="J7" i="19"/>
  <c r="J33" i="19" s="1"/>
  <c r="H7" i="19"/>
  <c r="F7" i="19"/>
  <c r="D7" i="19"/>
  <c r="B7" i="19"/>
  <c r="S34" i="20"/>
  <c r="R34" i="20"/>
  <c r="P34" i="20"/>
  <c r="N34" i="20"/>
  <c r="M34" i="20"/>
  <c r="K34" i="20"/>
  <c r="O20" i="4" s="1"/>
  <c r="L28" i="20"/>
  <c r="J28" i="20"/>
  <c r="H28" i="20"/>
  <c r="F28" i="20"/>
  <c r="D28" i="20"/>
  <c r="B28" i="20"/>
  <c r="L27" i="20"/>
  <c r="J27" i="20"/>
  <c r="H27" i="20"/>
  <c r="F27" i="20"/>
  <c r="D27" i="20"/>
  <c r="B27" i="20"/>
  <c r="L26" i="20"/>
  <c r="J26" i="20"/>
  <c r="H26" i="20"/>
  <c r="F26" i="20"/>
  <c r="D26" i="20"/>
  <c r="B26" i="20"/>
  <c r="L25" i="20"/>
  <c r="J25" i="20"/>
  <c r="H25" i="20"/>
  <c r="F25" i="20"/>
  <c r="D25" i="20"/>
  <c r="B25" i="20"/>
  <c r="L22" i="20"/>
  <c r="J22" i="20"/>
  <c r="H22" i="20"/>
  <c r="F22" i="20"/>
  <c r="D22" i="20"/>
  <c r="B22" i="20"/>
  <c r="L21" i="20"/>
  <c r="J21" i="20"/>
  <c r="H21" i="20"/>
  <c r="F21" i="20"/>
  <c r="D21" i="20"/>
  <c r="B21" i="20"/>
  <c r="L20" i="20"/>
  <c r="J20" i="20"/>
  <c r="H20" i="20"/>
  <c r="F20" i="20"/>
  <c r="D20" i="20"/>
  <c r="B20" i="20"/>
  <c r="L19" i="20"/>
  <c r="J19" i="20"/>
  <c r="H19" i="20"/>
  <c r="F19" i="20"/>
  <c r="D19" i="20"/>
  <c r="B19" i="20"/>
  <c r="L18" i="20"/>
  <c r="J18" i="20"/>
  <c r="H18" i="20"/>
  <c r="F18" i="20"/>
  <c r="D18" i="20"/>
  <c r="B18" i="20"/>
  <c r="L15" i="20"/>
  <c r="J15" i="20"/>
  <c r="H15" i="20"/>
  <c r="F15" i="20"/>
  <c r="D15" i="20"/>
  <c r="B15" i="20"/>
  <c r="L14" i="20"/>
  <c r="J14" i="20"/>
  <c r="H14" i="20"/>
  <c r="F14" i="20"/>
  <c r="D14" i="20"/>
  <c r="B14" i="20"/>
  <c r="L13" i="20"/>
  <c r="J13" i="20"/>
  <c r="H13" i="20"/>
  <c r="F13" i="20"/>
  <c r="D13" i="20"/>
  <c r="B13" i="20"/>
  <c r="L12" i="20"/>
  <c r="J12" i="20"/>
  <c r="H12" i="20"/>
  <c r="F12" i="20"/>
  <c r="D12" i="20"/>
  <c r="B12" i="20"/>
  <c r="L11" i="20"/>
  <c r="J11" i="20"/>
  <c r="H11" i="20"/>
  <c r="F11" i="20"/>
  <c r="D11" i="20"/>
  <c r="B11" i="20"/>
  <c r="L8" i="20"/>
  <c r="J8" i="20"/>
  <c r="H8" i="20"/>
  <c r="F8" i="20"/>
  <c r="D8" i="20"/>
  <c r="B8" i="20"/>
  <c r="L7" i="20"/>
  <c r="J7" i="20"/>
  <c r="H7" i="20"/>
  <c r="F7" i="20"/>
  <c r="D7" i="20"/>
  <c r="B7" i="20"/>
  <c r="L6" i="20"/>
  <c r="J6" i="20"/>
  <c r="H6" i="20"/>
  <c r="F6" i="20"/>
  <c r="F34" i="20" s="1"/>
  <c r="D6" i="20"/>
  <c r="B6" i="20"/>
  <c r="L5" i="20"/>
  <c r="J5" i="20"/>
  <c r="H5" i="20"/>
  <c r="H34" i="20" s="1"/>
  <c r="F5" i="20"/>
  <c r="D5" i="20"/>
  <c r="B5" i="20"/>
  <c r="L31" i="19"/>
  <c r="J31" i="19"/>
  <c r="H31" i="19"/>
  <c r="F31" i="19"/>
  <c r="D31" i="19"/>
  <c r="B31" i="19"/>
  <c r="S33" i="19"/>
  <c r="R33" i="19"/>
  <c r="Q33" i="19"/>
  <c r="P33" i="19"/>
  <c r="N33" i="19"/>
  <c r="L32" i="19"/>
  <c r="J32" i="19"/>
  <c r="H32" i="19"/>
  <c r="F32" i="19"/>
  <c r="D32" i="19"/>
  <c r="B32" i="19"/>
  <c r="L30" i="19"/>
  <c r="J30" i="19"/>
  <c r="H30" i="19"/>
  <c r="F30" i="19"/>
  <c r="D30" i="19"/>
  <c r="B30" i="19"/>
  <c r="L29" i="19"/>
  <c r="J29" i="19"/>
  <c r="H29" i="19"/>
  <c r="F29" i="19"/>
  <c r="D29" i="19"/>
  <c r="B29" i="19"/>
  <c r="L25" i="19"/>
  <c r="J25" i="19"/>
  <c r="H25" i="19"/>
  <c r="F25" i="19"/>
  <c r="D25" i="19"/>
  <c r="B25" i="19"/>
  <c r="L24" i="19"/>
  <c r="J24" i="19"/>
  <c r="H24" i="19"/>
  <c r="F24" i="19"/>
  <c r="D24" i="19"/>
  <c r="B24" i="19"/>
  <c r="L23" i="19"/>
  <c r="J23" i="19"/>
  <c r="H23" i="19"/>
  <c r="F23" i="19"/>
  <c r="D23" i="19"/>
  <c r="B23" i="19"/>
  <c r="L22" i="19"/>
  <c r="J22" i="19"/>
  <c r="H22" i="19"/>
  <c r="F22" i="19"/>
  <c r="D22" i="19"/>
  <c r="B22" i="19"/>
  <c r="L21" i="19"/>
  <c r="J21" i="19"/>
  <c r="H21" i="19"/>
  <c r="F21" i="19"/>
  <c r="D21" i="19"/>
  <c r="B21" i="19"/>
  <c r="L18" i="19"/>
  <c r="J18" i="19"/>
  <c r="H18" i="19"/>
  <c r="F18" i="19"/>
  <c r="D18" i="19"/>
  <c r="B18" i="19"/>
  <c r="L16" i="19"/>
  <c r="J16" i="19"/>
  <c r="H16" i="19"/>
  <c r="F16" i="19"/>
  <c r="D16" i="19"/>
  <c r="B16" i="19"/>
  <c r="L15" i="19"/>
  <c r="J15" i="19"/>
  <c r="H15" i="19"/>
  <c r="F15" i="19"/>
  <c r="D15" i="19"/>
  <c r="B15" i="19"/>
  <c r="L14" i="19"/>
  <c r="J14" i="19"/>
  <c r="H14" i="19"/>
  <c r="F14" i="19"/>
  <c r="D14" i="19"/>
  <c r="B14" i="19"/>
  <c r="L10" i="19"/>
  <c r="J10" i="19"/>
  <c r="H10" i="19"/>
  <c r="F10" i="19"/>
  <c r="D10" i="19"/>
  <c r="B10" i="19"/>
  <c r="L9" i="19"/>
  <c r="J9" i="19"/>
  <c r="H9" i="19"/>
  <c r="F9" i="19"/>
  <c r="D9" i="19"/>
  <c r="B9" i="19"/>
  <c r="L8" i="19"/>
  <c r="L33" i="19" s="1"/>
  <c r="J8" i="19"/>
  <c r="H8" i="19"/>
  <c r="H33" i="19" s="1"/>
  <c r="F8" i="19"/>
  <c r="D8" i="19"/>
  <c r="D33" i="19" s="1"/>
  <c r="B8" i="19"/>
  <c r="N17" i="4"/>
  <c r="L35" i="21"/>
  <c r="F33" i="19"/>
  <c r="B33" i="19"/>
  <c r="H35" i="22"/>
  <c r="L35" i="22"/>
  <c r="D35" i="21"/>
  <c r="J34" i="20"/>
  <c r="L34" i="20"/>
  <c r="E34" i="18"/>
  <c r="M17" i="4" s="1"/>
  <c r="C34" i="18"/>
  <c r="M4" i="4" s="1"/>
  <c r="Q34" i="18"/>
  <c r="P34" i="18"/>
  <c r="M34" i="18"/>
  <c r="K34" i="18"/>
  <c r="I34" i="18"/>
  <c r="G34" i="18"/>
  <c r="M20" i="4" s="1"/>
  <c r="Q35" i="17"/>
  <c r="I35" i="17"/>
  <c r="L20" i="4" s="1"/>
  <c r="G35" i="17"/>
  <c r="E35" i="17"/>
  <c r="L17" i="4" s="1"/>
  <c r="L4" i="4" s="1"/>
  <c r="C35" i="17"/>
  <c r="B23" i="17"/>
  <c r="K5" i="4"/>
  <c r="L5" i="4"/>
  <c r="J5" i="4"/>
  <c r="V5" i="4" s="1"/>
  <c r="H5" i="4"/>
  <c r="M35" i="17"/>
  <c r="L13" i="4"/>
  <c r="D21" i="16"/>
  <c r="D22" i="16"/>
  <c r="D23" i="16"/>
  <c r="D20" i="16"/>
  <c r="R32" i="16"/>
  <c r="Q32" i="16"/>
  <c r="M32" i="16"/>
  <c r="K32" i="16"/>
  <c r="I32" i="16"/>
  <c r="G32" i="16"/>
  <c r="K20" i="4" s="1"/>
  <c r="C32" i="16"/>
  <c r="O32" i="16" s="1"/>
  <c r="K13" i="4"/>
  <c r="E32" i="16"/>
  <c r="K17" i="4"/>
  <c r="L33" i="18"/>
  <c r="J33" i="18"/>
  <c r="H33" i="18"/>
  <c r="F33" i="18"/>
  <c r="D33" i="18"/>
  <c r="B33" i="18"/>
  <c r="L32" i="18"/>
  <c r="J32" i="18"/>
  <c r="H32" i="18"/>
  <c r="F32" i="18"/>
  <c r="D32" i="18"/>
  <c r="B32" i="18"/>
  <c r="B34" i="18" s="1"/>
  <c r="L34" i="17"/>
  <c r="J34" i="17"/>
  <c r="H34" i="17"/>
  <c r="F34" i="17"/>
  <c r="D34" i="17"/>
  <c r="B34" i="17"/>
  <c r="L33" i="17"/>
  <c r="J33" i="17"/>
  <c r="H33" i="17"/>
  <c r="F33" i="17"/>
  <c r="D33" i="17"/>
  <c r="B33" i="17"/>
  <c r="S34" i="18"/>
  <c r="R34" i="18"/>
  <c r="N34" i="18"/>
  <c r="L27" i="18"/>
  <c r="J27" i="18"/>
  <c r="H27" i="18"/>
  <c r="F27" i="18"/>
  <c r="D27" i="18"/>
  <c r="B27" i="18"/>
  <c r="L26" i="18"/>
  <c r="J26" i="18"/>
  <c r="H26" i="18"/>
  <c r="F26" i="18"/>
  <c r="D26" i="18"/>
  <c r="B26" i="18"/>
  <c r="L25" i="18"/>
  <c r="J25" i="18"/>
  <c r="H25" i="18"/>
  <c r="F25" i="18"/>
  <c r="D25" i="18"/>
  <c r="B25" i="18"/>
  <c r="L24" i="18"/>
  <c r="J24" i="18"/>
  <c r="H24" i="18"/>
  <c r="F24" i="18"/>
  <c r="D24" i="18"/>
  <c r="B24" i="18"/>
  <c r="L23" i="18"/>
  <c r="J23" i="18"/>
  <c r="H23" i="18"/>
  <c r="F23" i="18"/>
  <c r="D23" i="18"/>
  <c r="B23" i="18"/>
  <c r="L20" i="18"/>
  <c r="J20" i="18"/>
  <c r="H20" i="18"/>
  <c r="F20" i="18"/>
  <c r="D20" i="18"/>
  <c r="B20" i="18"/>
  <c r="L19" i="18"/>
  <c r="J19" i="18"/>
  <c r="H19" i="18"/>
  <c r="F19" i="18"/>
  <c r="D19" i="18"/>
  <c r="B19" i="18"/>
  <c r="L18" i="18"/>
  <c r="J18" i="18"/>
  <c r="H18" i="18"/>
  <c r="F18" i="18"/>
  <c r="D18" i="18"/>
  <c r="B18" i="18"/>
  <c r="L17" i="18"/>
  <c r="J17" i="18"/>
  <c r="H17" i="18"/>
  <c r="F17" i="18"/>
  <c r="D17" i="18"/>
  <c r="B17" i="18"/>
  <c r="L16" i="18"/>
  <c r="J16" i="18"/>
  <c r="H16" i="18"/>
  <c r="F16" i="18"/>
  <c r="D16" i="18"/>
  <c r="B16" i="18"/>
  <c r="L13" i="18"/>
  <c r="J13" i="18"/>
  <c r="H13" i="18"/>
  <c r="F13" i="18"/>
  <c r="D13" i="18"/>
  <c r="B13" i="18"/>
  <c r="L12" i="18"/>
  <c r="J12" i="18"/>
  <c r="H12" i="18"/>
  <c r="F12" i="18"/>
  <c r="D12" i="18"/>
  <c r="B12" i="18"/>
  <c r="L11" i="18"/>
  <c r="J11" i="18"/>
  <c r="H11" i="18"/>
  <c r="F11" i="18"/>
  <c r="D11" i="18"/>
  <c r="B11" i="18"/>
  <c r="L10" i="18"/>
  <c r="J10" i="18"/>
  <c r="H10" i="18"/>
  <c r="F10" i="18"/>
  <c r="D10" i="18"/>
  <c r="B10" i="18"/>
  <c r="L6" i="18"/>
  <c r="J6" i="18"/>
  <c r="H6" i="18"/>
  <c r="F6" i="18"/>
  <c r="D6" i="18"/>
  <c r="B6" i="18"/>
  <c r="L5" i="18"/>
  <c r="L34" i="18" s="1"/>
  <c r="J5" i="18"/>
  <c r="H5" i="18"/>
  <c r="H34" i="18" s="1"/>
  <c r="F5" i="18"/>
  <c r="D5" i="18"/>
  <c r="B5" i="18"/>
  <c r="L4" i="18"/>
  <c r="J4" i="18"/>
  <c r="J34" i="18" s="1"/>
  <c r="H4" i="18"/>
  <c r="F4" i="18"/>
  <c r="F34" i="18" s="1"/>
  <c r="D4" i="18"/>
  <c r="D34" i="18" s="1"/>
  <c r="B4" i="18"/>
  <c r="L31" i="18"/>
  <c r="J31" i="18"/>
  <c r="H31" i="18"/>
  <c r="F31" i="18"/>
  <c r="D31" i="18"/>
  <c r="B31" i="18"/>
  <c r="L30" i="18"/>
  <c r="J30" i="18"/>
  <c r="H30" i="18"/>
  <c r="F30" i="18"/>
  <c r="D30" i="18"/>
  <c r="B30" i="18"/>
  <c r="S35" i="17"/>
  <c r="R35" i="17"/>
  <c r="P35" i="17"/>
  <c r="N35" i="17"/>
  <c r="K35" i="17"/>
  <c r="L30" i="17"/>
  <c r="J30" i="17"/>
  <c r="H30" i="17"/>
  <c r="F30" i="17"/>
  <c r="D30" i="17"/>
  <c r="B30" i="17"/>
  <c r="L29" i="17"/>
  <c r="J29" i="17"/>
  <c r="H29" i="17"/>
  <c r="F29" i="17"/>
  <c r="D29" i="17"/>
  <c r="B29" i="17"/>
  <c r="L28" i="17"/>
  <c r="J28" i="17"/>
  <c r="H28" i="17"/>
  <c r="F28" i="17"/>
  <c r="D28" i="17"/>
  <c r="B28" i="17"/>
  <c r="L27" i="17"/>
  <c r="J27" i="17"/>
  <c r="H27" i="17"/>
  <c r="F27" i="17"/>
  <c r="D27" i="17"/>
  <c r="B27" i="17"/>
  <c r="L26" i="17"/>
  <c r="J26" i="17"/>
  <c r="H26" i="17"/>
  <c r="F26" i="17"/>
  <c r="D26" i="17"/>
  <c r="B26" i="17"/>
  <c r="L23" i="17"/>
  <c r="J23" i="17"/>
  <c r="H23" i="17"/>
  <c r="F23" i="17"/>
  <c r="D23" i="17"/>
  <c r="L22" i="17"/>
  <c r="J22" i="17"/>
  <c r="H22" i="17"/>
  <c r="F22" i="17"/>
  <c r="D22" i="17"/>
  <c r="B22" i="17"/>
  <c r="L21" i="17"/>
  <c r="J21" i="17"/>
  <c r="H21" i="17"/>
  <c r="F21" i="17"/>
  <c r="D21" i="17"/>
  <c r="B21" i="17"/>
  <c r="L20" i="17"/>
  <c r="J20" i="17"/>
  <c r="H20" i="17"/>
  <c r="F20" i="17"/>
  <c r="F35" i="17" s="1"/>
  <c r="D20" i="17"/>
  <c r="B20" i="17"/>
  <c r="L19" i="17"/>
  <c r="J19" i="17"/>
  <c r="H19" i="17"/>
  <c r="F19" i="17"/>
  <c r="D19" i="17"/>
  <c r="B19" i="17"/>
  <c r="L16" i="17"/>
  <c r="H16" i="17"/>
  <c r="F16" i="17"/>
  <c r="D16" i="17"/>
  <c r="B16" i="17"/>
  <c r="L15" i="17"/>
  <c r="H15" i="17"/>
  <c r="F15" i="17"/>
  <c r="D15" i="17"/>
  <c r="B15" i="17"/>
  <c r="L14" i="17"/>
  <c r="J14" i="17"/>
  <c r="H14" i="17"/>
  <c r="F14" i="17"/>
  <c r="D14" i="17"/>
  <c r="B14" i="17"/>
  <c r="L13" i="17"/>
  <c r="J13" i="17"/>
  <c r="H13" i="17"/>
  <c r="F13" i="17"/>
  <c r="D13" i="17"/>
  <c r="B13" i="17"/>
  <c r="L12" i="17"/>
  <c r="J12" i="17"/>
  <c r="H12" i="17"/>
  <c r="F12" i="17"/>
  <c r="D12" i="17"/>
  <c r="B12" i="17"/>
  <c r="L9" i="17"/>
  <c r="J9" i="17"/>
  <c r="H9" i="17"/>
  <c r="F9" i="17"/>
  <c r="D9" i="17"/>
  <c r="B9" i="17"/>
  <c r="L8" i="17"/>
  <c r="J8" i="17"/>
  <c r="H8" i="17"/>
  <c r="F8" i="17"/>
  <c r="D8" i="17"/>
  <c r="B8" i="17"/>
  <c r="L7" i="17"/>
  <c r="J7" i="17"/>
  <c r="H7" i="17"/>
  <c r="F7" i="17"/>
  <c r="D7" i="17"/>
  <c r="B7" i="17"/>
  <c r="L6" i="17"/>
  <c r="J6" i="17"/>
  <c r="H6" i="17"/>
  <c r="F6" i="17"/>
  <c r="D6" i="17"/>
  <c r="B6" i="17"/>
  <c r="B35" i="17" s="1"/>
  <c r="L5" i="17"/>
  <c r="J5" i="17"/>
  <c r="J35" i="17" s="1"/>
  <c r="H5" i="17"/>
  <c r="H35" i="17" s="1"/>
  <c r="F5" i="17"/>
  <c r="D5" i="17"/>
  <c r="D35" i="17" s="1"/>
  <c r="B5" i="17"/>
  <c r="E35" i="15"/>
  <c r="O35" i="15" s="1"/>
  <c r="C35" i="15"/>
  <c r="L35" i="17"/>
  <c r="Q35" i="15"/>
  <c r="M35" i="15"/>
  <c r="K35" i="15"/>
  <c r="I35" i="15"/>
  <c r="G35" i="15"/>
  <c r="I12" i="4"/>
  <c r="I11" i="4"/>
  <c r="C35" i="14"/>
  <c r="S32" i="16"/>
  <c r="P32" i="16"/>
  <c r="N32" i="16"/>
  <c r="L30" i="16"/>
  <c r="J30" i="16"/>
  <c r="H30" i="16"/>
  <c r="F30" i="16"/>
  <c r="D30" i="16"/>
  <c r="B30" i="16"/>
  <c r="L29" i="16"/>
  <c r="J29" i="16"/>
  <c r="H29" i="16"/>
  <c r="F29" i="16"/>
  <c r="D29" i="16"/>
  <c r="B29" i="16"/>
  <c r="L28" i="16"/>
  <c r="J28" i="16"/>
  <c r="H28" i="16"/>
  <c r="F28" i="16"/>
  <c r="D28" i="16"/>
  <c r="B28" i="16"/>
  <c r="L27" i="16"/>
  <c r="J27" i="16"/>
  <c r="H27" i="16"/>
  <c r="F27" i="16"/>
  <c r="D27" i="16"/>
  <c r="B27" i="16"/>
  <c r="L26" i="16"/>
  <c r="J26" i="16"/>
  <c r="H26" i="16"/>
  <c r="F26" i="16"/>
  <c r="D26" i="16"/>
  <c r="B26" i="16"/>
  <c r="L23" i="16"/>
  <c r="J23" i="16"/>
  <c r="H23" i="16"/>
  <c r="F23" i="16"/>
  <c r="B23" i="16"/>
  <c r="L22" i="16"/>
  <c r="J22" i="16"/>
  <c r="H22" i="16"/>
  <c r="F22" i="16"/>
  <c r="B22" i="16"/>
  <c r="L21" i="16"/>
  <c r="J21" i="16"/>
  <c r="H21" i="16"/>
  <c r="F21" i="16"/>
  <c r="B21" i="16"/>
  <c r="L20" i="16"/>
  <c r="J20" i="16"/>
  <c r="H20" i="16"/>
  <c r="F20" i="16"/>
  <c r="B20" i="16"/>
  <c r="L19" i="16"/>
  <c r="J19" i="16"/>
  <c r="H19" i="16"/>
  <c r="F19" i="16"/>
  <c r="D19" i="16"/>
  <c r="B19" i="16"/>
  <c r="L16" i="16"/>
  <c r="J16" i="16"/>
  <c r="H16" i="16"/>
  <c r="F16" i="16"/>
  <c r="D16" i="16"/>
  <c r="B16" i="16"/>
  <c r="L15" i="16"/>
  <c r="J15" i="16"/>
  <c r="H15" i="16"/>
  <c r="F15" i="16"/>
  <c r="D15" i="16"/>
  <c r="B15" i="16"/>
  <c r="L14" i="16"/>
  <c r="J14" i="16"/>
  <c r="H14" i="16"/>
  <c r="F14" i="16"/>
  <c r="D14" i="16"/>
  <c r="B14" i="16"/>
  <c r="L13" i="16"/>
  <c r="J13" i="16"/>
  <c r="H13" i="16"/>
  <c r="F13" i="16"/>
  <c r="D13" i="16"/>
  <c r="B13" i="16"/>
  <c r="L12" i="16"/>
  <c r="J12" i="16"/>
  <c r="H12" i="16"/>
  <c r="F12" i="16"/>
  <c r="D12" i="16"/>
  <c r="B12" i="16"/>
  <c r="L9" i="16"/>
  <c r="J9" i="16"/>
  <c r="H9" i="16"/>
  <c r="F9" i="16"/>
  <c r="D9" i="16"/>
  <c r="B9" i="16"/>
  <c r="L8" i="16"/>
  <c r="J8" i="16"/>
  <c r="H8" i="16"/>
  <c r="F8" i="16"/>
  <c r="D8" i="16"/>
  <c r="B8" i="16"/>
  <c r="L7" i="16"/>
  <c r="J7" i="16"/>
  <c r="H7" i="16"/>
  <c r="F7" i="16"/>
  <c r="D7" i="16"/>
  <c r="B7" i="16"/>
  <c r="L6" i="16"/>
  <c r="J6" i="16"/>
  <c r="H6" i="16"/>
  <c r="F6" i="16"/>
  <c r="D6" i="16"/>
  <c r="B6" i="16"/>
  <c r="L5" i="16"/>
  <c r="L32" i="16" s="1"/>
  <c r="J5" i="16"/>
  <c r="J32" i="16" s="1"/>
  <c r="H5" i="16"/>
  <c r="F5" i="16"/>
  <c r="F32" i="16" s="1"/>
  <c r="D5" i="16"/>
  <c r="D32" i="16"/>
  <c r="B5" i="16"/>
  <c r="B32" i="16" s="1"/>
  <c r="Q35" i="14"/>
  <c r="H13" i="4" s="1"/>
  <c r="M35" i="14"/>
  <c r="K35" i="14"/>
  <c r="I35" i="14"/>
  <c r="G35" i="14"/>
  <c r="E35" i="14"/>
  <c r="O35" i="14" s="1"/>
  <c r="H32" i="16"/>
  <c r="H20" i="4"/>
  <c r="Q34" i="12"/>
  <c r="G5" i="4"/>
  <c r="D5" i="4"/>
  <c r="E5" i="4"/>
  <c r="F5" i="4"/>
  <c r="C5" i="4"/>
  <c r="I5" i="4"/>
  <c r="I35" i="11"/>
  <c r="C35" i="11"/>
  <c r="E35" i="11"/>
  <c r="B9" i="11"/>
  <c r="G35" i="11"/>
  <c r="F25" i="15"/>
  <c r="H25" i="15"/>
  <c r="J25" i="15"/>
  <c r="L25" i="15"/>
  <c r="V16" i="4"/>
  <c r="V21" i="4"/>
  <c r="V18" i="4"/>
  <c r="V14" i="4"/>
  <c r="L31" i="15"/>
  <c r="J31" i="15"/>
  <c r="H31" i="15"/>
  <c r="F31" i="15"/>
  <c r="D31" i="15"/>
  <c r="B31" i="15"/>
  <c r="L30" i="15"/>
  <c r="J30" i="15"/>
  <c r="H30" i="15"/>
  <c r="F30" i="15"/>
  <c r="D30" i="15"/>
  <c r="B30" i="15"/>
  <c r="L29" i="15"/>
  <c r="J29" i="15"/>
  <c r="H29" i="15"/>
  <c r="F29" i="15"/>
  <c r="D29" i="15"/>
  <c r="B29" i="15"/>
  <c r="B25" i="15"/>
  <c r="D25" i="15"/>
  <c r="S35" i="15"/>
  <c r="R35" i="15"/>
  <c r="P35" i="15"/>
  <c r="N35" i="15"/>
  <c r="L33" i="15"/>
  <c r="J33" i="15"/>
  <c r="H33" i="15"/>
  <c r="F33" i="15"/>
  <c r="D33" i="15"/>
  <c r="B33" i="15"/>
  <c r="L32" i="15"/>
  <c r="J32" i="15"/>
  <c r="H32" i="15"/>
  <c r="F32" i="15"/>
  <c r="D32" i="15"/>
  <c r="B32" i="15"/>
  <c r="L26" i="15"/>
  <c r="J26" i="15"/>
  <c r="H26" i="15"/>
  <c r="F26" i="15"/>
  <c r="D26" i="15"/>
  <c r="B26" i="15"/>
  <c r="L24" i="15"/>
  <c r="J24" i="15"/>
  <c r="H24" i="15"/>
  <c r="F24" i="15"/>
  <c r="D24" i="15"/>
  <c r="B24" i="15"/>
  <c r="L23" i="15"/>
  <c r="J23" i="15"/>
  <c r="H23" i="15"/>
  <c r="F23" i="15"/>
  <c r="D23" i="15"/>
  <c r="B23" i="15"/>
  <c r="L22" i="15"/>
  <c r="J22" i="15"/>
  <c r="H22" i="15"/>
  <c r="F22" i="15"/>
  <c r="D22" i="15"/>
  <c r="B22" i="15"/>
  <c r="L19" i="15"/>
  <c r="J19" i="15"/>
  <c r="H19" i="15"/>
  <c r="F19" i="15"/>
  <c r="D19" i="15"/>
  <c r="B19" i="15"/>
  <c r="L18" i="15"/>
  <c r="J18" i="15"/>
  <c r="H18" i="15"/>
  <c r="F18" i="15"/>
  <c r="D18" i="15"/>
  <c r="B18" i="15"/>
  <c r="L17" i="15"/>
  <c r="J17" i="15"/>
  <c r="H17" i="15"/>
  <c r="F17" i="15"/>
  <c r="D17" i="15"/>
  <c r="B17" i="15"/>
  <c r="L16" i="15"/>
  <c r="J16" i="15"/>
  <c r="H16" i="15"/>
  <c r="F16" i="15"/>
  <c r="D16" i="15"/>
  <c r="B16" i="15"/>
  <c r="L15" i="15"/>
  <c r="J15" i="15"/>
  <c r="H15" i="15"/>
  <c r="F15" i="15"/>
  <c r="D15" i="15"/>
  <c r="B15" i="15"/>
  <c r="L12" i="15"/>
  <c r="J12" i="15"/>
  <c r="H12" i="15"/>
  <c r="F12" i="15"/>
  <c r="D12" i="15"/>
  <c r="B12" i="15"/>
  <c r="L11" i="15"/>
  <c r="J11" i="15"/>
  <c r="H11" i="15"/>
  <c r="F11" i="15"/>
  <c r="D11" i="15"/>
  <c r="B11" i="15"/>
  <c r="L10" i="15"/>
  <c r="J10" i="15"/>
  <c r="H10" i="15"/>
  <c r="F10" i="15"/>
  <c r="D10" i="15"/>
  <c r="B10" i="15"/>
  <c r="L9" i="15"/>
  <c r="J9" i="15"/>
  <c r="H9" i="15"/>
  <c r="F9" i="15"/>
  <c r="D9" i="15"/>
  <c r="B9" i="15"/>
  <c r="L8" i="15"/>
  <c r="J8" i="15"/>
  <c r="J35" i="15" s="1"/>
  <c r="H8" i="15"/>
  <c r="F8" i="15"/>
  <c r="D8" i="15"/>
  <c r="B8" i="15"/>
  <c r="L5" i="15"/>
  <c r="J5" i="15"/>
  <c r="H5" i="15"/>
  <c r="F5" i="15"/>
  <c r="D5" i="15"/>
  <c r="B5" i="15"/>
  <c r="I14" i="4"/>
  <c r="I18" i="4"/>
  <c r="I21" i="4"/>
  <c r="I16" i="4"/>
  <c r="T4" i="4"/>
  <c r="U4" i="4"/>
  <c r="S4" i="4"/>
  <c r="L34" i="14"/>
  <c r="J34" i="14"/>
  <c r="H34" i="14"/>
  <c r="F34" i="14"/>
  <c r="D34" i="14"/>
  <c r="B34" i="14"/>
  <c r="L33" i="14"/>
  <c r="J33" i="14"/>
  <c r="H33" i="14"/>
  <c r="F33" i="14"/>
  <c r="D33" i="14"/>
  <c r="B33" i="14"/>
  <c r="L32" i="14"/>
  <c r="J32" i="14"/>
  <c r="H32" i="14"/>
  <c r="F32" i="14"/>
  <c r="D32" i="14"/>
  <c r="B32" i="14"/>
  <c r="S35" i="14"/>
  <c r="R35" i="14"/>
  <c r="P35" i="14"/>
  <c r="N35" i="14"/>
  <c r="L29" i="14"/>
  <c r="J29" i="14"/>
  <c r="H29" i="14"/>
  <c r="F29" i="14"/>
  <c r="D29" i="14"/>
  <c r="B29" i="14"/>
  <c r="L27" i="14"/>
  <c r="J27" i="14"/>
  <c r="H27" i="14"/>
  <c r="F27" i="14"/>
  <c r="D27" i="14"/>
  <c r="B27" i="14"/>
  <c r="L26" i="14"/>
  <c r="J26" i="14"/>
  <c r="H26" i="14"/>
  <c r="F26" i="14"/>
  <c r="D26" i="14"/>
  <c r="B26" i="14"/>
  <c r="L25" i="14"/>
  <c r="J25" i="14"/>
  <c r="H25" i="14"/>
  <c r="F25" i="14"/>
  <c r="D25" i="14"/>
  <c r="B25" i="14"/>
  <c r="L22" i="14"/>
  <c r="J22" i="14"/>
  <c r="H22" i="14"/>
  <c r="F22" i="14"/>
  <c r="D22" i="14"/>
  <c r="B22" i="14"/>
  <c r="L21" i="14"/>
  <c r="J21" i="14"/>
  <c r="H21" i="14"/>
  <c r="F21" i="14"/>
  <c r="D21" i="14"/>
  <c r="B21" i="14"/>
  <c r="L20" i="14"/>
  <c r="J20" i="14"/>
  <c r="H20" i="14"/>
  <c r="F20" i="14"/>
  <c r="D20" i="14"/>
  <c r="B20" i="14"/>
  <c r="L19" i="14"/>
  <c r="J19" i="14"/>
  <c r="H19" i="14"/>
  <c r="F19" i="14"/>
  <c r="D19" i="14"/>
  <c r="B19" i="14"/>
  <c r="L18" i="14"/>
  <c r="J18" i="14"/>
  <c r="H18" i="14"/>
  <c r="F18" i="14"/>
  <c r="D18" i="14"/>
  <c r="B18" i="14"/>
  <c r="L15" i="14"/>
  <c r="J15" i="14"/>
  <c r="H15" i="14"/>
  <c r="F15" i="14"/>
  <c r="D15" i="14"/>
  <c r="B15" i="14"/>
  <c r="L14" i="14"/>
  <c r="J14" i="14"/>
  <c r="H14" i="14"/>
  <c r="F14" i="14"/>
  <c r="D14" i="14"/>
  <c r="B14" i="14"/>
  <c r="L13" i="14"/>
  <c r="J13" i="14"/>
  <c r="H13" i="14"/>
  <c r="F13" i="14"/>
  <c r="D13" i="14"/>
  <c r="B13" i="14"/>
  <c r="L12" i="14"/>
  <c r="J12" i="14"/>
  <c r="H12" i="14"/>
  <c r="F12" i="14"/>
  <c r="D12" i="14"/>
  <c r="B12" i="14"/>
  <c r="L11" i="14"/>
  <c r="J11" i="14"/>
  <c r="H11" i="14"/>
  <c r="F11" i="14"/>
  <c r="D11" i="14"/>
  <c r="B11" i="14"/>
  <c r="L8" i="14"/>
  <c r="J8" i="14"/>
  <c r="H8" i="14"/>
  <c r="F8" i="14"/>
  <c r="D8" i="14"/>
  <c r="B8" i="14"/>
  <c r="L7" i="14"/>
  <c r="J7" i="14"/>
  <c r="H7" i="14"/>
  <c r="F7" i="14"/>
  <c r="D7" i="14"/>
  <c r="B7" i="14"/>
  <c r="L6" i="14"/>
  <c r="J6" i="14"/>
  <c r="H6" i="14"/>
  <c r="F6" i="14"/>
  <c r="D6" i="14"/>
  <c r="B6" i="14"/>
  <c r="L5" i="14"/>
  <c r="J5" i="14"/>
  <c r="H5" i="14"/>
  <c r="F5" i="14"/>
  <c r="D5" i="14"/>
  <c r="B5" i="14"/>
  <c r="L4" i="14"/>
  <c r="J4" i="14"/>
  <c r="J35" i="14" s="1"/>
  <c r="H4" i="14"/>
  <c r="F4" i="14"/>
  <c r="F35" i="14" s="1"/>
  <c r="D4" i="14"/>
  <c r="B4" i="14"/>
  <c r="B35" i="14" s="1"/>
  <c r="L33" i="11"/>
  <c r="J33" i="11"/>
  <c r="H33" i="11"/>
  <c r="F33" i="11"/>
  <c r="D33" i="11"/>
  <c r="B33" i="11"/>
  <c r="L32" i="11"/>
  <c r="J32" i="11"/>
  <c r="H32" i="11"/>
  <c r="F32" i="11"/>
  <c r="D32" i="11"/>
  <c r="B32" i="11"/>
  <c r="L31" i="12"/>
  <c r="J31" i="12"/>
  <c r="H31" i="12"/>
  <c r="F31" i="12"/>
  <c r="D31" i="12"/>
  <c r="B31" i="12"/>
  <c r="L30" i="12"/>
  <c r="J30" i="12"/>
  <c r="H30" i="12"/>
  <c r="F30" i="12"/>
  <c r="D30" i="12"/>
  <c r="B30" i="12"/>
  <c r="F29" i="12"/>
  <c r="L28" i="11"/>
  <c r="J28" i="11"/>
  <c r="H28" i="11"/>
  <c r="F28" i="11"/>
  <c r="D28" i="11"/>
  <c r="B28" i="11"/>
  <c r="L21" i="11"/>
  <c r="J21" i="11"/>
  <c r="H21" i="11"/>
  <c r="F21" i="11"/>
  <c r="D21" i="11"/>
  <c r="B21" i="11"/>
  <c r="L14" i="11"/>
  <c r="J14" i="11"/>
  <c r="H14" i="11"/>
  <c r="F14" i="11"/>
  <c r="D14" i="11"/>
  <c r="B14" i="11"/>
  <c r="L7" i="11"/>
  <c r="J7" i="11"/>
  <c r="H7" i="11"/>
  <c r="F7" i="11"/>
  <c r="D7" i="11"/>
  <c r="B7" i="11"/>
  <c r="B8" i="11"/>
  <c r="D8" i="11"/>
  <c r="F8" i="11"/>
  <c r="H8" i="11"/>
  <c r="J8" i="11"/>
  <c r="L8" i="11"/>
  <c r="B15" i="11"/>
  <c r="D15" i="11"/>
  <c r="F15" i="11"/>
  <c r="H15" i="11"/>
  <c r="J15" i="11"/>
  <c r="L15" i="11"/>
  <c r="B22" i="11"/>
  <c r="D22" i="11"/>
  <c r="F22" i="11"/>
  <c r="H22" i="11"/>
  <c r="J22" i="11"/>
  <c r="L22" i="11"/>
  <c r="B29" i="11"/>
  <c r="D29" i="11"/>
  <c r="F29" i="11"/>
  <c r="H29" i="11"/>
  <c r="J29" i="11"/>
  <c r="L29" i="11"/>
  <c r="L29" i="12"/>
  <c r="J29" i="12"/>
  <c r="H29" i="12"/>
  <c r="D29" i="12"/>
  <c r="B29" i="12"/>
  <c r="L28" i="12"/>
  <c r="J28" i="12"/>
  <c r="H28" i="12"/>
  <c r="F28" i="12"/>
  <c r="F34" i="12" s="1"/>
  <c r="D28" i="12"/>
  <c r="B28" i="12"/>
  <c r="B34" i="12" s="1"/>
  <c r="S34" i="12"/>
  <c r="R34" i="12"/>
  <c r="P34" i="12"/>
  <c r="N34" i="12"/>
  <c r="M34" i="12"/>
  <c r="K34" i="12"/>
  <c r="I34" i="12"/>
  <c r="G34" i="12"/>
  <c r="G20" i="4" s="1"/>
  <c r="E34" i="12"/>
  <c r="G17" i="4"/>
  <c r="G4" i="4" s="1"/>
  <c r="C34" i="12"/>
  <c r="L27" i="12"/>
  <c r="J27" i="12"/>
  <c r="H27" i="12"/>
  <c r="F27" i="12"/>
  <c r="D27" i="12"/>
  <c r="B27" i="12"/>
  <c r="L24" i="12"/>
  <c r="J24" i="12"/>
  <c r="H24" i="12"/>
  <c r="F24" i="12"/>
  <c r="D24" i="12"/>
  <c r="B24" i="12"/>
  <c r="L23" i="12"/>
  <c r="J23" i="12"/>
  <c r="H23" i="12"/>
  <c r="F23" i="12"/>
  <c r="D23" i="12"/>
  <c r="B23" i="12"/>
  <c r="L22" i="12"/>
  <c r="J22" i="12"/>
  <c r="H22" i="12"/>
  <c r="F22" i="12"/>
  <c r="D22" i="12"/>
  <c r="B22" i="12"/>
  <c r="L21" i="12"/>
  <c r="J21" i="12"/>
  <c r="H21" i="12"/>
  <c r="F21" i="12"/>
  <c r="D21" i="12"/>
  <c r="B21" i="12"/>
  <c r="L20" i="12"/>
  <c r="J20" i="12"/>
  <c r="H20" i="12"/>
  <c r="F20" i="12"/>
  <c r="D20" i="12"/>
  <c r="B20" i="12"/>
  <c r="L17" i="12"/>
  <c r="J17" i="12"/>
  <c r="H17" i="12"/>
  <c r="F17" i="12"/>
  <c r="D17" i="12"/>
  <c r="B17" i="12"/>
  <c r="L16" i="12"/>
  <c r="J16" i="12"/>
  <c r="H16" i="12"/>
  <c r="F16" i="12"/>
  <c r="D16" i="12"/>
  <c r="B16" i="12"/>
  <c r="L15" i="12"/>
  <c r="J15" i="12"/>
  <c r="H15" i="12"/>
  <c r="F15" i="12"/>
  <c r="D15" i="12"/>
  <c r="B15" i="12"/>
  <c r="L13" i="12"/>
  <c r="J13" i="12"/>
  <c r="H13" i="12"/>
  <c r="F13" i="12"/>
  <c r="D13" i="12"/>
  <c r="B13" i="12"/>
  <c r="L10" i="12"/>
  <c r="J10" i="12"/>
  <c r="H10" i="12"/>
  <c r="F10" i="12"/>
  <c r="D10" i="12"/>
  <c r="B10" i="12"/>
  <c r="L9" i="12"/>
  <c r="J9" i="12"/>
  <c r="H9" i="12"/>
  <c r="F9" i="12"/>
  <c r="D9" i="12"/>
  <c r="B9" i="12"/>
  <c r="L8" i="12"/>
  <c r="J8" i="12"/>
  <c r="H8" i="12"/>
  <c r="F8" i="12"/>
  <c r="D8" i="12"/>
  <c r="B8" i="12"/>
  <c r="L7" i="12"/>
  <c r="J7" i="12"/>
  <c r="J34" i="12" s="1"/>
  <c r="H7" i="12"/>
  <c r="H34" i="12" s="1"/>
  <c r="F7" i="12"/>
  <c r="D7" i="12"/>
  <c r="D34" i="12" s="1"/>
  <c r="B7" i="12"/>
  <c r="L6" i="12"/>
  <c r="L34" i="12" s="1"/>
  <c r="J6" i="12"/>
  <c r="H6" i="12"/>
  <c r="F6" i="12"/>
  <c r="D6" i="12"/>
  <c r="B6" i="12"/>
  <c r="L31" i="11"/>
  <c r="J31" i="11"/>
  <c r="H31" i="11"/>
  <c r="F31" i="11"/>
  <c r="D31" i="11"/>
  <c r="B31" i="11"/>
  <c r="L30" i="11"/>
  <c r="J30" i="11"/>
  <c r="H30" i="11"/>
  <c r="F30" i="11"/>
  <c r="D30" i="11"/>
  <c r="B30" i="11"/>
  <c r="S35" i="11"/>
  <c r="R35" i="11"/>
  <c r="Q35" i="11"/>
  <c r="F17" i="4" s="1"/>
  <c r="P35" i="11"/>
  <c r="N35" i="11"/>
  <c r="M35" i="11"/>
  <c r="K35" i="11"/>
  <c r="O35" i="11" s="1"/>
  <c r="L34" i="11"/>
  <c r="J34" i="11"/>
  <c r="H34" i="11"/>
  <c r="F34" i="11"/>
  <c r="D34" i="11"/>
  <c r="B34" i="11"/>
  <c r="L27" i="11"/>
  <c r="J27" i="11"/>
  <c r="H27" i="11"/>
  <c r="F27" i="11"/>
  <c r="D27" i="11"/>
  <c r="B27" i="11"/>
  <c r="L26" i="11"/>
  <c r="J26" i="11"/>
  <c r="H26" i="11"/>
  <c r="F26" i="11"/>
  <c r="D26" i="11"/>
  <c r="B26" i="11"/>
  <c r="L25" i="11"/>
  <c r="J25" i="11"/>
  <c r="H25" i="11"/>
  <c r="F25" i="11"/>
  <c r="D25" i="11"/>
  <c r="B25" i="11"/>
  <c r="L24" i="11"/>
  <c r="J24" i="11"/>
  <c r="H24" i="11"/>
  <c r="F24" i="11"/>
  <c r="D24" i="11"/>
  <c r="B24" i="11"/>
  <c r="L23" i="11"/>
  <c r="J23" i="11"/>
  <c r="H23" i="11"/>
  <c r="F23" i="11"/>
  <c r="D23" i="11"/>
  <c r="B23" i="11"/>
  <c r="L20" i="11"/>
  <c r="J20" i="11"/>
  <c r="H20" i="11"/>
  <c r="F20" i="11"/>
  <c r="D20" i="11"/>
  <c r="B20" i="11"/>
  <c r="L19" i="11"/>
  <c r="J19" i="11"/>
  <c r="H19" i="11"/>
  <c r="F19" i="11"/>
  <c r="D19" i="11"/>
  <c r="B19" i="11"/>
  <c r="L18" i="11"/>
  <c r="J18" i="11"/>
  <c r="H18" i="11"/>
  <c r="F18" i="11"/>
  <c r="D18" i="11"/>
  <c r="B18" i="11"/>
  <c r="L17" i="11"/>
  <c r="J17" i="11"/>
  <c r="H17" i="11"/>
  <c r="F17" i="11"/>
  <c r="D17" i="11"/>
  <c r="B17" i="11"/>
  <c r="L16" i="11"/>
  <c r="J16" i="11"/>
  <c r="H16" i="11"/>
  <c r="F16" i="11"/>
  <c r="D16" i="11"/>
  <c r="B16" i="11"/>
  <c r="L13" i="11"/>
  <c r="J13" i="11"/>
  <c r="H13" i="11"/>
  <c r="F13" i="11"/>
  <c r="D13" i="11"/>
  <c r="B13" i="11"/>
  <c r="L12" i="11"/>
  <c r="J12" i="11"/>
  <c r="H12" i="11"/>
  <c r="F12" i="11"/>
  <c r="D12" i="11"/>
  <c r="B12" i="11"/>
  <c r="L11" i="11"/>
  <c r="J11" i="11"/>
  <c r="H11" i="11"/>
  <c r="F11" i="11"/>
  <c r="D11" i="11"/>
  <c r="B11" i="11"/>
  <c r="B35" i="11" s="1"/>
  <c r="L10" i="11"/>
  <c r="J10" i="11"/>
  <c r="H10" i="11"/>
  <c r="F10" i="11"/>
  <c r="D10" i="11"/>
  <c r="B10" i="11"/>
  <c r="L9" i="11"/>
  <c r="J9" i="11"/>
  <c r="H9" i="11"/>
  <c r="F9" i="11"/>
  <c r="F35" i="11" s="1"/>
  <c r="D9" i="11"/>
  <c r="L6" i="11"/>
  <c r="J6" i="11"/>
  <c r="H6" i="11"/>
  <c r="F6" i="11"/>
  <c r="D6" i="11"/>
  <c r="B6" i="11"/>
  <c r="L5" i="11"/>
  <c r="J5" i="11"/>
  <c r="J35" i="11" s="1"/>
  <c r="H5" i="11"/>
  <c r="H35" i="11" s="1"/>
  <c r="F5" i="11"/>
  <c r="D5" i="11"/>
  <c r="B5" i="11"/>
  <c r="L4" i="11"/>
  <c r="J4" i="11"/>
  <c r="H4" i="11"/>
  <c r="F4" i="11"/>
  <c r="D4" i="11"/>
  <c r="B4" i="11"/>
  <c r="E34" i="10"/>
  <c r="O34" i="12"/>
  <c r="B35" i="15"/>
  <c r="D35" i="15"/>
  <c r="H35" i="14"/>
  <c r="F35" i="15"/>
  <c r="L35" i="15"/>
  <c r="H35" i="15"/>
  <c r="L35" i="14"/>
  <c r="D35" i="14"/>
  <c r="D35" i="11"/>
  <c r="L35" i="11"/>
  <c r="I34" i="10"/>
  <c r="C34" i="10"/>
  <c r="E35" i="9"/>
  <c r="C35" i="9"/>
  <c r="D13" i="4" s="1"/>
  <c r="P35" i="9"/>
  <c r="Q35" i="9"/>
  <c r="D17" i="4" s="1"/>
  <c r="M34" i="9"/>
  <c r="M33" i="9"/>
  <c r="L33" i="9" s="1"/>
  <c r="I35" i="9"/>
  <c r="G35" i="9"/>
  <c r="B4" i="9"/>
  <c r="B26" i="10"/>
  <c r="B27" i="10"/>
  <c r="B28" i="10"/>
  <c r="B29" i="10"/>
  <c r="B30" i="10"/>
  <c r="L31" i="10"/>
  <c r="J31" i="10"/>
  <c r="H31" i="10"/>
  <c r="H34" i="10" s="1"/>
  <c r="F31" i="10"/>
  <c r="D31" i="10"/>
  <c r="B31" i="10"/>
  <c r="L30" i="10"/>
  <c r="J30" i="10"/>
  <c r="H30" i="10"/>
  <c r="F30" i="10"/>
  <c r="D30" i="10"/>
  <c r="L29" i="10"/>
  <c r="J29" i="10"/>
  <c r="H29" i="10"/>
  <c r="F29" i="10"/>
  <c r="D29" i="10"/>
  <c r="L28" i="10"/>
  <c r="J28" i="10"/>
  <c r="H28" i="10"/>
  <c r="F28" i="10"/>
  <c r="D28" i="10"/>
  <c r="L27" i="10"/>
  <c r="J27" i="10"/>
  <c r="H27" i="10"/>
  <c r="F27" i="10"/>
  <c r="D27" i="10"/>
  <c r="L26" i="10"/>
  <c r="J26" i="10"/>
  <c r="H26" i="10"/>
  <c r="F26" i="10"/>
  <c r="D26" i="10"/>
  <c r="L25" i="10"/>
  <c r="J25" i="10"/>
  <c r="H25" i="10"/>
  <c r="F25" i="10"/>
  <c r="D25" i="10"/>
  <c r="B25" i="10"/>
  <c r="S34" i="10"/>
  <c r="R34" i="10"/>
  <c r="Q34" i="10"/>
  <c r="P34" i="10"/>
  <c r="N34" i="10"/>
  <c r="M34" i="10"/>
  <c r="K34" i="10"/>
  <c r="G34" i="10"/>
  <c r="L33" i="10"/>
  <c r="J33" i="10"/>
  <c r="H33" i="10"/>
  <c r="F33" i="10"/>
  <c r="D33" i="10"/>
  <c r="B33" i="10"/>
  <c r="L32" i="10"/>
  <c r="J32" i="10"/>
  <c r="H32" i="10"/>
  <c r="F32" i="10"/>
  <c r="D32" i="10"/>
  <c r="B32" i="10"/>
  <c r="L24" i="10"/>
  <c r="J24" i="10"/>
  <c r="H24" i="10"/>
  <c r="F24" i="10"/>
  <c r="D24" i="10"/>
  <c r="B24" i="10"/>
  <c r="L23" i="10"/>
  <c r="J23" i="10"/>
  <c r="H23" i="10"/>
  <c r="F23" i="10"/>
  <c r="D23" i="10"/>
  <c r="B23" i="10"/>
  <c r="L22" i="10"/>
  <c r="J22" i="10"/>
  <c r="H22" i="10"/>
  <c r="F22" i="10"/>
  <c r="D22" i="10"/>
  <c r="B22" i="10"/>
  <c r="L21" i="10"/>
  <c r="J21" i="10"/>
  <c r="H21" i="10"/>
  <c r="F21" i="10"/>
  <c r="D21" i="10"/>
  <c r="B21" i="10"/>
  <c r="L20" i="10"/>
  <c r="J20" i="10"/>
  <c r="H20" i="10"/>
  <c r="F20" i="10"/>
  <c r="D20" i="10"/>
  <c r="B20" i="10"/>
  <c r="L19" i="10"/>
  <c r="J19" i="10"/>
  <c r="H19" i="10"/>
  <c r="F19" i="10"/>
  <c r="D19" i="10"/>
  <c r="B19" i="10"/>
  <c r="L18" i="10"/>
  <c r="J18" i="10"/>
  <c r="H18" i="10"/>
  <c r="F18" i="10"/>
  <c r="D18" i="10"/>
  <c r="B18" i="10"/>
  <c r="L17" i="10"/>
  <c r="J17" i="10"/>
  <c r="H17" i="10"/>
  <c r="F17" i="10"/>
  <c r="D17" i="10"/>
  <c r="B17" i="10"/>
  <c r="L16" i="10"/>
  <c r="J16" i="10"/>
  <c r="H16" i="10"/>
  <c r="F16" i="10"/>
  <c r="D16" i="10"/>
  <c r="B16" i="10"/>
  <c r="L15" i="10"/>
  <c r="J15" i="10"/>
  <c r="H15" i="10"/>
  <c r="F15" i="10"/>
  <c r="D15" i="10"/>
  <c r="B15" i="10"/>
  <c r="L14" i="10"/>
  <c r="J14" i="10"/>
  <c r="H14" i="10"/>
  <c r="F14" i="10"/>
  <c r="D14" i="10"/>
  <c r="B14" i="10"/>
  <c r="L13" i="10"/>
  <c r="J13" i="10"/>
  <c r="H13" i="10"/>
  <c r="F13" i="10"/>
  <c r="D13" i="10"/>
  <c r="B13" i="10"/>
  <c r="L12" i="10"/>
  <c r="J12" i="10"/>
  <c r="H12" i="10"/>
  <c r="F12" i="10"/>
  <c r="D12" i="10"/>
  <c r="B12" i="10"/>
  <c r="L11" i="10"/>
  <c r="J11" i="10"/>
  <c r="H11" i="10"/>
  <c r="F11" i="10"/>
  <c r="D11" i="10"/>
  <c r="B11" i="10"/>
  <c r="L10" i="10"/>
  <c r="J10" i="10"/>
  <c r="H10" i="10"/>
  <c r="F10" i="10"/>
  <c r="D10" i="10"/>
  <c r="B10" i="10"/>
  <c r="L9" i="10"/>
  <c r="J9" i="10"/>
  <c r="H9" i="10"/>
  <c r="F9" i="10"/>
  <c r="D9" i="10"/>
  <c r="B9" i="10"/>
  <c r="L8" i="10"/>
  <c r="J8" i="10"/>
  <c r="H8" i="10"/>
  <c r="F8" i="10"/>
  <c r="D8" i="10"/>
  <c r="B8" i="10"/>
  <c r="L7" i="10"/>
  <c r="J7" i="10"/>
  <c r="H7" i="10"/>
  <c r="F7" i="10"/>
  <c r="D7" i="10"/>
  <c r="B7" i="10"/>
  <c r="L6" i="10"/>
  <c r="L34" i="10" s="1"/>
  <c r="J6" i="10"/>
  <c r="J34" i="10" s="1"/>
  <c r="H6" i="10"/>
  <c r="F6" i="10"/>
  <c r="D6" i="10"/>
  <c r="B6" i="10"/>
  <c r="L5" i="10"/>
  <c r="J5" i="10"/>
  <c r="H5" i="10"/>
  <c r="F5" i="10"/>
  <c r="D5" i="10"/>
  <c r="B5" i="10"/>
  <c r="H4" i="10"/>
  <c r="F4" i="10"/>
  <c r="F34" i="10" s="1"/>
  <c r="D4" i="10"/>
  <c r="B4" i="10"/>
  <c r="B34" i="10" s="1"/>
  <c r="Q35" i="8"/>
  <c r="O34" i="10"/>
  <c r="E17" i="4"/>
  <c r="E13" i="4"/>
  <c r="E4" i="4" s="1"/>
  <c r="E20" i="4"/>
  <c r="D34" i="10"/>
  <c r="B10" i="8"/>
  <c r="B12" i="8"/>
  <c r="B35" i="8" s="1"/>
  <c r="B11" i="8"/>
  <c r="E35" i="8"/>
  <c r="C17" i="4" s="1"/>
  <c r="C35" i="8"/>
  <c r="O35" i="8" s="1"/>
  <c r="M35" i="8"/>
  <c r="K35" i="8"/>
  <c r="I35" i="8"/>
  <c r="C20" i="4" s="1"/>
  <c r="G35" i="8"/>
  <c r="P35" i="8"/>
  <c r="N7" i="8"/>
  <c r="N14" i="8"/>
  <c r="N21" i="8"/>
  <c r="N28" i="8"/>
  <c r="N27" i="8"/>
  <c r="N26" i="8"/>
  <c r="N25" i="8"/>
  <c r="N24" i="8"/>
  <c r="N23" i="8"/>
  <c r="N22" i="8"/>
  <c r="N20" i="8"/>
  <c r="N19" i="8"/>
  <c r="N18" i="8"/>
  <c r="N17" i="8"/>
  <c r="N16" i="8"/>
  <c r="N15" i="8"/>
  <c r="N13" i="8"/>
  <c r="N12" i="8"/>
  <c r="N11" i="8"/>
  <c r="N10" i="8"/>
  <c r="N9" i="8"/>
  <c r="N35" i="8" s="1"/>
  <c r="N8" i="8"/>
  <c r="N6" i="8"/>
  <c r="N5" i="8"/>
  <c r="N4" i="8"/>
  <c r="O34" i="8"/>
  <c r="N34" i="8" s="1"/>
  <c r="O32" i="8"/>
  <c r="N32" i="8"/>
  <c r="O30" i="8"/>
  <c r="N30" i="8"/>
  <c r="O29" i="8"/>
  <c r="N29" i="8"/>
  <c r="O31" i="8"/>
  <c r="N31" i="8" s="1"/>
  <c r="O33" i="8"/>
  <c r="N33" i="8" s="1"/>
  <c r="B8" i="8"/>
  <c r="D8" i="8"/>
  <c r="B9" i="8"/>
  <c r="D9" i="8"/>
  <c r="D10" i="8"/>
  <c r="D11" i="8"/>
  <c r="D12" i="8"/>
  <c r="B13" i="8"/>
  <c r="D13" i="8"/>
  <c r="D4" i="8"/>
  <c r="S35" i="9"/>
  <c r="R35" i="9"/>
  <c r="N35" i="9"/>
  <c r="L34" i="9"/>
  <c r="J34" i="9"/>
  <c r="H34" i="9"/>
  <c r="F34" i="9"/>
  <c r="D34" i="9"/>
  <c r="B34" i="9"/>
  <c r="J33" i="9"/>
  <c r="H33" i="9"/>
  <c r="F33" i="9"/>
  <c r="D33" i="9"/>
  <c r="B33" i="9"/>
  <c r="L32" i="9"/>
  <c r="J32" i="9"/>
  <c r="H32" i="9"/>
  <c r="F32" i="9"/>
  <c r="D32" i="9"/>
  <c r="B32" i="9"/>
  <c r="L31" i="9"/>
  <c r="J31" i="9"/>
  <c r="H31" i="9"/>
  <c r="F31" i="9"/>
  <c r="D31" i="9"/>
  <c r="B31" i="9"/>
  <c r="L30" i="9"/>
  <c r="K30" i="9"/>
  <c r="J30" i="9" s="1"/>
  <c r="H30" i="9"/>
  <c r="F30" i="9"/>
  <c r="D30" i="9"/>
  <c r="B30" i="9"/>
  <c r="L29" i="9"/>
  <c r="J29" i="9"/>
  <c r="H29" i="9"/>
  <c r="F29" i="9"/>
  <c r="D29" i="9"/>
  <c r="B29" i="9"/>
  <c r="L28" i="9"/>
  <c r="J28" i="9"/>
  <c r="H28" i="9"/>
  <c r="F28" i="9"/>
  <c r="D28" i="9"/>
  <c r="B28" i="9"/>
  <c r="L27" i="9"/>
  <c r="J27" i="9"/>
  <c r="H27" i="9"/>
  <c r="F27" i="9"/>
  <c r="D27" i="9"/>
  <c r="B27" i="9"/>
  <c r="L26" i="9"/>
  <c r="L35" i="9" s="1"/>
  <c r="J26" i="9"/>
  <c r="H26" i="9"/>
  <c r="F26" i="9"/>
  <c r="D26" i="9"/>
  <c r="D35" i="9" s="1"/>
  <c r="B26" i="9"/>
  <c r="L25" i="9"/>
  <c r="K25" i="9"/>
  <c r="J25" i="9" s="1"/>
  <c r="H25" i="9"/>
  <c r="F25" i="9"/>
  <c r="D25" i="9"/>
  <c r="B25" i="9"/>
  <c r="L24" i="9"/>
  <c r="K24" i="9"/>
  <c r="J24" i="9" s="1"/>
  <c r="H24" i="9"/>
  <c r="H35" i="9" s="1"/>
  <c r="F24" i="9"/>
  <c r="D24" i="9"/>
  <c r="B24" i="9"/>
  <c r="L23" i="9"/>
  <c r="K23" i="9"/>
  <c r="J23" i="9" s="1"/>
  <c r="H23" i="9"/>
  <c r="F23" i="9"/>
  <c r="D23" i="9"/>
  <c r="B23" i="9"/>
  <c r="L22" i="9"/>
  <c r="K22" i="9"/>
  <c r="J22" i="9" s="1"/>
  <c r="H22" i="9"/>
  <c r="F22" i="9"/>
  <c r="D22" i="9"/>
  <c r="B22" i="9"/>
  <c r="L21" i="9"/>
  <c r="K21" i="9"/>
  <c r="J21" i="9"/>
  <c r="H21" i="9"/>
  <c r="F21" i="9"/>
  <c r="D21" i="9"/>
  <c r="B21" i="9"/>
  <c r="L20" i="9"/>
  <c r="J20" i="9"/>
  <c r="H20" i="9"/>
  <c r="F20" i="9"/>
  <c r="D20" i="9"/>
  <c r="B20" i="9"/>
  <c r="L19" i="9"/>
  <c r="J19" i="9"/>
  <c r="H19" i="9"/>
  <c r="F19" i="9"/>
  <c r="D19" i="9"/>
  <c r="B19" i="9"/>
  <c r="L18" i="9"/>
  <c r="J18" i="9"/>
  <c r="H18" i="9"/>
  <c r="F18" i="9"/>
  <c r="D18" i="9"/>
  <c r="B18" i="9"/>
  <c r="L17" i="9"/>
  <c r="J17" i="9"/>
  <c r="H17" i="9"/>
  <c r="F17" i="9"/>
  <c r="D17" i="9"/>
  <c r="B17" i="9"/>
  <c r="L16" i="9"/>
  <c r="J16" i="9"/>
  <c r="H16" i="9"/>
  <c r="F16" i="9"/>
  <c r="D16" i="9"/>
  <c r="B16" i="9"/>
  <c r="L15" i="9"/>
  <c r="J15" i="9"/>
  <c r="H15" i="9"/>
  <c r="F15" i="9"/>
  <c r="D15" i="9"/>
  <c r="B15" i="9"/>
  <c r="L14" i="9"/>
  <c r="J14" i="9"/>
  <c r="H14" i="9"/>
  <c r="F14" i="9"/>
  <c r="D14" i="9"/>
  <c r="B14" i="9"/>
  <c r="L13" i="9"/>
  <c r="J13" i="9"/>
  <c r="H13" i="9"/>
  <c r="F13" i="9"/>
  <c r="D13" i="9"/>
  <c r="B13" i="9"/>
  <c r="L12" i="9"/>
  <c r="J12" i="9"/>
  <c r="H12" i="9"/>
  <c r="F12" i="9"/>
  <c r="D12" i="9"/>
  <c r="B12" i="9"/>
  <c r="L11" i="9"/>
  <c r="J11" i="9"/>
  <c r="H11" i="9"/>
  <c r="F11" i="9"/>
  <c r="D11" i="9"/>
  <c r="B11" i="9"/>
  <c r="L10" i="9"/>
  <c r="J10" i="9"/>
  <c r="H10" i="9"/>
  <c r="F10" i="9"/>
  <c r="D10" i="9"/>
  <c r="B10" i="9"/>
  <c r="L9" i="9"/>
  <c r="J9" i="9"/>
  <c r="H9" i="9"/>
  <c r="F9" i="9"/>
  <c r="D9" i="9"/>
  <c r="B9" i="9"/>
  <c r="H8" i="9"/>
  <c r="F8" i="9"/>
  <c r="D8" i="9"/>
  <c r="B8" i="9"/>
  <c r="L7" i="9"/>
  <c r="J7" i="9"/>
  <c r="H7" i="9"/>
  <c r="F7" i="9"/>
  <c r="D7" i="9"/>
  <c r="B7" i="9"/>
  <c r="L6" i="9"/>
  <c r="J6" i="9"/>
  <c r="H6" i="9"/>
  <c r="F6" i="9"/>
  <c r="D6" i="9"/>
  <c r="B6" i="9"/>
  <c r="L5" i="9"/>
  <c r="J5" i="9"/>
  <c r="H5" i="9"/>
  <c r="F5" i="9"/>
  <c r="D5" i="9"/>
  <c r="B5" i="9"/>
  <c r="B35" i="9" s="1"/>
  <c r="L4" i="9"/>
  <c r="J4" i="9"/>
  <c r="H4" i="9"/>
  <c r="F4" i="9"/>
  <c r="D4" i="9"/>
  <c r="B34" i="8"/>
  <c r="D34" i="8"/>
  <c r="F34" i="8"/>
  <c r="H34" i="8"/>
  <c r="J34" i="8"/>
  <c r="L34" i="8"/>
  <c r="S35" i="8"/>
  <c r="R35" i="8"/>
  <c r="L33" i="8"/>
  <c r="J33" i="8"/>
  <c r="H33" i="8"/>
  <c r="F33" i="8"/>
  <c r="D33" i="8"/>
  <c r="B33" i="8"/>
  <c r="L32" i="8"/>
  <c r="J32" i="8"/>
  <c r="H32" i="8"/>
  <c r="F32" i="8"/>
  <c r="D32" i="8"/>
  <c r="B32" i="8"/>
  <c r="L31" i="8"/>
  <c r="J31" i="8"/>
  <c r="H31" i="8"/>
  <c r="F31" i="8"/>
  <c r="D31" i="8"/>
  <c r="B31" i="8"/>
  <c r="L30" i="8"/>
  <c r="J30" i="8"/>
  <c r="H30" i="8"/>
  <c r="F30" i="8"/>
  <c r="D30" i="8"/>
  <c r="B30" i="8"/>
  <c r="L29" i="8"/>
  <c r="J29" i="8"/>
  <c r="H29" i="8"/>
  <c r="F29" i="8"/>
  <c r="D29" i="8"/>
  <c r="B29" i="8"/>
  <c r="L28" i="8"/>
  <c r="D28" i="8"/>
  <c r="B28" i="8"/>
  <c r="L27" i="8"/>
  <c r="J27" i="8"/>
  <c r="H27" i="8"/>
  <c r="F27" i="8"/>
  <c r="D27" i="8"/>
  <c r="B27" i="8"/>
  <c r="L26" i="8"/>
  <c r="J26" i="8"/>
  <c r="H26" i="8"/>
  <c r="F26" i="8"/>
  <c r="D26" i="8"/>
  <c r="B26" i="8"/>
  <c r="L25" i="8"/>
  <c r="J25" i="8"/>
  <c r="H25" i="8"/>
  <c r="F25" i="8"/>
  <c r="D25" i="8"/>
  <c r="B25" i="8"/>
  <c r="L24" i="8"/>
  <c r="J24" i="8"/>
  <c r="H24" i="8"/>
  <c r="F24" i="8"/>
  <c r="D24" i="8"/>
  <c r="B24" i="8"/>
  <c r="L23" i="8"/>
  <c r="J23" i="8"/>
  <c r="H23" i="8"/>
  <c r="F23" i="8"/>
  <c r="D23" i="8"/>
  <c r="B23" i="8"/>
  <c r="L22" i="8"/>
  <c r="J22" i="8"/>
  <c r="H22" i="8"/>
  <c r="F22" i="8"/>
  <c r="D22" i="8"/>
  <c r="B22" i="8"/>
  <c r="L21" i="8"/>
  <c r="J21" i="8"/>
  <c r="H21" i="8"/>
  <c r="F21" i="8"/>
  <c r="B21" i="8"/>
  <c r="L20" i="8"/>
  <c r="J20" i="8"/>
  <c r="H20" i="8"/>
  <c r="F20" i="8"/>
  <c r="D20" i="8"/>
  <c r="B20" i="8"/>
  <c r="L19" i="8"/>
  <c r="J19" i="8"/>
  <c r="H19" i="8"/>
  <c r="F19" i="8"/>
  <c r="D19" i="8"/>
  <c r="B19" i="8"/>
  <c r="L18" i="8"/>
  <c r="J18" i="8"/>
  <c r="H18" i="8"/>
  <c r="F18" i="8"/>
  <c r="D18" i="8"/>
  <c r="B18" i="8"/>
  <c r="L17" i="8"/>
  <c r="J17" i="8"/>
  <c r="H17" i="8"/>
  <c r="F17" i="8"/>
  <c r="D17" i="8"/>
  <c r="B17" i="8"/>
  <c r="L16" i="8"/>
  <c r="J16" i="8"/>
  <c r="H16" i="8"/>
  <c r="F16" i="8"/>
  <c r="D16" i="8"/>
  <c r="B16" i="8"/>
  <c r="L15" i="8"/>
  <c r="J15" i="8"/>
  <c r="H15" i="8"/>
  <c r="F15" i="8"/>
  <c r="D15" i="8"/>
  <c r="B15" i="8"/>
  <c r="L14" i="8"/>
  <c r="J14" i="8"/>
  <c r="H14" i="8"/>
  <c r="F14" i="8"/>
  <c r="D14" i="8"/>
  <c r="B14" i="8"/>
  <c r="L13" i="8"/>
  <c r="J13" i="8"/>
  <c r="H13" i="8"/>
  <c r="F13" i="8"/>
  <c r="L12" i="8"/>
  <c r="J12" i="8"/>
  <c r="H12" i="8"/>
  <c r="F12" i="8"/>
  <c r="L11" i="8"/>
  <c r="J11" i="8"/>
  <c r="H11" i="8"/>
  <c r="F11" i="8"/>
  <c r="L10" i="8"/>
  <c r="J10" i="8"/>
  <c r="H10" i="8"/>
  <c r="F10" i="8"/>
  <c r="L9" i="8"/>
  <c r="J9" i="8"/>
  <c r="H9" i="8"/>
  <c r="F9" i="8"/>
  <c r="H8" i="8"/>
  <c r="F8" i="8"/>
  <c r="L7" i="8"/>
  <c r="J7" i="8"/>
  <c r="H7" i="8"/>
  <c r="F7" i="8"/>
  <c r="D7" i="8"/>
  <c r="B7" i="8"/>
  <c r="L6" i="8"/>
  <c r="J6" i="8"/>
  <c r="H6" i="8"/>
  <c r="F6" i="8"/>
  <c r="D6" i="8"/>
  <c r="B6" i="8"/>
  <c r="L5" i="8"/>
  <c r="J5" i="8"/>
  <c r="H5" i="8"/>
  <c r="H35" i="8" s="1"/>
  <c r="F5" i="8"/>
  <c r="D5" i="8"/>
  <c r="D35" i="8" s="1"/>
  <c r="B5" i="8"/>
  <c r="L4" i="8"/>
  <c r="L35" i="8" s="1"/>
  <c r="J4" i="8"/>
  <c r="H4" i="8"/>
  <c r="F4" i="8"/>
  <c r="B4" i="8"/>
  <c r="S34" i="7"/>
  <c r="R34" i="7"/>
  <c r="Q34" i="7"/>
  <c r="P34" i="7"/>
  <c r="N34" i="7"/>
  <c r="M34" i="7"/>
  <c r="K34" i="7"/>
  <c r="I34" i="7"/>
  <c r="O34" i="7" s="1"/>
  <c r="G34" i="7"/>
  <c r="E34" i="7"/>
  <c r="C34" i="7"/>
  <c r="L33" i="7"/>
  <c r="J33" i="7"/>
  <c r="H33" i="7"/>
  <c r="F33" i="7"/>
  <c r="D33" i="7"/>
  <c r="B33" i="7"/>
  <c r="L32" i="7"/>
  <c r="J32" i="7"/>
  <c r="H32" i="7"/>
  <c r="F32" i="7"/>
  <c r="D32" i="7"/>
  <c r="B32" i="7"/>
  <c r="L31" i="7"/>
  <c r="J31" i="7"/>
  <c r="H31" i="7"/>
  <c r="F31" i="7"/>
  <c r="D31" i="7"/>
  <c r="B31" i="7"/>
  <c r="L30" i="7"/>
  <c r="J30" i="7"/>
  <c r="H30" i="7"/>
  <c r="F30" i="7"/>
  <c r="D30" i="7"/>
  <c r="B30" i="7"/>
  <c r="L29" i="7"/>
  <c r="J29" i="7"/>
  <c r="H29" i="7"/>
  <c r="F29" i="7"/>
  <c r="D29" i="7"/>
  <c r="B29" i="7"/>
  <c r="L28" i="7"/>
  <c r="J28" i="7"/>
  <c r="H28" i="7"/>
  <c r="F28" i="7"/>
  <c r="D28" i="7"/>
  <c r="B28" i="7"/>
  <c r="L27" i="7"/>
  <c r="J27" i="7"/>
  <c r="H27" i="7"/>
  <c r="F27" i="7"/>
  <c r="D27" i="7"/>
  <c r="B27" i="7"/>
  <c r="L26" i="7"/>
  <c r="J26" i="7"/>
  <c r="H26" i="7"/>
  <c r="F26" i="7"/>
  <c r="D26" i="7"/>
  <c r="B26" i="7"/>
  <c r="L25" i="7"/>
  <c r="J25" i="7"/>
  <c r="H25" i="7"/>
  <c r="F25" i="7"/>
  <c r="D25" i="7"/>
  <c r="B25" i="7"/>
  <c r="L24" i="7"/>
  <c r="J24" i="7"/>
  <c r="H24" i="7"/>
  <c r="F24" i="7"/>
  <c r="D24" i="7"/>
  <c r="B24" i="7"/>
  <c r="L23" i="7"/>
  <c r="J23" i="7"/>
  <c r="H23" i="7"/>
  <c r="F23" i="7"/>
  <c r="D23" i="7"/>
  <c r="B23" i="7"/>
  <c r="L22" i="7"/>
  <c r="J22" i="7"/>
  <c r="H22" i="7"/>
  <c r="F22" i="7"/>
  <c r="D22" i="7"/>
  <c r="B22" i="7"/>
  <c r="L21" i="7"/>
  <c r="J21" i="7"/>
  <c r="H21" i="7"/>
  <c r="F21" i="7"/>
  <c r="D21" i="7"/>
  <c r="B21" i="7"/>
  <c r="L20" i="7"/>
  <c r="J20" i="7"/>
  <c r="H20" i="7"/>
  <c r="F20" i="7"/>
  <c r="D20" i="7"/>
  <c r="B20" i="7"/>
  <c r="L19" i="7"/>
  <c r="J19" i="7"/>
  <c r="H19" i="7"/>
  <c r="F19" i="7"/>
  <c r="D19" i="7"/>
  <c r="B19" i="7"/>
  <c r="L18" i="7"/>
  <c r="J18" i="7"/>
  <c r="H18" i="7"/>
  <c r="F18" i="7"/>
  <c r="D18" i="7"/>
  <c r="B18" i="7"/>
  <c r="L17" i="7"/>
  <c r="J17" i="7"/>
  <c r="H17" i="7"/>
  <c r="F17" i="7"/>
  <c r="D17" i="7"/>
  <c r="B17" i="7"/>
  <c r="L16" i="7"/>
  <c r="J16" i="7"/>
  <c r="H16" i="7"/>
  <c r="F16" i="7"/>
  <c r="D16" i="7"/>
  <c r="B16" i="7"/>
  <c r="L15" i="7"/>
  <c r="J15" i="7"/>
  <c r="H15" i="7"/>
  <c r="F15" i="7"/>
  <c r="D15" i="7"/>
  <c r="B15" i="7"/>
  <c r="L14" i="7"/>
  <c r="J14" i="7"/>
  <c r="H14" i="7"/>
  <c r="F14" i="7"/>
  <c r="D14" i="7"/>
  <c r="B14" i="7"/>
  <c r="L13" i="7"/>
  <c r="J13" i="7"/>
  <c r="H13" i="7"/>
  <c r="F13" i="7"/>
  <c r="D13" i="7"/>
  <c r="B13" i="7"/>
  <c r="L12" i="7"/>
  <c r="J12" i="7"/>
  <c r="H12" i="7"/>
  <c r="F12" i="7"/>
  <c r="D12" i="7"/>
  <c r="B12" i="7"/>
  <c r="L11" i="7"/>
  <c r="J11" i="7"/>
  <c r="H11" i="7"/>
  <c r="F11" i="7"/>
  <c r="D11" i="7"/>
  <c r="B11" i="7"/>
  <c r="L10" i="7"/>
  <c r="J10" i="7"/>
  <c r="H10" i="7"/>
  <c r="F10" i="7"/>
  <c r="D10" i="7"/>
  <c r="B10" i="7"/>
  <c r="L9" i="7"/>
  <c r="J9" i="7"/>
  <c r="H9" i="7"/>
  <c r="F9" i="7"/>
  <c r="D9" i="7"/>
  <c r="B9" i="7"/>
  <c r="H8" i="7"/>
  <c r="F8" i="7"/>
  <c r="D8" i="7"/>
  <c r="B8" i="7"/>
  <c r="L7" i="7"/>
  <c r="J7" i="7"/>
  <c r="H7" i="7"/>
  <c r="F7" i="7"/>
  <c r="D7" i="7"/>
  <c r="B7" i="7"/>
  <c r="L6" i="7"/>
  <c r="J6" i="7"/>
  <c r="H6" i="7"/>
  <c r="F6" i="7"/>
  <c r="D6" i="7"/>
  <c r="D34" i="7" s="1"/>
  <c r="B6" i="7"/>
  <c r="L5" i="7"/>
  <c r="J5" i="7"/>
  <c r="H5" i="7"/>
  <c r="F5" i="7"/>
  <c r="D5" i="7"/>
  <c r="B5" i="7"/>
  <c r="L4" i="7"/>
  <c r="L34" i="7" s="1"/>
  <c r="J4" i="7"/>
  <c r="H4" i="7"/>
  <c r="H34" i="7" s="1"/>
  <c r="F4" i="7"/>
  <c r="D4" i="7"/>
  <c r="B4" i="7"/>
  <c r="J34" i="7"/>
  <c r="F35" i="9"/>
  <c r="B34" i="7"/>
  <c r="F34" i="7"/>
  <c r="D21" i="8"/>
  <c r="J28" i="8"/>
  <c r="J35" i="8"/>
  <c r="S34" i="6"/>
  <c r="R34" i="6"/>
  <c r="B5" i="6"/>
  <c r="Q34" i="6"/>
  <c r="P34" i="6"/>
  <c r="N34" i="6"/>
  <c r="M34" i="6"/>
  <c r="K34" i="6"/>
  <c r="I34" i="6"/>
  <c r="O34" i="6" s="1"/>
  <c r="G34" i="6"/>
  <c r="E34" i="6"/>
  <c r="C34" i="6"/>
  <c r="L33" i="6"/>
  <c r="J33" i="6"/>
  <c r="H33" i="6"/>
  <c r="F33" i="6"/>
  <c r="D33" i="6"/>
  <c r="B33" i="6"/>
  <c r="L32" i="6"/>
  <c r="J32" i="6"/>
  <c r="H32" i="6"/>
  <c r="F32" i="6"/>
  <c r="D32" i="6"/>
  <c r="B32" i="6"/>
  <c r="L31" i="6"/>
  <c r="J31" i="6"/>
  <c r="H31" i="6"/>
  <c r="F31" i="6"/>
  <c r="D31" i="6"/>
  <c r="B31" i="6"/>
  <c r="L30" i="6"/>
  <c r="J30" i="6"/>
  <c r="H30" i="6"/>
  <c r="F30" i="6"/>
  <c r="D30" i="6"/>
  <c r="B30" i="6"/>
  <c r="L29" i="6"/>
  <c r="J29" i="6"/>
  <c r="H29" i="6"/>
  <c r="F29" i="6"/>
  <c r="D29" i="6"/>
  <c r="B29" i="6"/>
  <c r="L28" i="6"/>
  <c r="J28" i="6"/>
  <c r="H28" i="6"/>
  <c r="F28" i="6"/>
  <c r="D28" i="6"/>
  <c r="B28" i="6"/>
  <c r="L27" i="6"/>
  <c r="J27" i="6"/>
  <c r="H27" i="6"/>
  <c r="F27" i="6"/>
  <c r="D27" i="6"/>
  <c r="B27" i="6"/>
  <c r="L26" i="6"/>
  <c r="J26" i="6"/>
  <c r="H26" i="6"/>
  <c r="F26" i="6"/>
  <c r="D26" i="6"/>
  <c r="B26" i="6"/>
  <c r="L25" i="6"/>
  <c r="J25" i="6"/>
  <c r="H25" i="6"/>
  <c r="F25" i="6"/>
  <c r="D25" i="6"/>
  <c r="B25" i="6"/>
  <c r="L24" i="6"/>
  <c r="J24" i="6"/>
  <c r="H24" i="6"/>
  <c r="F24" i="6"/>
  <c r="D24" i="6"/>
  <c r="B24" i="6"/>
  <c r="L23" i="6"/>
  <c r="J23" i="6"/>
  <c r="H23" i="6"/>
  <c r="F23" i="6"/>
  <c r="D23" i="6"/>
  <c r="B23" i="6"/>
  <c r="L22" i="6"/>
  <c r="J22" i="6"/>
  <c r="H22" i="6"/>
  <c r="F22" i="6"/>
  <c r="D22" i="6"/>
  <c r="B22" i="6"/>
  <c r="L21" i="6"/>
  <c r="J21" i="6"/>
  <c r="H21" i="6"/>
  <c r="F21" i="6"/>
  <c r="D21" i="6"/>
  <c r="B21" i="6"/>
  <c r="L20" i="6"/>
  <c r="J20" i="6"/>
  <c r="H20" i="6"/>
  <c r="F20" i="6"/>
  <c r="D20" i="6"/>
  <c r="B20" i="6"/>
  <c r="L19" i="6"/>
  <c r="J19" i="6"/>
  <c r="H19" i="6"/>
  <c r="F19" i="6"/>
  <c r="D19" i="6"/>
  <c r="B19" i="6"/>
  <c r="L18" i="6"/>
  <c r="J18" i="6"/>
  <c r="H18" i="6"/>
  <c r="F18" i="6"/>
  <c r="D18" i="6"/>
  <c r="B18" i="6"/>
  <c r="L17" i="6"/>
  <c r="J17" i="6"/>
  <c r="H17" i="6"/>
  <c r="F17" i="6"/>
  <c r="D17" i="6"/>
  <c r="B17" i="6"/>
  <c r="L16" i="6"/>
  <c r="J16" i="6"/>
  <c r="H16" i="6"/>
  <c r="F16" i="6"/>
  <c r="D16" i="6"/>
  <c r="B16" i="6"/>
  <c r="L15" i="6"/>
  <c r="J15" i="6"/>
  <c r="H15" i="6"/>
  <c r="F15" i="6"/>
  <c r="D15" i="6"/>
  <c r="B15" i="6"/>
  <c r="L14" i="6"/>
  <c r="J14" i="6"/>
  <c r="H14" i="6"/>
  <c r="F14" i="6"/>
  <c r="D14" i="6"/>
  <c r="B14" i="6"/>
  <c r="L13" i="6"/>
  <c r="J13" i="6"/>
  <c r="H13" i="6"/>
  <c r="F13" i="6"/>
  <c r="D13" i="6"/>
  <c r="B13" i="6"/>
  <c r="L12" i="6"/>
  <c r="J12" i="6"/>
  <c r="H12" i="6"/>
  <c r="F12" i="6"/>
  <c r="D12" i="6"/>
  <c r="B12" i="6"/>
  <c r="L11" i="6"/>
  <c r="J11" i="6"/>
  <c r="H11" i="6"/>
  <c r="F11" i="6"/>
  <c r="D11" i="6"/>
  <c r="B11" i="6"/>
  <c r="L10" i="6"/>
  <c r="J10" i="6"/>
  <c r="H10" i="6"/>
  <c r="F10" i="6"/>
  <c r="D10" i="6"/>
  <c r="B10" i="6"/>
  <c r="L9" i="6"/>
  <c r="J9" i="6"/>
  <c r="H9" i="6"/>
  <c r="F9" i="6"/>
  <c r="D9" i="6"/>
  <c r="B9" i="6"/>
  <c r="H8" i="6"/>
  <c r="F8" i="6"/>
  <c r="D8" i="6"/>
  <c r="B8" i="6"/>
  <c r="L7" i="6"/>
  <c r="J7" i="6"/>
  <c r="H7" i="6"/>
  <c r="F7" i="6"/>
  <c r="D7" i="6"/>
  <c r="B7" i="6"/>
  <c r="L6" i="6"/>
  <c r="J6" i="6"/>
  <c r="H6" i="6"/>
  <c r="F6" i="6"/>
  <c r="D6" i="6"/>
  <c r="B6" i="6"/>
  <c r="L5" i="6"/>
  <c r="L34" i="6" s="1"/>
  <c r="J5" i="6"/>
  <c r="H5" i="6"/>
  <c r="H34" i="6" s="1"/>
  <c r="F5" i="6"/>
  <c r="D5" i="6"/>
  <c r="L4" i="6"/>
  <c r="J4" i="6"/>
  <c r="H4" i="6"/>
  <c r="F4" i="6"/>
  <c r="D4" i="6"/>
  <c r="B4" i="6"/>
  <c r="B34" i="6" s="1"/>
  <c r="H28" i="8"/>
  <c r="F34" i="6"/>
  <c r="D34" i="6"/>
  <c r="J34" i="6"/>
  <c r="B4" i="4"/>
  <c r="F28" i="8"/>
  <c r="F35" i="8"/>
  <c r="J35" i="9" l="1"/>
  <c r="H4" i="4"/>
  <c r="O35" i="9"/>
  <c r="V13" i="4"/>
  <c r="K4" i="4"/>
  <c r="N20" i="4"/>
  <c r="V20" i="4" s="1"/>
  <c r="K35" i="9"/>
  <c r="M35" i="9"/>
  <c r="F20" i="4"/>
  <c r="H17" i="4"/>
  <c r="I17" i="4" s="1"/>
  <c r="O35" i="17"/>
  <c r="C13" i="4"/>
  <c r="F13" i="4"/>
  <c r="F4" i="4" s="1"/>
  <c r="O34" i="18"/>
  <c r="O17" i="4"/>
  <c r="O4" i="4" s="1"/>
  <c r="Q20" i="4"/>
  <c r="Q4" i="4" s="1"/>
  <c r="O35" i="22"/>
  <c r="D35" i="22"/>
  <c r="B35" i="22"/>
  <c r="V17" i="4" l="1"/>
  <c r="N4" i="4"/>
  <c r="V4" i="4" s="1"/>
  <c r="C4" i="4"/>
  <c r="I13" i="4"/>
  <c r="D20" i="4"/>
  <c r="I20" i="4" l="1"/>
  <c r="D4" i="4"/>
  <c r="I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JAOUHARI Ussama [EIDS]</author>
  </authors>
  <commentList>
    <comment ref="R12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EL JAOUHARI Ussama [EIDS]:</t>
        </r>
        <r>
          <rPr>
            <sz val="9"/>
            <color indexed="81"/>
            <rFont val="Tahoma"/>
            <charset val="1"/>
          </rPr>
          <t xml:space="preserve">
Modifié après factu / anomalie sur courrier sur SIP détecté le 6
/10différence de 118 ajouté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JAOUHARI Ussama [EIDS]</author>
  </authors>
  <commentList>
    <comment ref="A1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Férié Français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JAOUHARI Ussama [EIDS]</author>
  </authors>
  <commentList>
    <comment ref="I1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Formation fisca </t>
        </r>
      </text>
    </comment>
    <comment ref="M1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Formation fisca</t>
        </r>
      </text>
    </comment>
    <comment ref="I20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Foramtion fisca</t>
        </r>
      </text>
    </comment>
    <comment ref="M20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Formation fisca </t>
        </r>
      </text>
    </comment>
    <comment ref="I22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Formation fisca</t>
        </r>
      </text>
    </comment>
    <comment ref="C23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férié heures majorées non inclus</t>
        </r>
      </text>
    </comment>
    <comment ref="E23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férié heures majorées non inclus</t>
        </r>
      </text>
    </comment>
    <comment ref="I27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Formation fisca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JAOUHARI Ussama [EIDS]</author>
  </authors>
  <commentList>
    <comment ref="M27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FC BI-MENSUEL FISCA </t>
        </r>
      </text>
    </comment>
    <comment ref="I33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FC ELEMENTS DE LANGAGE POST AG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JAOUHARI Ussama [EIDS]</author>
  </authors>
  <commentList>
    <comment ref="A30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Jour Férié marocain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JAOUHARI Ussama [EIDS]</author>
  </authors>
  <commentList>
    <comment ref="M2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FC BI-MENSUEL FISCA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JAOUHARI Ussama [EIDS]</author>
  </authors>
  <commentList>
    <comment ref="M20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FC BI-MENSUEL FISCA </t>
        </r>
      </text>
    </comment>
    <comment ref="A33" authorId="0" shapeId="0" xr:uid="{00000000-0006-0000-0F00-000002000000}">
      <text>
        <r>
          <rPr>
            <b/>
            <sz val="9"/>
            <color indexed="81"/>
            <rFont val="Tahoma"/>
            <charset val="1"/>
          </rPr>
          <t>EL JAOUHARI Ussama [EIDS]:</t>
        </r>
        <r>
          <rPr>
            <sz val="9"/>
            <color indexed="81"/>
            <rFont val="Tahoma"/>
            <charset val="1"/>
          </rPr>
          <t xml:space="preserve">
Férié marocain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JAOUHARI Ussama [EIDS]</author>
  </authors>
  <commentList>
    <comment ref="A17" authorId="0" shapeId="0" xr:uid="{00000000-0006-0000-1000-000001000000}">
      <text>
        <r>
          <rPr>
            <b/>
            <sz val="9"/>
            <color indexed="81"/>
            <rFont val="Tahoma"/>
            <charset val="1"/>
          </rPr>
          <t>EL JAOUHARI Ussama [EIDS]:</t>
        </r>
        <r>
          <rPr>
            <sz val="9"/>
            <color indexed="81"/>
            <rFont val="Tahoma"/>
            <charset val="1"/>
          </rPr>
          <t xml:space="preserve">
Jour férié non majoré </t>
        </r>
      </text>
    </comment>
    <comment ref="A23" authorId="0" shapeId="0" xr:uid="{00000000-0006-0000-1000-000002000000}">
      <text>
        <r>
          <rPr>
            <b/>
            <sz val="9"/>
            <color indexed="81"/>
            <rFont val="Tahoma"/>
            <charset val="1"/>
          </rPr>
          <t>EL JAOUHARI Ussama [EIDS]:</t>
        </r>
        <r>
          <rPr>
            <sz val="9"/>
            <color indexed="81"/>
            <rFont val="Tahoma"/>
            <charset val="1"/>
          </rPr>
          <t xml:space="preserve">
Jour férié non majoré </t>
        </r>
      </text>
    </comment>
    <comment ref="A24" authorId="0" shapeId="0" xr:uid="{00000000-0006-0000-1000-000003000000}">
      <text>
        <r>
          <rPr>
            <b/>
            <sz val="9"/>
            <color indexed="81"/>
            <rFont val="Tahoma"/>
            <charset val="1"/>
          </rPr>
          <t>EL JAOUHARI Ussama [EIDS]:</t>
        </r>
        <r>
          <rPr>
            <sz val="9"/>
            <color indexed="81"/>
            <rFont val="Tahoma"/>
            <charset val="1"/>
          </rPr>
          <t xml:space="preserve">
Jour férié non majoré </t>
        </r>
      </text>
    </comment>
    <comment ref="A28" authorId="0" shapeId="0" xr:uid="{00000000-0006-0000-1000-000004000000}">
      <text>
        <r>
          <rPr>
            <b/>
            <sz val="9"/>
            <color indexed="81"/>
            <rFont val="Tahoma"/>
            <charset val="1"/>
          </rPr>
          <t>EL JAOUHARI Ussama [EIDS]:</t>
        </r>
        <r>
          <rPr>
            <sz val="9"/>
            <color indexed="81"/>
            <rFont val="Tahoma"/>
            <charset val="1"/>
          </rPr>
          <t xml:space="preserve">
Jour férié non majoré </t>
        </r>
      </text>
    </comment>
  </commentList>
</comments>
</file>

<file path=xl/sharedStrings.xml><?xml version="1.0" encoding="utf-8"?>
<sst xmlns="http://schemas.openxmlformats.org/spreadsheetml/2006/main" count="400" uniqueCount="29">
  <si>
    <t>Nb d'actes traités</t>
  </si>
  <si>
    <t>Données réalisées</t>
  </si>
  <si>
    <t>EFFECTIFS RABAT</t>
  </si>
  <si>
    <t>ACT00075B – Appels</t>
  </si>
  <si>
    <t>GLF</t>
  </si>
  <si>
    <t xml:space="preserve">ACT00075A – Back office </t>
  </si>
  <si>
    <t>Nb d'appels traités</t>
  </si>
  <si>
    <t>ACT00075D – Relation clients</t>
  </si>
  <si>
    <t>Nb d'heures</t>
  </si>
  <si>
    <t>Cumul des heures</t>
  </si>
  <si>
    <t>BO</t>
  </si>
  <si>
    <t>AE</t>
  </si>
  <si>
    <t>Formation initiale BO</t>
  </si>
  <si>
    <t>Formation continue BO</t>
  </si>
  <si>
    <t>Formation initiale FO</t>
  </si>
  <si>
    <t>Formation continue FO</t>
  </si>
  <si>
    <t>Total CC</t>
  </si>
  <si>
    <t>Manager</t>
  </si>
  <si>
    <t>ETP</t>
  </si>
  <si>
    <t>Heures</t>
  </si>
  <si>
    <t>Total</t>
  </si>
  <si>
    <t>Relation Clients</t>
  </si>
  <si>
    <t>Cumul 2025</t>
  </si>
  <si>
    <t>Les heures de management sont divisées par moitié égale sur les activité BO et FO</t>
  </si>
  <si>
    <t>* heures de formations des nouveaux collaborateurs prévus pour renforcer l’équipe (pas de facturation pour les collaborateurs arrivés en remplacement des collaborateurs qui sont partis (= turn over))</t>
  </si>
  <si>
    <t>Cumul 2026</t>
  </si>
  <si>
    <t>Cumul des actes</t>
  </si>
  <si>
    <r>
      <t>ACT00075C – Formations</t>
    </r>
    <r>
      <rPr>
        <sz val="10"/>
        <color theme="5"/>
        <rFont val="Calibri"/>
        <family val="2"/>
        <scheme val="minor"/>
      </rPr>
      <t>*</t>
    </r>
  </si>
  <si>
    <t xml:space="preserve">Nb de qualifications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</si>
</sst>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[$-F800]dddd\,\ mmmm\ dd\,\ yyyy"/>
    <numFmt numFmtId="166" formatCode="0.0"/>
    <numFmt numFmtId="167" formatCode="_-* #,##0.0_-;\-* #,##0.0_-;_-* &quot;-&quot;??_-;_-@_-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color theme="5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0"/>
      <color theme="5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mediumGray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5">
    <xf numFmtId="0" fontId="0" fillId="0" borderId="0" xfId="0"/>
    <xf numFmtId="0" fontId="0" fillId="4" borderId="0" xfId="0" applyFill="1"/>
    <xf numFmtId="17" fontId="3" fillId="2" borderId="0" xfId="0" applyNumberFormat="1" applyFont="1" applyFill="1" applyAlignment="1">
      <alignment horizontal="center" vertical="center"/>
    </xf>
    <xf numFmtId="164" fontId="1" fillId="7" borderId="0" xfId="1" applyNumberFormat="1" applyFont="1" applyFill="1" applyAlignment="1">
      <alignment horizontal="center"/>
    </xf>
    <xf numFmtId="164" fontId="4" fillId="7" borderId="0" xfId="1" applyNumberFormat="1" applyFont="1" applyFill="1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164" fontId="1" fillId="11" borderId="0" xfId="1" applyNumberFormat="1" applyFont="1" applyFill="1" applyAlignment="1">
      <alignment horizontal="center"/>
    </xf>
    <xf numFmtId="164" fontId="0" fillId="4" borderId="1" xfId="1" applyNumberFormat="1" applyFont="1" applyFill="1" applyBorder="1"/>
    <xf numFmtId="1" fontId="0" fillId="4" borderId="1" xfId="0" applyNumberFormat="1" applyFill="1" applyBorder="1"/>
    <xf numFmtId="0" fontId="9" fillId="12" borderId="8" xfId="0" applyFont="1" applyFill="1" applyBorder="1" applyAlignment="1">
      <alignment horizontal="center"/>
    </xf>
    <xf numFmtId="0" fontId="9" fillId="12" borderId="9" xfId="0" applyFont="1" applyFill="1" applyBorder="1" applyAlignment="1">
      <alignment horizontal="center"/>
    </xf>
    <xf numFmtId="0" fontId="9" fillId="12" borderId="10" xfId="0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0" fontId="9" fillId="12" borderId="12" xfId="0" applyFont="1" applyFill="1" applyBorder="1" applyAlignment="1">
      <alignment horizontal="center"/>
    </xf>
    <xf numFmtId="0" fontId="9" fillId="12" borderId="13" xfId="0" applyFont="1" applyFill="1" applyBorder="1" applyAlignment="1">
      <alignment horizontal="center"/>
    </xf>
    <xf numFmtId="165" fontId="10" fillId="13" borderId="14" xfId="0" applyNumberFormat="1" applyFont="1" applyFill="1" applyBorder="1" applyAlignment="1">
      <alignment horizontal="center" vertical="center"/>
    </xf>
    <xf numFmtId="166" fontId="11" fillId="11" borderId="15" xfId="0" applyNumberFormat="1" applyFont="1" applyFill="1" applyBorder="1" applyAlignment="1">
      <alignment horizontal="center" vertical="center"/>
    </xf>
    <xf numFmtId="2" fontId="0" fillId="11" borderId="16" xfId="0" applyNumberFormat="1" applyFill="1" applyBorder="1" applyAlignment="1">
      <alignment horizontal="center"/>
    </xf>
    <xf numFmtId="2" fontId="12" fillId="11" borderId="16" xfId="0" applyNumberFormat="1" applyFont="1" applyFill="1" applyBorder="1" applyAlignment="1">
      <alignment horizontal="center" vertical="center"/>
    </xf>
    <xf numFmtId="166" fontId="11" fillId="11" borderId="14" xfId="0" applyNumberFormat="1" applyFont="1" applyFill="1" applyBorder="1" applyAlignment="1">
      <alignment horizontal="center" vertical="center"/>
    </xf>
    <xf numFmtId="2" fontId="12" fillId="11" borderId="14" xfId="0" applyNumberFormat="1" applyFont="1" applyFill="1" applyBorder="1" applyAlignment="1">
      <alignment horizontal="center" vertical="center"/>
    </xf>
    <xf numFmtId="1" fontId="11" fillId="11" borderId="1" xfId="0" applyNumberFormat="1" applyFont="1" applyFill="1" applyBorder="1" applyAlignment="1">
      <alignment horizontal="center" vertical="center"/>
    </xf>
    <xf numFmtId="1" fontId="11" fillId="11" borderId="16" xfId="0" applyNumberFormat="1" applyFont="1" applyFill="1" applyBorder="1" applyAlignment="1">
      <alignment horizontal="center" vertical="center"/>
    </xf>
    <xf numFmtId="0" fontId="0" fillId="11" borderId="17" xfId="0" applyFill="1" applyBorder="1" applyAlignment="1">
      <alignment horizontal="center"/>
    </xf>
    <xf numFmtId="166" fontId="11" fillId="11" borderId="16" xfId="0" applyNumberFormat="1" applyFont="1" applyFill="1" applyBorder="1" applyAlignment="1">
      <alignment horizontal="center" vertical="center"/>
    </xf>
    <xf numFmtId="166" fontId="11" fillId="14" borderId="14" xfId="0" applyNumberFormat="1" applyFont="1" applyFill="1" applyBorder="1" applyAlignment="1">
      <alignment horizontal="center" vertical="center"/>
    </xf>
    <xf numFmtId="2" fontId="0" fillId="14" borderId="16" xfId="0" applyNumberFormat="1" applyFill="1" applyBorder="1" applyAlignment="1">
      <alignment horizontal="center"/>
    </xf>
    <xf numFmtId="2" fontId="12" fillId="14" borderId="16" xfId="0" applyNumberFormat="1" applyFont="1" applyFill="1" applyBorder="1" applyAlignment="1">
      <alignment horizontal="center" vertical="center"/>
    </xf>
    <xf numFmtId="2" fontId="12" fillId="14" borderId="14" xfId="0" applyNumberFormat="1" applyFont="1" applyFill="1" applyBorder="1" applyAlignment="1">
      <alignment horizontal="center" vertical="center"/>
    </xf>
    <xf numFmtId="1" fontId="11" fillId="14" borderId="1" xfId="0" applyNumberFormat="1" applyFont="1" applyFill="1" applyBorder="1" applyAlignment="1">
      <alignment horizontal="center" vertical="center"/>
    </xf>
    <xf numFmtId="1" fontId="11" fillId="14" borderId="16" xfId="0" applyNumberFormat="1" applyFont="1" applyFill="1" applyBorder="1" applyAlignment="1">
      <alignment horizontal="center" vertical="center"/>
    </xf>
    <xf numFmtId="0" fontId="0" fillId="14" borderId="17" xfId="0" applyFill="1" applyBorder="1" applyAlignment="1">
      <alignment horizontal="center"/>
    </xf>
    <xf numFmtId="2" fontId="0" fillId="11" borderId="14" xfId="0" applyNumberFormat="1" applyFill="1" applyBorder="1" applyAlignment="1">
      <alignment horizontal="center"/>
    </xf>
    <xf numFmtId="2" fontId="12" fillId="11" borderId="1" xfId="0" applyNumberFormat="1" applyFont="1" applyFill="1" applyBorder="1" applyAlignment="1">
      <alignment horizontal="center" vertical="center"/>
    </xf>
    <xf numFmtId="1" fontId="11" fillId="11" borderId="18" xfId="0" applyNumberFormat="1" applyFont="1" applyFill="1" applyBorder="1" applyAlignment="1">
      <alignment horizontal="center" vertical="center"/>
    </xf>
    <xf numFmtId="166" fontId="11" fillId="14" borderId="16" xfId="0" applyNumberFormat="1" applyFont="1" applyFill="1" applyBorder="1" applyAlignment="1">
      <alignment horizontal="center" vertical="center"/>
    </xf>
    <xf numFmtId="2" fontId="0" fillId="14" borderId="14" xfId="0" applyNumberFormat="1" applyFill="1" applyBorder="1" applyAlignment="1">
      <alignment horizontal="center"/>
    </xf>
    <xf numFmtId="2" fontId="12" fillId="14" borderId="1" xfId="0" applyNumberFormat="1" applyFont="1" applyFill="1" applyBorder="1" applyAlignment="1">
      <alignment horizontal="center" vertical="center"/>
    </xf>
    <xf numFmtId="1" fontId="11" fillId="14" borderId="18" xfId="0" applyNumberFormat="1" applyFont="1" applyFill="1" applyBorder="1" applyAlignment="1">
      <alignment horizontal="center" vertical="center"/>
    </xf>
    <xf numFmtId="166" fontId="11" fillId="15" borderId="16" xfId="0" applyNumberFormat="1" applyFont="1" applyFill="1" applyBorder="1" applyAlignment="1">
      <alignment horizontal="center" vertical="center"/>
    </xf>
    <xf numFmtId="2" fontId="0" fillId="15" borderId="14" xfId="0" applyNumberFormat="1" applyFill="1" applyBorder="1" applyAlignment="1">
      <alignment horizontal="center"/>
    </xf>
    <xf numFmtId="2" fontId="12" fillId="15" borderId="14" xfId="0" applyNumberFormat="1" applyFont="1" applyFill="1" applyBorder="1" applyAlignment="1">
      <alignment horizontal="center" vertical="center"/>
    </xf>
    <xf numFmtId="2" fontId="12" fillId="15" borderId="1" xfId="0" applyNumberFormat="1" applyFont="1" applyFill="1" applyBorder="1" applyAlignment="1">
      <alignment horizontal="center" vertical="center"/>
    </xf>
    <xf numFmtId="1" fontId="11" fillId="15" borderId="16" xfId="0" applyNumberFormat="1" applyFont="1" applyFill="1" applyBorder="1" applyAlignment="1">
      <alignment horizontal="center" vertical="center"/>
    </xf>
    <xf numFmtId="1" fontId="11" fillId="15" borderId="1" xfId="0" applyNumberFormat="1" applyFont="1" applyFill="1" applyBorder="1" applyAlignment="1">
      <alignment horizontal="center" vertical="center"/>
    </xf>
    <xf numFmtId="1" fontId="11" fillId="15" borderId="18" xfId="0" applyNumberFormat="1" applyFont="1" applyFill="1" applyBorder="1" applyAlignment="1">
      <alignment horizontal="center" vertical="center"/>
    </xf>
    <xf numFmtId="166" fontId="11" fillId="16" borderId="16" xfId="0" applyNumberFormat="1" applyFont="1" applyFill="1" applyBorder="1" applyAlignment="1">
      <alignment horizontal="center" vertical="center"/>
    </xf>
    <xf numFmtId="2" fontId="0" fillId="16" borderId="14" xfId="0" applyNumberFormat="1" applyFill="1" applyBorder="1" applyAlignment="1">
      <alignment horizontal="center"/>
    </xf>
    <xf numFmtId="2" fontId="12" fillId="16" borderId="14" xfId="0" applyNumberFormat="1" applyFont="1" applyFill="1" applyBorder="1" applyAlignment="1">
      <alignment horizontal="center" vertical="center"/>
    </xf>
    <xf numFmtId="2" fontId="12" fillId="16" borderId="1" xfId="0" applyNumberFormat="1" applyFont="1" applyFill="1" applyBorder="1" applyAlignment="1">
      <alignment horizontal="center" vertical="center"/>
    </xf>
    <xf numFmtId="1" fontId="11" fillId="16" borderId="16" xfId="0" applyNumberFormat="1" applyFont="1" applyFill="1" applyBorder="1" applyAlignment="1">
      <alignment horizontal="center" vertical="center"/>
    </xf>
    <xf numFmtId="1" fontId="11" fillId="16" borderId="1" xfId="0" applyNumberFormat="1" applyFont="1" applyFill="1" applyBorder="1" applyAlignment="1">
      <alignment horizontal="center" vertical="center"/>
    </xf>
    <xf numFmtId="1" fontId="11" fillId="16" borderId="18" xfId="0" applyNumberFormat="1" applyFont="1" applyFill="1" applyBorder="1" applyAlignment="1">
      <alignment horizontal="center" vertical="center"/>
    </xf>
    <xf numFmtId="166" fontId="11" fillId="11" borderId="18" xfId="0" applyNumberFormat="1" applyFont="1" applyFill="1" applyBorder="1" applyAlignment="1">
      <alignment horizontal="center" vertical="center"/>
    </xf>
    <xf numFmtId="2" fontId="12" fillId="11" borderId="19" xfId="0" applyNumberFormat="1" applyFont="1" applyFill="1" applyBorder="1" applyAlignment="1">
      <alignment horizontal="center" vertical="center"/>
    </xf>
    <xf numFmtId="0" fontId="9" fillId="17" borderId="20" xfId="0" applyFont="1" applyFill="1" applyBorder="1" applyAlignment="1">
      <alignment horizontal="center"/>
    </xf>
    <xf numFmtId="166" fontId="10" fillId="12" borderId="21" xfId="0" applyNumberFormat="1" applyFont="1" applyFill="1" applyBorder="1" applyAlignment="1">
      <alignment horizontal="center" vertical="center"/>
    </xf>
    <xf numFmtId="2" fontId="9" fillId="2" borderId="9" xfId="0" applyNumberFormat="1" applyFont="1" applyFill="1" applyBorder="1" applyAlignment="1">
      <alignment horizontal="center"/>
    </xf>
    <xf numFmtId="2" fontId="9" fillId="18" borderId="13" xfId="0" applyNumberFormat="1" applyFont="1" applyFill="1" applyBorder="1" applyAlignment="1">
      <alignment horizontal="center"/>
    </xf>
    <xf numFmtId="2" fontId="9" fillId="12" borderId="21" xfId="0" applyNumberFormat="1" applyFont="1" applyFill="1" applyBorder="1" applyAlignment="1">
      <alignment horizontal="center"/>
    </xf>
    <xf numFmtId="2" fontId="9" fillId="18" borderId="11" xfId="0" applyNumberFormat="1" applyFont="1" applyFill="1" applyBorder="1" applyAlignment="1">
      <alignment horizontal="center"/>
    </xf>
    <xf numFmtId="166" fontId="10" fillId="12" borderId="22" xfId="0" applyNumberFormat="1" applyFont="1" applyFill="1" applyBorder="1" applyAlignment="1">
      <alignment horizontal="center" vertical="center"/>
    </xf>
    <xf numFmtId="2" fontId="9" fillId="12" borderId="13" xfId="0" applyNumberFormat="1" applyFont="1" applyFill="1" applyBorder="1" applyAlignment="1">
      <alignment horizontal="center" vertical="center"/>
    </xf>
    <xf numFmtId="166" fontId="10" fillId="12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vertical="center"/>
    </xf>
    <xf numFmtId="0" fontId="9" fillId="12" borderId="23" xfId="0" applyFont="1" applyFill="1" applyBorder="1" applyAlignment="1">
      <alignment horizontal="center"/>
    </xf>
    <xf numFmtId="1" fontId="11" fillId="11" borderId="25" xfId="0" applyNumberFormat="1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/>
    </xf>
    <xf numFmtId="2" fontId="9" fillId="12" borderId="9" xfId="0" applyNumberFormat="1" applyFont="1" applyFill="1" applyBorder="1" applyAlignment="1">
      <alignment horizontal="center" vertical="center"/>
    </xf>
    <xf numFmtId="0" fontId="9" fillId="12" borderId="28" xfId="0" applyFont="1" applyFill="1" applyBorder="1" applyAlignment="1">
      <alignment horizontal="center"/>
    </xf>
    <xf numFmtId="2" fontId="0" fillId="12" borderId="14" xfId="0" applyNumberFormat="1" applyFill="1" applyBorder="1" applyAlignment="1">
      <alignment horizontal="center"/>
    </xf>
    <xf numFmtId="2" fontId="12" fillId="12" borderId="14" xfId="0" applyNumberFormat="1" applyFont="1" applyFill="1" applyBorder="1" applyAlignment="1">
      <alignment horizontal="center" vertical="center"/>
    </xf>
    <xf numFmtId="1" fontId="11" fillId="12" borderId="18" xfId="0" applyNumberFormat="1" applyFont="1" applyFill="1" applyBorder="1" applyAlignment="1">
      <alignment horizontal="center" vertical="center"/>
    </xf>
    <xf numFmtId="166" fontId="10" fillId="12" borderId="30" xfId="0" applyNumberFormat="1" applyFont="1" applyFill="1" applyBorder="1" applyAlignment="1">
      <alignment horizontal="center" vertical="center"/>
    </xf>
    <xf numFmtId="2" fontId="11" fillId="11" borderId="16" xfId="0" applyNumberFormat="1" applyFont="1" applyFill="1" applyBorder="1" applyAlignment="1">
      <alignment horizontal="center" vertical="center"/>
    </xf>
    <xf numFmtId="2" fontId="11" fillId="12" borderId="16" xfId="0" applyNumberFormat="1" applyFont="1" applyFill="1" applyBorder="1" applyAlignment="1">
      <alignment horizontal="center" vertical="center"/>
    </xf>
    <xf numFmtId="2" fontId="11" fillId="11" borderId="15" xfId="0" applyNumberFormat="1" applyFont="1" applyFill="1" applyBorder="1" applyAlignment="1">
      <alignment horizontal="center" vertical="center"/>
    </xf>
    <xf numFmtId="2" fontId="11" fillId="11" borderId="14" xfId="0" applyNumberFormat="1" applyFont="1" applyFill="1" applyBorder="1" applyAlignment="1">
      <alignment horizontal="center" vertical="center"/>
    </xf>
    <xf numFmtId="2" fontId="11" fillId="11" borderId="29" xfId="0" applyNumberFormat="1" applyFont="1" applyFill="1" applyBorder="1" applyAlignment="1">
      <alignment horizontal="center" vertical="center"/>
    </xf>
    <xf numFmtId="2" fontId="11" fillId="12" borderId="14" xfId="0" applyNumberFormat="1" applyFont="1" applyFill="1" applyBorder="1" applyAlignment="1">
      <alignment horizontal="center" vertical="center"/>
    </xf>
    <xf numFmtId="2" fontId="11" fillId="11" borderId="26" xfId="0" applyNumberFormat="1" applyFont="1" applyFill="1" applyBorder="1" applyAlignment="1">
      <alignment horizontal="center" vertical="center"/>
    </xf>
    <xf numFmtId="0" fontId="0" fillId="11" borderId="32" xfId="0" applyFill="1" applyBorder="1" applyAlignment="1">
      <alignment horizontal="center"/>
    </xf>
    <xf numFmtId="166" fontId="11" fillId="11" borderId="19" xfId="0" applyNumberFormat="1" applyFont="1" applyFill="1" applyBorder="1" applyAlignment="1">
      <alignment horizontal="center" vertical="center"/>
    </xf>
    <xf numFmtId="2" fontId="11" fillId="12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2" fontId="12" fillId="12" borderId="17" xfId="0" applyNumberFormat="1" applyFont="1" applyFill="1" applyBorder="1" applyAlignment="1">
      <alignment horizontal="center" vertical="center"/>
    </xf>
    <xf numFmtId="2" fontId="12" fillId="11" borderId="17" xfId="0" applyNumberFormat="1" applyFont="1" applyFill="1" applyBorder="1" applyAlignment="1">
      <alignment horizontal="center" vertical="center"/>
    </xf>
    <xf numFmtId="1" fontId="11" fillId="11" borderId="32" xfId="0" applyNumberFormat="1" applyFont="1" applyFill="1" applyBorder="1" applyAlignment="1">
      <alignment horizontal="center" vertical="center"/>
    </xf>
    <xf numFmtId="2" fontId="9" fillId="12" borderId="11" xfId="0" applyNumberFormat="1" applyFont="1" applyFill="1" applyBorder="1" applyAlignment="1">
      <alignment horizontal="center" vertical="center"/>
    </xf>
    <xf numFmtId="1" fontId="11" fillId="11" borderId="34" xfId="0" applyNumberFormat="1" applyFont="1" applyFill="1" applyBorder="1" applyAlignment="1">
      <alignment horizontal="center" vertical="center"/>
    </xf>
    <xf numFmtId="1" fontId="11" fillId="11" borderId="14" xfId="0" applyNumberFormat="1" applyFont="1" applyFill="1" applyBorder="1" applyAlignment="1">
      <alignment horizontal="center" vertical="center"/>
    </xf>
    <xf numFmtId="2" fontId="12" fillId="11" borderId="34" xfId="0" applyNumberFormat="1" applyFont="1" applyFill="1" applyBorder="1" applyAlignment="1">
      <alignment horizontal="center" vertical="center"/>
    </xf>
    <xf numFmtId="166" fontId="10" fillId="12" borderId="31" xfId="0" applyNumberFormat="1" applyFont="1" applyFill="1" applyBorder="1" applyAlignment="1">
      <alignment horizontal="center" vertical="center"/>
    </xf>
    <xf numFmtId="166" fontId="12" fillId="11" borderId="16" xfId="0" applyNumberFormat="1" applyFont="1" applyFill="1" applyBorder="1" applyAlignment="1">
      <alignment horizontal="center" vertical="center"/>
    </xf>
    <xf numFmtId="166" fontId="0" fillId="12" borderId="14" xfId="0" applyNumberFormat="1" applyFill="1" applyBorder="1" applyAlignment="1">
      <alignment horizontal="center"/>
    </xf>
    <xf numFmtId="166" fontId="11" fillId="12" borderId="16" xfId="0" applyNumberFormat="1" applyFont="1" applyFill="1" applyBorder="1" applyAlignment="1">
      <alignment horizontal="center" vertical="center"/>
    </xf>
    <xf numFmtId="166" fontId="12" fillId="12" borderId="14" xfId="0" applyNumberFormat="1" applyFont="1" applyFill="1" applyBorder="1" applyAlignment="1">
      <alignment horizontal="center" vertical="center"/>
    </xf>
    <xf numFmtId="166" fontId="9" fillId="19" borderId="31" xfId="0" applyNumberFormat="1" applyFont="1" applyFill="1" applyBorder="1" applyAlignment="1">
      <alignment horizontal="center"/>
    </xf>
    <xf numFmtId="0" fontId="9" fillId="19" borderId="11" xfId="0" applyFont="1" applyFill="1" applyBorder="1" applyAlignment="1">
      <alignment horizontal="center"/>
    </xf>
    <xf numFmtId="0" fontId="9" fillId="12" borderId="35" xfId="0" applyFont="1" applyFill="1" applyBorder="1" applyAlignment="1">
      <alignment horizontal="center"/>
    </xf>
    <xf numFmtId="2" fontId="12" fillId="11" borderId="18" xfId="0" applyNumberFormat="1" applyFont="1" applyFill="1" applyBorder="1" applyAlignment="1">
      <alignment horizontal="center" vertical="center"/>
    </xf>
    <xf numFmtId="2" fontId="12" fillId="14" borderId="18" xfId="0" applyNumberFormat="1" applyFont="1" applyFill="1" applyBorder="1" applyAlignment="1">
      <alignment horizontal="center" vertical="center"/>
    </xf>
    <xf numFmtId="2" fontId="12" fillId="15" borderId="18" xfId="0" applyNumberFormat="1" applyFont="1" applyFill="1" applyBorder="1" applyAlignment="1">
      <alignment horizontal="center" vertical="center"/>
    </xf>
    <xf numFmtId="2" fontId="12" fillId="16" borderId="18" xfId="0" applyNumberFormat="1" applyFont="1" applyFill="1" applyBorder="1" applyAlignment="1">
      <alignment horizontal="center" vertical="center"/>
    </xf>
    <xf numFmtId="166" fontId="12" fillId="11" borderId="17" xfId="0" applyNumberFormat="1" applyFont="1" applyFill="1" applyBorder="1" applyAlignment="1">
      <alignment horizontal="center" vertical="center"/>
    </xf>
    <xf numFmtId="166" fontId="11" fillId="14" borderId="17" xfId="0" applyNumberFormat="1" applyFont="1" applyFill="1" applyBorder="1" applyAlignment="1">
      <alignment horizontal="center" vertical="center"/>
    </xf>
    <xf numFmtId="166" fontId="11" fillId="15" borderId="17" xfId="0" applyNumberFormat="1" applyFont="1" applyFill="1" applyBorder="1" applyAlignment="1">
      <alignment horizontal="center" vertical="center"/>
    </xf>
    <xf numFmtId="166" fontId="11" fillId="16" borderId="17" xfId="0" applyNumberFormat="1" applyFont="1" applyFill="1" applyBorder="1" applyAlignment="1">
      <alignment horizontal="center" vertical="center"/>
    </xf>
    <xf numFmtId="167" fontId="0" fillId="4" borderId="1" xfId="1" applyNumberFormat="1" applyFont="1" applyFill="1" applyBorder="1"/>
    <xf numFmtId="2" fontId="0" fillId="17" borderId="14" xfId="0" applyNumberFormat="1" applyFill="1" applyBorder="1" applyAlignment="1">
      <alignment horizontal="center"/>
    </xf>
    <xf numFmtId="166" fontId="11" fillId="17" borderId="16" xfId="0" applyNumberFormat="1" applyFont="1" applyFill="1" applyBorder="1" applyAlignment="1">
      <alignment horizontal="center" vertical="center"/>
    </xf>
    <xf numFmtId="2" fontId="12" fillId="17" borderId="14" xfId="0" applyNumberFormat="1" applyFont="1" applyFill="1" applyBorder="1" applyAlignment="1">
      <alignment horizontal="center" vertical="center"/>
    </xf>
    <xf numFmtId="166" fontId="11" fillId="17" borderId="17" xfId="0" applyNumberFormat="1" applyFont="1" applyFill="1" applyBorder="1" applyAlignment="1">
      <alignment horizontal="center" vertical="center"/>
    </xf>
    <xf numFmtId="2" fontId="12" fillId="17" borderId="18" xfId="0" applyNumberFormat="1" applyFont="1" applyFill="1" applyBorder="1" applyAlignment="1">
      <alignment horizontal="center" vertical="center"/>
    </xf>
    <xf numFmtId="1" fontId="11" fillId="17" borderId="16" xfId="0" applyNumberFormat="1" applyFont="1" applyFill="1" applyBorder="1" applyAlignment="1">
      <alignment horizontal="center" vertical="center"/>
    </xf>
    <xf numFmtId="1" fontId="11" fillId="17" borderId="1" xfId="0" applyNumberFormat="1" applyFont="1" applyFill="1" applyBorder="1" applyAlignment="1">
      <alignment horizontal="center" vertical="center"/>
    </xf>
    <xf numFmtId="1" fontId="11" fillId="17" borderId="1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11" borderId="0" xfId="0" applyFont="1" applyFill="1" applyAlignment="1">
      <alignment vertical="center"/>
    </xf>
    <xf numFmtId="0" fontId="17" fillId="4" borderId="0" xfId="0" applyFont="1" applyFill="1"/>
    <xf numFmtId="0" fontId="18" fillId="4" borderId="0" xfId="0" applyFont="1" applyFill="1" applyAlignment="1">
      <alignment horizontal="center"/>
    </xf>
    <xf numFmtId="0" fontId="20" fillId="4" borderId="0" xfId="0" applyFont="1" applyFill="1"/>
    <xf numFmtId="165" fontId="10" fillId="21" borderId="14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0" fillId="0" borderId="0" xfId="0" applyBorder="1"/>
    <xf numFmtId="0" fontId="7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8" fillId="8" borderId="0" xfId="0" applyFont="1" applyFill="1" applyAlignment="1">
      <alignment horizontal="left" vertical="center"/>
    </xf>
    <xf numFmtId="0" fontId="0" fillId="8" borderId="0" xfId="0" applyFill="1" applyAlignment="1">
      <alignment vertical="center"/>
    </xf>
    <xf numFmtId="0" fontId="15" fillId="2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164" fontId="0" fillId="4" borderId="26" xfId="1" applyNumberFormat="1" applyFont="1" applyFill="1" applyBorder="1"/>
    <xf numFmtId="1" fontId="0" fillId="4" borderId="26" xfId="0" applyNumberFormat="1" applyFill="1" applyBorder="1"/>
    <xf numFmtId="164" fontId="0" fillId="4" borderId="18" xfId="1" applyNumberFormat="1" applyFont="1" applyFill="1" applyBorder="1"/>
    <xf numFmtId="1" fontId="0" fillId="4" borderId="18" xfId="0" applyNumberFormat="1" applyFill="1" applyBorder="1"/>
    <xf numFmtId="17" fontId="16" fillId="20" borderId="37" xfId="0" applyNumberFormat="1" applyFont="1" applyFill="1" applyBorder="1" applyAlignment="1">
      <alignment horizontal="center" vertical="center"/>
    </xf>
    <xf numFmtId="0" fontId="0" fillId="3" borderId="36" xfId="0" applyFill="1" applyBorder="1" applyAlignment="1">
      <alignment vertical="center"/>
    </xf>
    <xf numFmtId="164" fontId="19" fillId="6" borderId="14" xfId="1" applyNumberFormat="1" applyFont="1" applyFill="1" applyBorder="1" applyAlignment="1">
      <alignment horizontal="center" vertical="center"/>
    </xf>
    <xf numFmtId="164" fontId="19" fillId="9" borderId="14" xfId="1" applyNumberFormat="1" applyFont="1" applyFill="1" applyBorder="1" applyAlignment="1">
      <alignment horizontal="center" vertical="center"/>
    </xf>
    <xf numFmtId="1" fontId="12" fillId="5" borderId="14" xfId="0" applyNumberFormat="1" applyFont="1" applyFill="1" applyBorder="1"/>
    <xf numFmtId="0" fontId="0" fillId="8" borderId="36" xfId="0" applyFill="1" applyBorder="1" applyAlignment="1">
      <alignment vertical="center"/>
    </xf>
    <xf numFmtId="164" fontId="0" fillId="4" borderId="31" xfId="1" applyNumberFormat="1" applyFont="1" applyFill="1" applyBorder="1"/>
    <xf numFmtId="164" fontId="4" fillId="6" borderId="0" xfId="1" applyNumberFormat="1" applyFont="1" applyFill="1" applyAlignment="1">
      <alignment horizontal="center"/>
    </xf>
    <xf numFmtId="164" fontId="4" fillId="6" borderId="38" xfId="1" applyNumberFormat="1" applyFont="1" applyFill="1" applyBorder="1" applyAlignment="1">
      <alignment horizontal="center"/>
    </xf>
    <xf numFmtId="164" fontId="1" fillId="9" borderId="0" xfId="1" applyNumberFormat="1" applyFont="1" applyFill="1" applyAlignment="1">
      <alignment horizontal="center"/>
    </xf>
    <xf numFmtId="0" fontId="0" fillId="9" borderId="0" xfId="0" applyFill="1"/>
    <xf numFmtId="17" fontId="21" fillId="2" borderId="0" xfId="0" applyNumberFormat="1" applyFont="1" applyFill="1" applyAlignment="1">
      <alignment horizontal="center" vertical="center"/>
    </xf>
    <xf numFmtId="1" fontId="9" fillId="12" borderId="13" xfId="0" applyNumberFormat="1" applyFont="1" applyFill="1" applyBorder="1" applyAlignment="1">
      <alignment horizontal="center"/>
    </xf>
    <xf numFmtId="1" fontId="10" fillId="12" borderId="8" xfId="0" applyNumberFormat="1" applyFont="1" applyFill="1" applyBorder="1" applyAlignment="1">
      <alignment horizontal="center" vertical="center"/>
    </xf>
    <xf numFmtId="166" fontId="12" fillId="19" borderId="16" xfId="0" applyNumberFormat="1" applyFont="1" applyFill="1" applyBorder="1" applyAlignment="1">
      <alignment horizontal="center" vertical="center"/>
    </xf>
    <xf numFmtId="166" fontId="12" fillId="19" borderId="17" xfId="0" applyNumberFormat="1" applyFont="1" applyFill="1" applyBorder="1" applyAlignment="1">
      <alignment horizontal="center" vertical="center"/>
    </xf>
    <xf numFmtId="164" fontId="23" fillId="4" borderId="1" xfId="1" applyNumberFormat="1" applyFont="1" applyFill="1" applyBorder="1"/>
    <xf numFmtId="164" fontId="23" fillId="4" borderId="26" xfId="1" applyNumberFormat="1" applyFont="1" applyFill="1" applyBorder="1"/>
    <xf numFmtId="164" fontId="23" fillId="4" borderId="18" xfId="1" applyNumberFormat="1" applyFont="1" applyFill="1" applyBorder="1"/>
    <xf numFmtId="166" fontId="11" fillId="19" borderId="16" xfId="0" applyNumberFormat="1" applyFont="1" applyFill="1" applyBorder="1" applyAlignment="1">
      <alignment horizontal="center" vertical="center"/>
    </xf>
    <xf numFmtId="167" fontId="1" fillId="9" borderId="0" xfId="1" applyNumberFormat="1" applyFont="1" applyFill="1" applyAlignment="1">
      <alignment horizontal="center"/>
    </xf>
    <xf numFmtId="167" fontId="4" fillId="6" borderId="38" xfId="1" applyNumberFormat="1" applyFont="1" applyFill="1" applyBorder="1" applyAlignment="1">
      <alignment horizontal="center"/>
    </xf>
    <xf numFmtId="164" fontId="1" fillId="9" borderId="38" xfId="1" applyNumberFormat="1" applyFont="1" applyFill="1" applyBorder="1" applyAlignment="1">
      <alignment horizontal="center"/>
    </xf>
    <xf numFmtId="164" fontId="1" fillId="9" borderId="20" xfId="1" applyNumberFormat="1" applyFont="1" applyFill="1" applyBorder="1" applyAlignment="1">
      <alignment horizontal="center"/>
    </xf>
    <xf numFmtId="0" fontId="9" fillId="12" borderId="24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9" fillId="12" borderId="7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0" fontId="9" fillId="12" borderId="6" xfId="0" applyFont="1" applyFill="1" applyBorder="1" applyAlignment="1">
      <alignment horizontal="center"/>
    </xf>
    <xf numFmtId="0" fontId="9" fillId="12" borderId="27" xfId="0" applyFont="1" applyFill="1" applyBorder="1" applyAlignment="1">
      <alignment horizontal="center"/>
    </xf>
    <xf numFmtId="0" fontId="9" fillId="12" borderId="33" xfId="0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showGridLines="0" tabSelected="1" zoomScale="85" zoomScaleNormal="85" workbookViewId="0">
      <pane ySplit="3" topLeftCell="A4" activePane="bottomLeft" state="frozen"/>
      <selection pane="bottomLeft" activeCell="B37" sqref="B37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/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4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72"/>
      <c r="O3" s="70"/>
      <c r="P3" s="16"/>
      <c r="Q3" s="17"/>
      <c r="R3" s="16"/>
      <c r="S3" s="17"/>
    </row>
    <row r="4" spans="1:19" x14ac:dyDescent="0.25">
      <c r="A4" s="18">
        <v>45809</v>
      </c>
      <c r="B4" s="19">
        <f t="shared" ref="B4:B33" si="0">C4/8</f>
        <v>0</v>
      </c>
      <c r="C4" s="20">
        <v>0</v>
      </c>
      <c r="D4" s="19">
        <f t="shared" ref="D4:D33" si="1">E4/8</f>
        <v>0</v>
      </c>
      <c r="E4" s="21">
        <v>0</v>
      </c>
      <c r="F4" s="22">
        <f t="shared" ref="F4:L33" si="2">G4/8</f>
        <v>0</v>
      </c>
      <c r="G4" s="21"/>
      <c r="H4" s="23">
        <f t="shared" si="2"/>
        <v>0</v>
      </c>
      <c r="I4" s="21"/>
      <c r="J4" s="22">
        <f t="shared" si="2"/>
        <v>0</v>
      </c>
      <c r="K4" s="21"/>
      <c r="L4" s="22">
        <f t="shared" si="2"/>
        <v>0</v>
      </c>
      <c r="M4" s="21"/>
      <c r="N4" s="71"/>
      <c r="O4" s="25"/>
      <c r="P4" s="24"/>
      <c r="Q4" s="26"/>
      <c r="R4" s="24"/>
      <c r="S4" s="26"/>
    </row>
    <row r="5" spans="1:19" x14ac:dyDescent="0.25">
      <c r="A5" s="18">
        <v>45810</v>
      </c>
      <c r="B5" s="22">
        <f>C5/8</f>
        <v>0</v>
      </c>
      <c r="C5" s="20">
        <v>0</v>
      </c>
      <c r="D5" s="22">
        <f t="shared" si="1"/>
        <v>0</v>
      </c>
      <c r="E5" s="27">
        <v>0</v>
      </c>
      <c r="F5" s="22">
        <f t="shared" si="2"/>
        <v>0</v>
      </c>
      <c r="G5" s="21"/>
      <c r="H5" s="23">
        <f t="shared" si="2"/>
        <v>0</v>
      </c>
      <c r="I5" s="21"/>
      <c r="J5" s="22">
        <f t="shared" si="2"/>
        <v>0</v>
      </c>
      <c r="K5" s="21"/>
      <c r="L5" s="22">
        <f t="shared" si="2"/>
        <v>0</v>
      </c>
      <c r="M5" s="21"/>
      <c r="N5" s="24"/>
      <c r="O5" s="25"/>
      <c r="P5" s="24"/>
      <c r="Q5" s="26"/>
      <c r="R5" s="24"/>
      <c r="S5" s="26"/>
    </row>
    <row r="6" spans="1:19" x14ac:dyDescent="0.25">
      <c r="A6" s="18">
        <v>45811</v>
      </c>
      <c r="B6" s="22">
        <f t="shared" si="0"/>
        <v>0</v>
      </c>
      <c r="C6" s="20">
        <v>0</v>
      </c>
      <c r="D6" s="22">
        <f t="shared" si="1"/>
        <v>0</v>
      </c>
      <c r="E6" s="21">
        <v>0</v>
      </c>
      <c r="F6" s="22">
        <f t="shared" si="2"/>
        <v>0</v>
      </c>
      <c r="G6" s="21"/>
      <c r="H6" s="23">
        <f t="shared" si="2"/>
        <v>0</v>
      </c>
      <c r="I6" s="21"/>
      <c r="J6" s="22">
        <f t="shared" si="2"/>
        <v>0</v>
      </c>
      <c r="K6" s="21"/>
      <c r="L6" s="22">
        <f t="shared" si="2"/>
        <v>0</v>
      </c>
      <c r="M6" s="21"/>
      <c r="N6" s="24"/>
      <c r="O6" s="25"/>
      <c r="P6" s="24"/>
      <c r="Q6" s="26"/>
      <c r="R6" s="24"/>
      <c r="S6" s="26"/>
    </row>
    <row r="7" spans="1:19" x14ac:dyDescent="0.25">
      <c r="A7" s="18">
        <v>45812</v>
      </c>
      <c r="B7" s="28">
        <f t="shared" si="0"/>
        <v>0</v>
      </c>
      <c r="C7" s="29"/>
      <c r="D7" s="28">
        <f t="shared" si="1"/>
        <v>0</v>
      </c>
      <c r="E7" s="30"/>
      <c r="F7" s="28">
        <f t="shared" si="2"/>
        <v>0</v>
      </c>
      <c r="G7" s="30"/>
      <c r="H7" s="31">
        <f t="shared" si="2"/>
        <v>0</v>
      </c>
      <c r="I7" s="30"/>
      <c r="J7" s="28">
        <f t="shared" si="2"/>
        <v>0</v>
      </c>
      <c r="K7" s="30"/>
      <c r="L7" s="28">
        <f t="shared" si="2"/>
        <v>0</v>
      </c>
      <c r="M7" s="30"/>
      <c r="N7" s="32"/>
      <c r="O7" s="33"/>
      <c r="P7" s="32"/>
      <c r="Q7" s="34"/>
      <c r="R7" s="32"/>
      <c r="S7" s="34"/>
    </row>
    <row r="8" spans="1:19" x14ac:dyDescent="0.25">
      <c r="A8" s="18">
        <v>45813</v>
      </c>
      <c r="B8" s="22">
        <f t="shared" si="0"/>
        <v>0</v>
      </c>
      <c r="C8" s="20">
        <v>0</v>
      </c>
      <c r="D8" s="22">
        <f t="shared" si="1"/>
        <v>0</v>
      </c>
      <c r="E8" s="27">
        <v>0</v>
      </c>
      <c r="F8" s="22">
        <f t="shared" si="2"/>
        <v>0</v>
      </c>
      <c r="G8" s="21"/>
      <c r="H8" s="23">
        <f t="shared" si="2"/>
        <v>0</v>
      </c>
      <c r="I8" s="21"/>
      <c r="J8" s="23">
        <v>0</v>
      </c>
      <c r="K8" s="21"/>
      <c r="L8" s="23">
        <v>0</v>
      </c>
      <c r="M8" s="21"/>
      <c r="N8" s="24"/>
      <c r="O8" s="25"/>
      <c r="P8" s="24"/>
      <c r="Q8" s="26"/>
      <c r="R8" s="24"/>
      <c r="S8" s="26"/>
    </row>
    <row r="9" spans="1:19" x14ac:dyDescent="0.25">
      <c r="A9" s="18">
        <v>45814</v>
      </c>
      <c r="B9" s="35">
        <f t="shared" si="0"/>
        <v>0</v>
      </c>
      <c r="C9" s="20">
        <v>0</v>
      </c>
      <c r="D9" s="35">
        <f t="shared" si="1"/>
        <v>0</v>
      </c>
      <c r="E9" s="21">
        <v>0</v>
      </c>
      <c r="F9" s="23">
        <f t="shared" si="2"/>
        <v>0</v>
      </c>
      <c r="G9" s="27"/>
      <c r="H9" s="23">
        <f t="shared" si="2"/>
        <v>0</v>
      </c>
      <c r="I9" s="27"/>
      <c r="J9" s="23">
        <f t="shared" si="2"/>
        <v>0</v>
      </c>
      <c r="K9" s="27"/>
      <c r="L9" s="23">
        <f t="shared" si="2"/>
        <v>0</v>
      </c>
      <c r="M9" s="27"/>
      <c r="N9" s="36"/>
      <c r="O9" s="25"/>
      <c r="P9" s="24"/>
      <c r="Q9" s="37"/>
      <c r="R9" s="24"/>
      <c r="S9" s="37"/>
    </row>
    <row r="10" spans="1:19" x14ac:dyDescent="0.25">
      <c r="A10" s="18">
        <v>45815</v>
      </c>
      <c r="B10" s="35">
        <f t="shared" si="0"/>
        <v>0</v>
      </c>
      <c r="C10" s="27">
        <v>0</v>
      </c>
      <c r="D10" s="35">
        <f t="shared" si="1"/>
        <v>0</v>
      </c>
      <c r="E10" s="27">
        <v>0</v>
      </c>
      <c r="F10" s="23">
        <f t="shared" si="2"/>
        <v>0</v>
      </c>
      <c r="G10" s="27"/>
      <c r="H10" s="23">
        <f t="shared" si="2"/>
        <v>0</v>
      </c>
      <c r="I10" s="27"/>
      <c r="J10" s="23">
        <f t="shared" si="2"/>
        <v>0</v>
      </c>
      <c r="K10" s="27"/>
      <c r="L10" s="23">
        <f t="shared" si="2"/>
        <v>0</v>
      </c>
      <c r="M10" s="27"/>
      <c r="N10" s="36"/>
      <c r="O10" s="25"/>
      <c r="P10" s="24"/>
      <c r="Q10" s="37"/>
      <c r="R10" s="24"/>
      <c r="S10" s="37"/>
    </row>
    <row r="11" spans="1:19" x14ac:dyDescent="0.25">
      <c r="A11" s="18">
        <v>45816</v>
      </c>
      <c r="B11" s="35">
        <f t="shared" si="0"/>
        <v>0</v>
      </c>
      <c r="C11" s="27">
        <v>0</v>
      </c>
      <c r="D11" s="35">
        <f t="shared" si="1"/>
        <v>0</v>
      </c>
      <c r="E11" s="27">
        <v>0</v>
      </c>
      <c r="F11" s="23">
        <f t="shared" si="2"/>
        <v>0</v>
      </c>
      <c r="G11" s="27"/>
      <c r="H11" s="23">
        <f t="shared" si="2"/>
        <v>0</v>
      </c>
      <c r="I11" s="27"/>
      <c r="J11" s="23">
        <f t="shared" si="2"/>
        <v>0</v>
      </c>
      <c r="K11" s="27"/>
      <c r="L11" s="23">
        <f t="shared" si="2"/>
        <v>0</v>
      </c>
      <c r="M11" s="27"/>
      <c r="N11" s="36"/>
      <c r="O11" s="25"/>
      <c r="P11" s="24"/>
      <c r="Q11" s="37"/>
      <c r="R11" s="24"/>
      <c r="S11" s="37"/>
    </row>
    <row r="12" spans="1:19" x14ac:dyDescent="0.25">
      <c r="A12" s="18">
        <v>45817</v>
      </c>
      <c r="B12" s="35">
        <f t="shared" si="0"/>
        <v>0</v>
      </c>
      <c r="C12" s="27">
        <v>0</v>
      </c>
      <c r="D12" s="35">
        <f t="shared" si="1"/>
        <v>0</v>
      </c>
      <c r="E12" s="27">
        <v>0</v>
      </c>
      <c r="F12" s="23">
        <f t="shared" si="2"/>
        <v>0</v>
      </c>
      <c r="G12" s="27"/>
      <c r="H12" s="23">
        <f t="shared" si="2"/>
        <v>0</v>
      </c>
      <c r="I12" s="27"/>
      <c r="J12" s="23">
        <f t="shared" si="2"/>
        <v>0</v>
      </c>
      <c r="K12" s="27"/>
      <c r="L12" s="23">
        <f t="shared" si="2"/>
        <v>0</v>
      </c>
      <c r="M12" s="27"/>
      <c r="N12" s="36"/>
      <c r="O12" s="25"/>
      <c r="P12" s="24"/>
      <c r="Q12" s="37"/>
      <c r="R12" s="24"/>
      <c r="S12" s="37"/>
    </row>
    <row r="13" spans="1:19" x14ac:dyDescent="0.25">
      <c r="A13" s="18">
        <v>45818</v>
      </c>
      <c r="B13" s="35">
        <f>C13/8</f>
        <v>0</v>
      </c>
      <c r="C13" s="27">
        <v>0</v>
      </c>
      <c r="D13" s="35">
        <f>E13/8</f>
        <v>0</v>
      </c>
      <c r="E13" s="27">
        <v>0</v>
      </c>
      <c r="F13" s="23">
        <f t="shared" si="2"/>
        <v>0</v>
      </c>
      <c r="G13" s="27"/>
      <c r="H13" s="23">
        <f t="shared" si="2"/>
        <v>0</v>
      </c>
      <c r="I13" s="27"/>
      <c r="J13" s="23">
        <f t="shared" si="2"/>
        <v>0</v>
      </c>
      <c r="K13" s="27"/>
      <c r="L13" s="23">
        <f t="shared" si="2"/>
        <v>0</v>
      </c>
      <c r="M13" s="27"/>
      <c r="N13" s="36"/>
      <c r="O13" s="25"/>
      <c r="P13" s="24"/>
      <c r="Q13" s="37"/>
      <c r="R13" s="24"/>
      <c r="S13" s="37"/>
    </row>
    <row r="14" spans="1:19" x14ac:dyDescent="0.25">
      <c r="A14" s="18">
        <v>45819</v>
      </c>
      <c r="B14" s="39">
        <f t="shared" si="0"/>
        <v>0</v>
      </c>
      <c r="C14" s="38"/>
      <c r="D14" s="39">
        <f t="shared" si="1"/>
        <v>0</v>
      </c>
      <c r="E14" s="38"/>
      <c r="F14" s="31">
        <f t="shared" si="2"/>
        <v>0</v>
      </c>
      <c r="G14" s="38"/>
      <c r="H14" s="31">
        <f t="shared" si="2"/>
        <v>0</v>
      </c>
      <c r="I14" s="38"/>
      <c r="J14" s="31">
        <f t="shared" si="2"/>
        <v>0</v>
      </c>
      <c r="K14" s="38"/>
      <c r="L14" s="31">
        <f t="shared" si="2"/>
        <v>0</v>
      </c>
      <c r="M14" s="38"/>
      <c r="N14" s="40"/>
      <c r="O14" s="33"/>
      <c r="P14" s="32"/>
      <c r="Q14" s="41"/>
      <c r="R14" s="32"/>
      <c r="S14" s="41"/>
    </row>
    <row r="15" spans="1:19" x14ac:dyDescent="0.25">
      <c r="A15" s="18">
        <v>45820</v>
      </c>
      <c r="B15" s="35">
        <f t="shared" si="0"/>
        <v>0</v>
      </c>
      <c r="C15" s="27">
        <v>0</v>
      </c>
      <c r="D15" s="35">
        <f t="shared" si="1"/>
        <v>0</v>
      </c>
      <c r="E15" s="27">
        <v>0</v>
      </c>
      <c r="F15" s="23">
        <f t="shared" si="2"/>
        <v>0</v>
      </c>
      <c r="G15" s="27"/>
      <c r="H15" s="23">
        <f t="shared" si="2"/>
        <v>0</v>
      </c>
      <c r="I15" s="27"/>
      <c r="J15" s="23">
        <f t="shared" si="2"/>
        <v>0</v>
      </c>
      <c r="K15" s="27"/>
      <c r="L15" s="23">
        <f t="shared" si="2"/>
        <v>0</v>
      </c>
      <c r="M15" s="27"/>
      <c r="N15" s="36"/>
      <c r="O15" s="25"/>
      <c r="P15" s="24"/>
      <c r="Q15" s="37"/>
      <c r="R15" s="24"/>
      <c r="S15" s="37"/>
    </row>
    <row r="16" spans="1:19" x14ac:dyDescent="0.25">
      <c r="A16" s="18">
        <v>45821</v>
      </c>
      <c r="B16" s="35">
        <f t="shared" si="0"/>
        <v>0</v>
      </c>
      <c r="C16" s="27">
        <v>0</v>
      </c>
      <c r="D16" s="35">
        <f t="shared" si="1"/>
        <v>0</v>
      </c>
      <c r="E16" s="27">
        <v>0</v>
      </c>
      <c r="F16" s="23">
        <f t="shared" si="2"/>
        <v>0</v>
      </c>
      <c r="G16" s="27"/>
      <c r="H16" s="23">
        <f t="shared" si="2"/>
        <v>0</v>
      </c>
      <c r="I16" s="27"/>
      <c r="J16" s="23">
        <f t="shared" si="2"/>
        <v>0</v>
      </c>
      <c r="K16" s="27"/>
      <c r="L16" s="23">
        <f t="shared" si="2"/>
        <v>0</v>
      </c>
      <c r="M16" s="27"/>
      <c r="N16" s="36"/>
      <c r="O16" s="25"/>
      <c r="P16" s="24"/>
      <c r="Q16" s="37"/>
      <c r="R16" s="24"/>
      <c r="S16" s="37"/>
    </row>
    <row r="17" spans="1:19" x14ac:dyDescent="0.25">
      <c r="A17" s="18">
        <v>45822</v>
      </c>
      <c r="B17" s="35">
        <f t="shared" si="0"/>
        <v>0</v>
      </c>
      <c r="C17" s="27">
        <v>0</v>
      </c>
      <c r="D17" s="35">
        <f t="shared" si="1"/>
        <v>0</v>
      </c>
      <c r="E17" s="27">
        <v>0</v>
      </c>
      <c r="F17" s="23">
        <f t="shared" si="2"/>
        <v>0</v>
      </c>
      <c r="G17" s="27"/>
      <c r="H17" s="23">
        <f t="shared" si="2"/>
        <v>0</v>
      </c>
      <c r="I17" s="27"/>
      <c r="J17" s="23">
        <f t="shared" si="2"/>
        <v>0</v>
      </c>
      <c r="K17" s="27"/>
      <c r="L17" s="23">
        <f t="shared" si="2"/>
        <v>0</v>
      </c>
      <c r="M17" s="27"/>
      <c r="N17" s="36"/>
      <c r="O17" s="25"/>
      <c r="P17" s="24"/>
      <c r="Q17" s="37"/>
      <c r="R17" s="24"/>
      <c r="S17" s="37"/>
    </row>
    <row r="18" spans="1:19" x14ac:dyDescent="0.25">
      <c r="A18" s="18">
        <v>45823</v>
      </c>
      <c r="B18" s="35">
        <f t="shared" si="0"/>
        <v>0</v>
      </c>
      <c r="C18" s="27">
        <v>0</v>
      </c>
      <c r="D18" s="35">
        <f t="shared" si="1"/>
        <v>0</v>
      </c>
      <c r="E18" s="27">
        <v>0</v>
      </c>
      <c r="F18" s="23">
        <f t="shared" si="2"/>
        <v>0</v>
      </c>
      <c r="G18" s="27"/>
      <c r="H18" s="23">
        <f t="shared" si="2"/>
        <v>0</v>
      </c>
      <c r="I18" s="27"/>
      <c r="J18" s="23">
        <f t="shared" si="2"/>
        <v>0</v>
      </c>
      <c r="K18" s="27"/>
      <c r="L18" s="23">
        <f t="shared" si="2"/>
        <v>0</v>
      </c>
      <c r="M18" s="27"/>
      <c r="N18" s="36"/>
      <c r="O18" s="25"/>
      <c r="P18" s="24"/>
      <c r="Q18" s="37"/>
      <c r="R18" s="24"/>
      <c r="S18" s="37"/>
    </row>
    <row r="19" spans="1:19" x14ac:dyDescent="0.25">
      <c r="A19" s="18">
        <v>45824</v>
      </c>
      <c r="B19" s="35">
        <f t="shared" si="0"/>
        <v>0</v>
      </c>
      <c r="C19" s="27">
        <v>0</v>
      </c>
      <c r="D19" s="35">
        <f t="shared" si="1"/>
        <v>0</v>
      </c>
      <c r="E19" s="27">
        <v>0</v>
      </c>
      <c r="F19" s="23">
        <f t="shared" si="2"/>
        <v>0</v>
      </c>
      <c r="G19" s="27"/>
      <c r="H19" s="23">
        <f t="shared" si="2"/>
        <v>0</v>
      </c>
      <c r="I19" s="27"/>
      <c r="J19" s="23">
        <f t="shared" si="2"/>
        <v>0</v>
      </c>
      <c r="K19" s="27"/>
      <c r="L19" s="23">
        <f t="shared" si="2"/>
        <v>0</v>
      </c>
      <c r="M19" s="27"/>
      <c r="N19" s="36"/>
      <c r="O19" s="25"/>
      <c r="P19" s="24"/>
      <c r="Q19" s="37"/>
      <c r="R19" s="24"/>
      <c r="S19" s="37"/>
    </row>
    <row r="20" spans="1:19" x14ac:dyDescent="0.25">
      <c r="A20" s="18">
        <v>45825</v>
      </c>
      <c r="B20" s="35">
        <f t="shared" si="0"/>
        <v>0</v>
      </c>
      <c r="C20" s="27">
        <v>0</v>
      </c>
      <c r="D20" s="35">
        <f t="shared" si="1"/>
        <v>0</v>
      </c>
      <c r="E20" s="27">
        <v>0</v>
      </c>
      <c r="F20" s="23">
        <f t="shared" si="2"/>
        <v>0</v>
      </c>
      <c r="G20" s="27"/>
      <c r="H20" s="23">
        <f t="shared" si="2"/>
        <v>0</v>
      </c>
      <c r="I20" s="27"/>
      <c r="J20" s="23">
        <f t="shared" si="2"/>
        <v>0</v>
      </c>
      <c r="K20" s="27"/>
      <c r="L20" s="23">
        <f t="shared" si="2"/>
        <v>0</v>
      </c>
      <c r="M20" s="27"/>
      <c r="N20" s="36"/>
      <c r="O20" s="25"/>
      <c r="P20" s="24"/>
      <c r="Q20" s="37"/>
      <c r="R20" s="24"/>
      <c r="S20" s="37"/>
    </row>
    <row r="21" spans="1:19" x14ac:dyDescent="0.25">
      <c r="A21" s="18">
        <v>45826</v>
      </c>
      <c r="B21" s="43">
        <f t="shared" si="0"/>
        <v>0</v>
      </c>
      <c r="C21" s="42"/>
      <c r="D21" s="43">
        <f t="shared" si="1"/>
        <v>0</v>
      </c>
      <c r="E21" s="42"/>
      <c r="F21" s="44">
        <f t="shared" si="2"/>
        <v>0</v>
      </c>
      <c r="G21" s="42"/>
      <c r="H21" s="44">
        <f t="shared" si="2"/>
        <v>0</v>
      </c>
      <c r="I21" s="42"/>
      <c r="J21" s="44">
        <f t="shared" si="2"/>
        <v>0</v>
      </c>
      <c r="K21" s="42"/>
      <c r="L21" s="44">
        <f t="shared" si="2"/>
        <v>0</v>
      </c>
      <c r="M21" s="42"/>
      <c r="N21" s="45"/>
      <c r="O21" s="46"/>
      <c r="P21" s="47"/>
      <c r="Q21" s="48"/>
      <c r="R21" s="47"/>
      <c r="S21" s="48"/>
    </row>
    <row r="22" spans="1:19" x14ac:dyDescent="0.25">
      <c r="A22" s="18">
        <v>45827</v>
      </c>
      <c r="B22" s="35">
        <f t="shared" si="0"/>
        <v>0</v>
      </c>
      <c r="C22" s="27">
        <v>0</v>
      </c>
      <c r="D22" s="35">
        <f t="shared" si="1"/>
        <v>0</v>
      </c>
      <c r="E22" s="27">
        <v>0</v>
      </c>
      <c r="F22" s="23">
        <f t="shared" si="2"/>
        <v>0</v>
      </c>
      <c r="G22" s="27"/>
      <c r="H22" s="23">
        <f t="shared" si="2"/>
        <v>0</v>
      </c>
      <c r="I22" s="27"/>
      <c r="J22" s="23">
        <f t="shared" si="2"/>
        <v>0</v>
      </c>
      <c r="K22" s="27"/>
      <c r="L22" s="23">
        <f t="shared" si="2"/>
        <v>0</v>
      </c>
      <c r="M22" s="27"/>
      <c r="N22" s="36"/>
      <c r="O22" s="25"/>
      <c r="P22" s="24"/>
      <c r="Q22" s="37"/>
      <c r="R22" s="24"/>
      <c r="S22" s="37"/>
    </row>
    <row r="23" spans="1:19" x14ac:dyDescent="0.25">
      <c r="A23" s="18">
        <v>45828</v>
      </c>
      <c r="B23" s="35">
        <f t="shared" si="0"/>
        <v>0</v>
      </c>
      <c r="C23" s="27">
        <v>0</v>
      </c>
      <c r="D23" s="35">
        <f t="shared" si="1"/>
        <v>0</v>
      </c>
      <c r="E23" s="27">
        <v>0</v>
      </c>
      <c r="F23" s="23">
        <f t="shared" si="2"/>
        <v>0</v>
      </c>
      <c r="G23" s="27"/>
      <c r="H23" s="23">
        <f t="shared" si="2"/>
        <v>0</v>
      </c>
      <c r="I23" s="27"/>
      <c r="J23" s="23">
        <f t="shared" si="2"/>
        <v>0</v>
      </c>
      <c r="K23" s="27"/>
      <c r="L23" s="23">
        <f t="shared" si="2"/>
        <v>0</v>
      </c>
      <c r="M23" s="27"/>
      <c r="N23" s="36"/>
      <c r="O23" s="25"/>
      <c r="P23" s="24"/>
      <c r="Q23" s="37"/>
      <c r="R23" s="24"/>
      <c r="S23" s="37"/>
    </row>
    <row r="24" spans="1:19" x14ac:dyDescent="0.25">
      <c r="A24" s="18">
        <v>45829</v>
      </c>
      <c r="B24" s="35">
        <f t="shared" si="0"/>
        <v>0</v>
      </c>
      <c r="C24" s="27">
        <v>0</v>
      </c>
      <c r="D24" s="35">
        <f t="shared" si="1"/>
        <v>0</v>
      </c>
      <c r="E24" s="27">
        <v>0</v>
      </c>
      <c r="F24" s="23">
        <f t="shared" si="2"/>
        <v>0</v>
      </c>
      <c r="G24" s="27"/>
      <c r="H24" s="23">
        <f t="shared" si="2"/>
        <v>0</v>
      </c>
      <c r="I24" s="27"/>
      <c r="J24" s="23">
        <f t="shared" si="2"/>
        <v>0</v>
      </c>
      <c r="K24" s="27"/>
      <c r="L24" s="23">
        <f t="shared" si="2"/>
        <v>0</v>
      </c>
      <c r="M24" s="27"/>
      <c r="N24" s="36"/>
      <c r="O24" s="25"/>
      <c r="P24" s="24"/>
      <c r="Q24" s="37"/>
      <c r="R24" s="24"/>
      <c r="S24" s="37"/>
    </row>
    <row r="25" spans="1:19" x14ac:dyDescent="0.25">
      <c r="A25" s="18">
        <v>45830</v>
      </c>
      <c r="B25" s="35">
        <f t="shared" si="0"/>
        <v>0</v>
      </c>
      <c r="C25" s="27">
        <v>0</v>
      </c>
      <c r="D25" s="35">
        <f t="shared" si="1"/>
        <v>0</v>
      </c>
      <c r="E25" s="27">
        <v>0</v>
      </c>
      <c r="F25" s="23">
        <f t="shared" si="2"/>
        <v>0</v>
      </c>
      <c r="G25" s="27"/>
      <c r="H25" s="23">
        <f t="shared" si="2"/>
        <v>0</v>
      </c>
      <c r="I25" s="27"/>
      <c r="J25" s="23">
        <f t="shared" si="2"/>
        <v>0</v>
      </c>
      <c r="K25" s="27"/>
      <c r="L25" s="23">
        <f t="shared" si="2"/>
        <v>0</v>
      </c>
      <c r="M25" s="27"/>
      <c r="N25" s="36"/>
      <c r="O25" s="25"/>
      <c r="P25" s="24"/>
      <c r="Q25" s="37"/>
      <c r="R25" s="24"/>
      <c r="S25" s="37"/>
    </row>
    <row r="26" spans="1:19" x14ac:dyDescent="0.25">
      <c r="A26" s="18">
        <v>45831</v>
      </c>
      <c r="B26" s="35">
        <f t="shared" si="0"/>
        <v>0</v>
      </c>
      <c r="C26" s="27">
        <v>0</v>
      </c>
      <c r="D26" s="35">
        <f t="shared" si="1"/>
        <v>0</v>
      </c>
      <c r="E26" s="27">
        <v>0</v>
      </c>
      <c r="F26" s="23">
        <f t="shared" si="2"/>
        <v>0</v>
      </c>
      <c r="G26" s="27"/>
      <c r="H26" s="23">
        <f t="shared" si="2"/>
        <v>0</v>
      </c>
      <c r="I26" s="27"/>
      <c r="J26" s="23">
        <f t="shared" si="2"/>
        <v>0</v>
      </c>
      <c r="K26" s="27"/>
      <c r="L26" s="23">
        <f t="shared" si="2"/>
        <v>0</v>
      </c>
      <c r="M26" s="27"/>
      <c r="N26" s="36"/>
      <c r="O26" s="25"/>
      <c r="P26" s="24"/>
      <c r="Q26" s="37"/>
      <c r="R26" s="24"/>
      <c r="S26" s="37"/>
    </row>
    <row r="27" spans="1:19" x14ac:dyDescent="0.25">
      <c r="A27" s="18">
        <v>45832</v>
      </c>
      <c r="B27" s="35">
        <f t="shared" si="0"/>
        <v>0</v>
      </c>
      <c r="C27" s="27"/>
      <c r="D27" s="35">
        <f t="shared" si="1"/>
        <v>0</v>
      </c>
      <c r="E27" s="27">
        <v>0</v>
      </c>
      <c r="F27" s="23">
        <f t="shared" si="2"/>
        <v>0</v>
      </c>
      <c r="G27" s="27"/>
      <c r="H27" s="23">
        <f t="shared" si="2"/>
        <v>0</v>
      </c>
      <c r="I27" s="27"/>
      <c r="J27" s="23">
        <f t="shared" si="2"/>
        <v>0</v>
      </c>
      <c r="K27" s="27"/>
      <c r="L27" s="23">
        <f t="shared" si="2"/>
        <v>0</v>
      </c>
      <c r="M27" s="27"/>
      <c r="N27" s="36"/>
      <c r="O27" s="25"/>
      <c r="P27" s="24"/>
      <c r="Q27" s="37"/>
      <c r="R27" s="24"/>
      <c r="S27" s="37"/>
    </row>
    <row r="28" spans="1:19" x14ac:dyDescent="0.25">
      <c r="A28" s="18">
        <v>45833</v>
      </c>
      <c r="B28" s="50">
        <f t="shared" si="0"/>
        <v>0</v>
      </c>
      <c r="C28" s="49"/>
      <c r="D28" s="50">
        <f t="shared" si="1"/>
        <v>0</v>
      </c>
      <c r="E28" s="49"/>
      <c r="F28" s="51">
        <f t="shared" si="2"/>
        <v>0</v>
      </c>
      <c r="G28" s="49"/>
      <c r="H28" s="51">
        <f t="shared" si="2"/>
        <v>0</v>
      </c>
      <c r="I28" s="49"/>
      <c r="J28" s="51">
        <f t="shared" si="2"/>
        <v>0</v>
      </c>
      <c r="K28" s="49"/>
      <c r="L28" s="51">
        <f t="shared" si="2"/>
        <v>0</v>
      </c>
      <c r="M28" s="49"/>
      <c r="N28" s="52"/>
      <c r="O28" s="53"/>
      <c r="P28" s="54"/>
      <c r="Q28" s="55"/>
      <c r="R28" s="54"/>
      <c r="S28" s="55"/>
    </row>
    <row r="29" spans="1:19" x14ac:dyDescent="0.25">
      <c r="A29" s="18">
        <v>45834</v>
      </c>
      <c r="B29" s="35">
        <f t="shared" si="0"/>
        <v>0</v>
      </c>
      <c r="C29" s="27">
        <v>0</v>
      </c>
      <c r="D29" s="35">
        <f t="shared" si="1"/>
        <v>0</v>
      </c>
      <c r="E29" s="27">
        <v>0</v>
      </c>
      <c r="F29" s="23">
        <f t="shared" si="2"/>
        <v>0</v>
      </c>
      <c r="G29" s="27"/>
      <c r="H29" s="23">
        <f t="shared" si="2"/>
        <v>0</v>
      </c>
      <c r="I29" s="27"/>
      <c r="J29" s="23">
        <f t="shared" si="2"/>
        <v>0</v>
      </c>
      <c r="K29" s="27"/>
      <c r="L29" s="23">
        <f t="shared" si="2"/>
        <v>0</v>
      </c>
      <c r="M29" s="27"/>
      <c r="N29" s="36"/>
      <c r="O29" s="25"/>
      <c r="P29" s="24"/>
      <c r="Q29" s="37"/>
      <c r="R29" s="24"/>
      <c r="S29" s="37"/>
    </row>
    <row r="30" spans="1:19" x14ac:dyDescent="0.25">
      <c r="A30" s="18">
        <v>45835</v>
      </c>
      <c r="B30" s="35">
        <f t="shared" si="0"/>
        <v>0</v>
      </c>
      <c r="C30" s="27">
        <v>0</v>
      </c>
      <c r="D30" s="35">
        <f t="shared" si="1"/>
        <v>0</v>
      </c>
      <c r="E30" s="27">
        <v>0</v>
      </c>
      <c r="F30" s="23">
        <f t="shared" si="2"/>
        <v>0</v>
      </c>
      <c r="G30" s="27"/>
      <c r="H30" s="23">
        <f t="shared" si="2"/>
        <v>0</v>
      </c>
      <c r="I30" s="27"/>
      <c r="J30" s="23">
        <f t="shared" si="2"/>
        <v>0</v>
      </c>
      <c r="K30" s="27"/>
      <c r="L30" s="23">
        <f t="shared" si="2"/>
        <v>0</v>
      </c>
      <c r="M30" s="27"/>
      <c r="N30" s="36"/>
      <c r="O30" s="25"/>
      <c r="P30" s="24"/>
      <c r="Q30" s="37"/>
      <c r="R30" s="24"/>
      <c r="S30" s="37"/>
    </row>
    <row r="31" spans="1:19" x14ac:dyDescent="0.25">
      <c r="A31" s="18">
        <v>45836</v>
      </c>
      <c r="B31" s="35">
        <f t="shared" si="0"/>
        <v>0</v>
      </c>
      <c r="C31" s="27">
        <v>0</v>
      </c>
      <c r="D31" s="35">
        <f t="shared" si="1"/>
        <v>0</v>
      </c>
      <c r="E31" s="27">
        <v>0</v>
      </c>
      <c r="F31" s="23">
        <f t="shared" si="2"/>
        <v>0</v>
      </c>
      <c r="G31" s="27"/>
      <c r="H31" s="23">
        <f t="shared" si="2"/>
        <v>0</v>
      </c>
      <c r="I31" s="27"/>
      <c r="J31" s="23">
        <f t="shared" si="2"/>
        <v>0</v>
      </c>
      <c r="K31" s="27"/>
      <c r="L31" s="23">
        <f t="shared" si="2"/>
        <v>0</v>
      </c>
      <c r="M31" s="27"/>
      <c r="N31" s="36"/>
      <c r="O31" s="25"/>
      <c r="P31" s="24"/>
      <c r="Q31" s="37"/>
      <c r="R31" s="24"/>
      <c r="S31" s="37"/>
    </row>
    <row r="32" spans="1:19" ht="15" customHeight="1" x14ac:dyDescent="0.25">
      <c r="A32" s="18">
        <v>45837</v>
      </c>
      <c r="B32" s="35">
        <f t="shared" si="0"/>
        <v>0</v>
      </c>
      <c r="C32" s="27">
        <v>0</v>
      </c>
      <c r="D32" s="35">
        <f t="shared" si="1"/>
        <v>0</v>
      </c>
      <c r="E32" s="27">
        <v>0</v>
      </c>
      <c r="F32" s="23">
        <f t="shared" si="2"/>
        <v>0</v>
      </c>
      <c r="G32" s="27"/>
      <c r="H32" s="23">
        <f t="shared" si="2"/>
        <v>0</v>
      </c>
      <c r="I32" s="27"/>
      <c r="J32" s="23">
        <f t="shared" si="2"/>
        <v>0</v>
      </c>
      <c r="K32" s="27"/>
      <c r="L32" s="23">
        <f t="shared" si="2"/>
        <v>0</v>
      </c>
      <c r="M32" s="56"/>
      <c r="N32" s="57"/>
      <c r="O32" s="24"/>
      <c r="P32" s="24"/>
      <c r="Q32" s="37"/>
      <c r="R32" s="24"/>
      <c r="S32" s="37"/>
    </row>
    <row r="33" spans="1:19" ht="15" customHeight="1" thickBot="1" x14ac:dyDescent="0.3">
      <c r="A33" s="18">
        <v>45838</v>
      </c>
      <c r="B33" s="35">
        <f t="shared" si="0"/>
        <v>0</v>
      </c>
      <c r="C33" s="27">
        <v>0</v>
      </c>
      <c r="D33" s="35">
        <f t="shared" si="1"/>
        <v>0</v>
      </c>
      <c r="E33" s="27">
        <v>0</v>
      </c>
      <c r="F33" s="23">
        <f t="shared" si="2"/>
        <v>0</v>
      </c>
      <c r="G33" s="27"/>
      <c r="H33" s="23">
        <f t="shared" si="2"/>
        <v>0</v>
      </c>
      <c r="I33" s="27"/>
      <c r="J33" s="23">
        <f t="shared" si="2"/>
        <v>0</v>
      </c>
      <c r="K33" s="27"/>
      <c r="L33" s="23">
        <f t="shared" si="2"/>
        <v>0</v>
      </c>
      <c r="M33" s="56"/>
      <c r="N33" s="21"/>
      <c r="O33" s="24"/>
      <c r="P33" s="24"/>
      <c r="Q33" s="37"/>
      <c r="R33" s="24"/>
      <c r="S33" s="37"/>
    </row>
    <row r="34" spans="1:19" ht="15.75" thickBot="1" x14ac:dyDescent="0.3">
      <c r="A34" s="58" t="s">
        <v>20</v>
      </c>
      <c r="B34" s="59">
        <f>IFERROR(AVERAGE(B4:B33),0)</f>
        <v>0</v>
      </c>
      <c r="C34" s="60">
        <f>SUM(C4:C33)</f>
        <v>0</v>
      </c>
      <c r="D34" s="59">
        <f>AVERAGE(D6:D32)</f>
        <v>0</v>
      </c>
      <c r="E34" s="61">
        <f>SUM(E4:E33)</f>
        <v>0</v>
      </c>
      <c r="F34" s="62">
        <f>AVERAGE(F4:F33)</f>
        <v>0</v>
      </c>
      <c r="G34" s="63">
        <f>SUM(G4:G33)</f>
        <v>0</v>
      </c>
      <c r="H34" s="62">
        <f>AVERAGE(H4:H33)</f>
        <v>0</v>
      </c>
      <c r="I34" s="63">
        <f>SUM(I4:I33)</f>
        <v>0</v>
      </c>
      <c r="J34" s="62">
        <f>AVERAGE(J4:J33)</f>
        <v>0</v>
      </c>
      <c r="K34" s="63">
        <f>SUM(K4:K33)</f>
        <v>0</v>
      </c>
      <c r="L34" s="62">
        <f>AVERAGE(L4:L33)</f>
        <v>0</v>
      </c>
      <c r="M34" s="63">
        <f>SUM(M4:M33)</f>
        <v>0</v>
      </c>
      <c r="N34" s="64">
        <f>IFERROR(AVERAGE(N4:N33),0)</f>
        <v>0</v>
      </c>
      <c r="O34" s="65" t="e">
        <f>#REF!+C34+I34+E34+G34+K34+M34</f>
        <v>#REF!</v>
      </c>
      <c r="P34" s="66">
        <f>IFERROR(AVERAGE(P4:P33),0)</f>
        <v>0</v>
      </c>
      <c r="Q34" s="17">
        <f>SUM(Q4:Q33)</f>
        <v>0</v>
      </c>
      <c r="R34" s="66">
        <f>IFERROR(AVERAGE(R4:R33),0)</f>
        <v>0</v>
      </c>
      <c r="S34" s="17">
        <f>SUM(S4:S33)</f>
        <v>0</v>
      </c>
    </row>
    <row r="35" spans="1:19" x14ac:dyDescent="0.25">
      <c r="G35" s="67"/>
      <c r="I35" s="68"/>
      <c r="O35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V30"/>
  <sheetViews>
    <sheetView workbookViewId="0">
      <selection activeCell="N17" sqref="N17"/>
    </sheetView>
  </sheetViews>
  <sheetFormatPr baseColWidth="10" defaultColWidth="11.42578125" defaultRowHeight="15" x14ac:dyDescent="0.25"/>
  <cols>
    <col min="1" max="1" width="49.42578125" style="1" bestFit="1" customWidth="1"/>
    <col min="2" max="4" width="11.5703125" style="1" bestFit="1" customWidth="1"/>
    <col min="5" max="5" width="11.42578125" style="1" bestFit="1" customWidth="1"/>
    <col min="6" max="8" width="11.5703125" style="1" bestFit="1" customWidth="1"/>
    <col min="9" max="9" width="14.5703125" style="1" bestFit="1" customWidth="1"/>
    <col min="10" max="21" width="11.42578125" style="1"/>
    <col min="22" max="22" width="14.5703125" style="1" bestFit="1" customWidth="1"/>
    <col min="23" max="16384" width="11.42578125" style="1"/>
  </cols>
  <sheetData>
    <row r="1" spans="1:22" s="137" customFormat="1" ht="30" customHeight="1" x14ac:dyDescent="0.25">
      <c r="A1" s="136" t="s">
        <v>4</v>
      </c>
    </row>
    <row r="2" spans="1:22" ht="15.75" thickBot="1" x14ac:dyDescent="0.3"/>
    <row r="3" spans="1:22" s="124" customFormat="1" ht="19.5" thickBot="1" x14ac:dyDescent="0.35">
      <c r="B3" s="153">
        <v>45809</v>
      </c>
      <c r="C3" s="153">
        <v>45839</v>
      </c>
      <c r="D3" s="153">
        <v>45870</v>
      </c>
      <c r="E3" s="153">
        <v>45901</v>
      </c>
      <c r="F3" s="153">
        <v>45931</v>
      </c>
      <c r="G3" s="153">
        <v>45962</v>
      </c>
      <c r="H3" s="153">
        <v>45992</v>
      </c>
      <c r="I3" s="142" t="s">
        <v>22</v>
      </c>
      <c r="J3" s="2">
        <v>46023</v>
      </c>
      <c r="K3" s="2">
        <v>46054</v>
      </c>
      <c r="L3" s="2">
        <v>46082</v>
      </c>
      <c r="M3" s="2">
        <v>46113</v>
      </c>
      <c r="N3" s="2">
        <v>46143</v>
      </c>
      <c r="O3" s="2">
        <v>46174</v>
      </c>
      <c r="P3" s="2">
        <v>46204</v>
      </c>
      <c r="Q3" s="2">
        <v>46235</v>
      </c>
      <c r="R3" s="2">
        <v>46266</v>
      </c>
      <c r="S3" s="2">
        <v>46296</v>
      </c>
      <c r="T3" s="2">
        <v>46327</v>
      </c>
      <c r="U3" s="2">
        <v>46357</v>
      </c>
      <c r="V3" s="142" t="s">
        <v>25</v>
      </c>
    </row>
    <row r="4" spans="1:22" s="152" customFormat="1" ht="16.5" thickBot="1" x14ac:dyDescent="0.3">
      <c r="A4" s="7" t="s">
        <v>9</v>
      </c>
      <c r="B4" s="151">
        <f t="shared" ref="B4:G4" si="0">B13+B17+B20+B23</f>
        <v>1664</v>
      </c>
      <c r="C4" s="162">
        <f t="shared" si="0"/>
        <v>1557.2399999999998</v>
      </c>
      <c r="D4" s="162">
        <f t="shared" si="0"/>
        <v>1867.5</v>
      </c>
      <c r="E4" s="162">
        <f t="shared" si="0"/>
        <v>2618.0699999999997</v>
      </c>
      <c r="F4" s="162">
        <f t="shared" si="0"/>
        <v>2542.02</v>
      </c>
      <c r="G4" s="162">
        <f t="shared" si="0"/>
        <v>2554.3500000000004</v>
      </c>
      <c r="H4" s="162">
        <f>H13+H17+H20+H23</f>
        <v>2731.32</v>
      </c>
      <c r="I4" s="163">
        <f>SUM(B4:H4)</f>
        <v>15534.5</v>
      </c>
      <c r="J4" s="162">
        <f t="shared" ref="J4:O4" si="1">J13+J17+J20+J23</f>
        <v>3116</v>
      </c>
      <c r="K4" s="162">
        <f t="shared" si="1"/>
        <v>4855.9699999999993</v>
      </c>
      <c r="L4" s="162">
        <f>L13+L17+L20+L23</f>
        <v>6907.76</v>
      </c>
      <c r="M4" s="162">
        <f t="shared" si="1"/>
        <v>6084.43</v>
      </c>
      <c r="N4" s="162">
        <f>N13+N17+N20+N23</f>
        <v>4521.2999999999993</v>
      </c>
      <c r="O4" s="162">
        <f t="shared" si="1"/>
        <v>4443.5</v>
      </c>
      <c r="P4" s="162">
        <f>P13+P17+P20+P23</f>
        <v>2761.9000000000005</v>
      </c>
      <c r="Q4" s="162">
        <f t="shared" ref="Q4:U4" si="2">Q13+Q17+Q20+Q23</f>
        <v>2471.8500000000004</v>
      </c>
      <c r="R4" s="151">
        <f>R13+R17+R20+R23</f>
        <v>2391.9569444444442</v>
      </c>
      <c r="S4" s="151">
        <f t="shared" si="2"/>
        <v>0</v>
      </c>
      <c r="T4" s="151">
        <f t="shared" si="2"/>
        <v>0</v>
      </c>
      <c r="U4" s="151">
        <f t="shared" si="2"/>
        <v>0</v>
      </c>
      <c r="V4" s="165">
        <f>SUM(J4:U4)</f>
        <v>37554.666944444441</v>
      </c>
    </row>
    <row r="5" spans="1:22" ht="16.5" thickBot="1" x14ac:dyDescent="0.3">
      <c r="A5" s="6" t="s">
        <v>26</v>
      </c>
      <c r="B5" s="149"/>
      <c r="C5" s="149">
        <f>C11+C16+C12</f>
        <v>1448</v>
      </c>
      <c r="D5" s="149">
        <f t="shared" ref="D5:F5" si="3">D11+D16+D12</f>
        <v>2951</v>
      </c>
      <c r="E5" s="149">
        <f t="shared" si="3"/>
        <v>8373</v>
      </c>
      <c r="F5" s="149">
        <f t="shared" si="3"/>
        <v>9505</v>
      </c>
      <c r="G5" s="149">
        <f>G11+G16+G12</f>
        <v>10006</v>
      </c>
      <c r="H5" s="149">
        <f>H11+H16+H12</f>
        <v>7540</v>
      </c>
      <c r="I5" s="150">
        <f>SUM(C5:H5)</f>
        <v>39823</v>
      </c>
      <c r="J5" s="149">
        <f>J11+J16+J12</f>
        <v>6996</v>
      </c>
      <c r="K5" s="149">
        <f t="shared" ref="K5:L5" si="4">K11+K16+K12</f>
        <v>8634</v>
      </c>
      <c r="L5" s="149">
        <f t="shared" si="4"/>
        <v>9200</v>
      </c>
      <c r="M5" s="149">
        <f>M11+M16+M12</f>
        <v>18013</v>
      </c>
      <c r="N5" s="149">
        <f>N11+N16+N12</f>
        <v>16538</v>
      </c>
      <c r="O5" s="149">
        <f>O11+O16+O12</f>
        <v>11343</v>
      </c>
      <c r="P5" s="149">
        <f t="shared" ref="P5:U5" si="5">P11+P16+P12</f>
        <v>8068</v>
      </c>
      <c r="Q5" s="149">
        <f t="shared" si="5"/>
        <v>7893</v>
      </c>
      <c r="R5" s="149">
        <f>R11+R16+R12</f>
        <v>6913</v>
      </c>
      <c r="S5" s="149">
        <f t="shared" si="5"/>
        <v>0</v>
      </c>
      <c r="T5" s="149">
        <f t="shared" si="5"/>
        <v>0</v>
      </c>
      <c r="U5" s="149">
        <f t="shared" si="5"/>
        <v>0</v>
      </c>
      <c r="V5" s="164">
        <f>SUM(J5:U5)</f>
        <v>93598</v>
      </c>
    </row>
    <row r="6" spans="1:22" ht="15.75" x14ac:dyDescent="0.25">
      <c r="A6" s="8"/>
      <c r="B6" s="9"/>
      <c r="C6" s="9"/>
      <c r="D6" s="9"/>
      <c r="E6" s="9"/>
      <c r="F6" s="9"/>
      <c r="G6" s="9"/>
      <c r="H6" s="9"/>
      <c r="I6" s="9"/>
      <c r="V6" s="9"/>
    </row>
    <row r="7" spans="1:22" s="132" customFormat="1" ht="30" customHeight="1" x14ac:dyDescent="0.25">
      <c r="A7" s="135" t="s">
        <v>1</v>
      </c>
      <c r="B7" s="123"/>
      <c r="C7" s="123"/>
      <c r="D7" s="123"/>
      <c r="E7" s="123"/>
      <c r="F7" s="123"/>
      <c r="G7" s="123"/>
      <c r="H7" s="123"/>
      <c r="I7" s="123"/>
      <c r="V7" s="123"/>
    </row>
    <row r="8" spans="1:22" ht="15.75" customHeight="1" thickBot="1" x14ac:dyDescent="0.3">
      <c r="A8" s="8"/>
      <c r="B8" s="123"/>
      <c r="C8" s="123"/>
      <c r="D8" s="123"/>
      <c r="E8" s="123"/>
      <c r="F8" s="123"/>
      <c r="G8" s="123"/>
      <c r="H8" s="123"/>
      <c r="I8" s="123"/>
      <c r="V8" s="123"/>
    </row>
    <row r="9" spans="1:22" s="124" customFormat="1" ht="18.75" x14ac:dyDescent="0.3">
      <c r="A9" s="125"/>
      <c r="B9" s="153">
        <v>45809</v>
      </c>
      <c r="C9" s="153">
        <v>45839</v>
      </c>
      <c r="D9" s="153">
        <v>45870</v>
      </c>
      <c r="E9" s="153">
        <v>45901</v>
      </c>
      <c r="F9" s="153">
        <v>45931</v>
      </c>
      <c r="G9" s="153">
        <v>45962</v>
      </c>
      <c r="H9" s="153">
        <v>45992</v>
      </c>
      <c r="I9" s="142" t="s">
        <v>22</v>
      </c>
      <c r="J9" s="2">
        <v>46023</v>
      </c>
      <c r="K9" s="2">
        <v>46054</v>
      </c>
      <c r="L9" s="2">
        <v>46082</v>
      </c>
      <c r="M9" s="2">
        <v>46113</v>
      </c>
      <c r="N9" s="2">
        <v>46143</v>
      </c>
      <c r="O9" s="2">
        <v>46174</v>
      </c>
      <c r="P9" s="2">
        <v>46204</v>
      </c>
      <c r="Q9" s="2">
        <v>46235</v>
      </c>
      <c r="R9" s="2">
        <v>46266</v>
      </c>
      <c r="S9" s="2">
        <v>46296</v>
      </c>
      <c r="T9" s="2">
        <v>46327</v>
      </c>
      <c r="U9" s="2">
        <v>46357</v>
      </c>
      <c r="V9" s="142" t="s">
        <v>25</v>
      </c>
    </row>
    <row r="10" spans="1:22" s="132" customFormat="1" ht="30" customHeight="1" x14ac:dyDescent="0.25">
      <c r="A10" s="130" t="s">
        <v>5</v>
      </c>
      <c r="B10" s="131"/>
      <c r="C10" s="131"/>
      <c r="D10" s="131"/>
      <c r="E10" s="131"/>
      <c r="F10" s="131"/>
      <c r="G10" s="131"/>
      <c r="H10" s="131"/>
      <c r="I10" s="143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43"/>
    </row>
    <row r="11" spans="1:22" ht="15" customHeight="1" x14ac:dyDescent="0.25">
      <c r="A11" s="6" t="s">
        <v>0</v>
      </c>
      <c r="B11" s="3"/>
      <c r="C11" s="10">
        <v>647</v>
      </c>
      <c r="D11" s="10">
        <v>1003</v>
      </c>
      <c r="E11" s="10">
        <v>2068</v>
      </c>
      <c r="F11" s="10">
        <v>1574</v>
      </c>
      <c r="G11" s="10">
        <v>1659</v>
      </c>
      <c r="H11" s="138">
        <v>1147</v>
      </c>
      <c r="I11" s="144">
        <f>SUM(C11:H11)</f>
        <v>8098</v>
      </c>
      <c r="J11" s="140">
        <v>1151</v>
      </c>
      <c r="K11" s="10">
        <v>1611</v>
      </c>
      <c r="L11" s="10">
        <v>1770</v>
      </c>
      <c r="M11" s="10">
        <v>4269</v>
      </c>
      <c r="N11" s="10">
        <v>4381</v>
      </c>
      <c r="O11" s="10">
        <v>2097</v>
      </c>
      <c r="P11" s="10">
        <v>1028</v>
      </c>
      <c r="Q11" s="10">
        <v>1360</v>
      </c>
      <c r="R11" s="10">
        <v>1115</v>
      </c>
      <c r="S11" s="10"/>
      <c r="T11" s="10"/>
      <c r="U11" s="138"/>
      <c r="V11" s="144">
        <f>SUM(J11:U11)</f>
        <v>18782</v>
      </c>
    </row>
    <row r="12" spans="1:22" ht="15" customHeight="1" x14ac:dyDescent="0.25">
      <c r="A12" s="6" t="s">
        <v>28</v>
      </c>
      <c r="B12" s="3"/>
      <c r="C12" s="10"/>
      <c r="D12" s="10">
        <v>834</v>
      </c>
      <c r="E12" s="10">
        <v>4832</v>
      </c>
      <c r="F12" s="10">
        <v>5887</v>
      </c>
      <c r="G12" s="10">
        <v>6418</v>
      </c>
      <c r="H12" s="138">
        <v>4956</v>
      </c>
      <c r="I12" s="144">
        <f>SUM(C12:H12)</f>
        <v>22927</v>
      </c>
      <c r="J12" s="140">
        <v>4277</v>
      </c>
      <c r="K12" s="10">
        <v>5026</v>
      </c>
      <c r="L12" s="10">
        <v>5296</v>
      </c>
      <c r="M12" s="10">
        <v>7153</v>
      </c>
      <c r="N12" s="10">
        <v>6907</v>
      </c>
      <c r="O12" s="10">
        <v>6266</v>
      </c>
      <c r="P12" s="10">
        <v>5200</v>
      </c>
      <c r="Q12" s="10">
        <v>4770</v>
      </c>
      <c r="R12" s="10">
        <v>4219</v>
      </c>
      <c r="S12" s="10"/>
      <c r="T12" s="10"/>
      <c r="U12" s="138"/>
      <c r="V12" s="144">
        <f>SUM(J12:U12)</f>
        <v>49114</v>
      </c>
    </row>
    <row r="13" spans="1:22" ht="15" customHeight="1" x14ac:dyDescent="0.25">
      <c r="A13" s="7" t="s">
        <v>8</v>
      </c>
      <c r="B13" s="3"/>
      <c r="C13" s="158">
        <f>Juillet!C35+(Juillet!Q35/2)</f>
        <v>858.41</v>
      </c>
      <c r="D13" s="158">
        <f>Aout!C35+(Aout!Q35/2)</f>
        <v>658.5</v>
      </c>
      <c r="E13" s="158">
        <f>Septembre!C34+(Septembre!Q34/2)</f>
        <v>1524.9419999999998</v>
      </c>
      <c r="F13" s="158">
        <f>Octobre!C35+(Octobre!Q35/2)</f>
        <v>1345.9099999999999</v>
      </c>
      <c r="G13" s="158">
        <f>Novembre!C34+(Novembre!Q34/2)</f>
        <v>1254.93</v>
      </c>
      <c r="H13" s="159">
        <f>Décembre!C35+(Décembre!Q35/2)</f>
        <v>1336.72</v>
      </c>
      <c r="I13" s="145">
        <f>SUM(C13:H13)</f>
        <v>6979.4120000000003</v>
      </c>
      <c r="J13" s="160">
        <v>1134</v>
      </c>
      <c r="K13" s="158">
        <f>Fevrier26!C32+(Fevrier26!Q32/2)</f>
        <v>1977</v>
      </c>
      <c r="L13" s="158">
        <f>Mars26!C35+(Mars26!Q35/2)</f>
        <v>2981.4500000000003</v>
      </c>
      <c r="M13" s="158">
        <f>Avril26!C34+(Avril26!Q34/2)</f>
        <v>3181.21</v>
      </c>
      <c r="N13" s="158">
        <f>'Mai26'!C33+('Mai26'!Q33/2)</f>
        <v>2379.1999999999998</v>
      </c>
      <c r="O13" s="158">
        <f>Juin26!C34+(Juin26!Q34/2)</f>
        <v>2686.1049999999996</v>
      </c>
      <c r="P13" s="158">
        <f>Juillet26!C35+(Juillet26!Q35/2)</f>
        <v>1298.0400000000002</v>
      </c>
      <c r="Q13" s="158">
        <f>Aout26!C35+(Aout26!Q35/2)</f>
        <v>1137.8700000000003</v>
      </c>
      <c r="R13" s="158">
        <f>Septembre26!C34+(Septembre26!Q34/2)</f>
        <v>1086.8536944444443</v>
      </c>
      <c r="S13" s="158"/>
      <c r="T13" s="158"/>
      <c r="U13" s="138"/>
      <c r="V13" s="145">
        <f>SUM(J13:U13)</f>
        <v>17861.728694444446</v>
      </c>
    </row>
    <row r="14" spans="1:22" ht="15.75" x14ac:dyDescent="0.25">
      <c r="A14" s="5" t="s">
        <v>2</v>
      </c>
      <c r="B14" s="4"/>
      <c r="C14" s="11">
        <v>8</v>
      </c>
      <c r="D14" s="11">
        <v>9</v>
      </c>
      <c r="E14" s="11">
        <v>14</v>
      </c>
      <c r="F14" s="11">
        <v>13</v>
      </c>
      <c r="G14" s="11">
        <v>15</v>
      </c>
      <c r="H14" s="139">
        <v>14</v>
      </c>
      <c r="I14" s="146">
        <f>AVERAGE(B14:H14)</f>
        <v>12.166666666666666</v>
      </c>
      <c r="J14" s="141">
        <v>14</v>
      </c>
      <c r="K14" s="11">
        <v>30</v>
      </c>
      <c r="L14" s="11">
        <v>37</v>
      </c>
      <c r="M14" s="11">
        <v>35</v>
      </c>
      <c r="N14" s="11">
        <v>31</v>
      </c>
      <c r="O14" s="11">
        <v>25</v>
      </c>
      <c r="P14" s="11">
        <v>14</v>
      </c>
      <c r="Q14" s="11">
        <v>14</v>
      </c>
      <c r="R14" s="11">
        <v>14</v>
      </c>
      <c r="S14" s="11"/>
      <c r="T14" s="11"/>
      <c r="U14" s="139"/>
      <c r="V14" s="146">
        <f>AVERAGE(J14:U14)</f>
        <v>23.777777777777779</v>
      </c>
    </row>
    <row r="15" spans="1:22" s="132" customFormat="1" ht="30" customHeight="1" x14ac:dyDescent="0.25">
      <c r="A15" s="130" t="s">
        <v>3</v>
      </c>
      <c r="B15" s="131"/>
      <c r="C15" s="131"/>
      <c r="D15" s="131"/>
      <c r="E15" s="131"/>
      <c r="F15" s="131"/>
      <c r="G15" s="131"/>
      <c r="H15" s="131"/>
      <c r="I15" s="143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43"/>
    </row>
    <row r="16" spans="1:22" ht="15.75" x14ac:dyDescent="0.25">
      <c r="A16" s="6" t="s">
        <v>6</v>
      </c>
      <c r="B16" s="3"/>
      <c r="C16" s="10">
        <v>801</v>
      </c>
      <c r="D16" s="10">
        <v>1114</v>
      </c>
      <c r="E16" s="10">
        <v>1473</v>
      </c>
      <c r="F16" s="10">
        <v>2044</v>
      </c>
      <c r="G16" s="10">
        <v>1929</v>
      </c>
      <c r="H16" s="138">
        <v>1437</v>
      </c>
      <c r="I16" s="144">
        <f>SUM(C16:H16)</f>
        <v>8798</v>
      </c>
      <c r="J16" s="140">
        <v>1568</v>
      </c>
      <c r="K16" s="10">
        <v>1997</v>
      </c>
      <c r="L16" s="10">
        <v>2134</v>
      </c>
      <c r="M16" s="10">
        <v>6591</v>
      </c>
      <c r="N16" s="10">
        <v>5250</v>
      </c>
      <c r="O16" s="10">
        <v>2980</v>
      </c>
      <c r="P16" s="10">
        <v>1840</v>
      </c>
      <c r="Q16" s="10">
        <v>1763</v>
      </c>
      <c r="R16" s="10">
        <v>1579</v>
      </c>
      <c r="S16" s="10"/>
      <c r="T16" s="10"/>
      <c r="U16" s="138"/>
      <c r="V16" s="144">
        <f>SUM(J16:U16)</f>
        <v>25702</v>
      </c>
    </row>
    <row r="17" spans="1:22" ht="15.75" x14ac:dyDescent="0.25">
      <c r="A17" s="7" t="s">
        <v>8</v>
      </c>
      <c r="B17" s="3"/>
      <c r="C17" s="158">
        <f>Juillet!E35+(Juillet!Q35/2)</f>
        <v>419.5</v>
      </c>
      <c r="D17" s="158">
        <f>Aout!E35+(Aout!Q35/2)</f>
        <v>701</v>
      </c>
      <c r="E17" s="158">
        <f>Septembre!E34+(Septembre!Q34/2)</f>
        <v>1066.6280000000002</v>
      </c>
      <c r="F17" s="158">
        <f>Octobre!E35+(Octobre!Q35/2)</f>
        <v>1190.1100000000001</v>
      </c>
      <c r="G17" s="158">
        <f>Novembre!E34+(Novembre!Q34/2)</f>
        <v>1147.67</v>
      </c>
      <c r="H17" s="158">
        <f>Décembre!E35+(Décembre!Q35/2)</f>
        <v>1380.6000000000001</v>
      </c>
      <c r="I17" s="145">
        <f>SUM(C17:H17)</f>
        <v>5905.5080000000007</v>
      </c>
      <c r="J17" s="160">
        <v>1330</v>
      </c>
      <c r="K17" s="160">
        <f>Fevrier26!E32+(Fevrier26!Q32/2)</f>
        <v>2226.9699999999998</v>
      </c>
      <c r="L17" s="158">
        <f>Mars26!E35+(Mars26!Q35/2)</f>
        <v>2933.31</v>
      </c>
      <c r="M17" s="158">
        <f>Avril26!E34+(Avril26!Q34/2)</f>
        <v>2890.22</v>
      </c>
      <c r="N17" s="158">
        <f>'Mai26'!E33+('Mai26'!Q33/2)</f>
        <v>2142.1</v>
      </c>
      <c r="O17" s="158">
        <f>Juin26!E34+(Juin26!Q34/2)</f>
        <v>1723.3950000000002</v>
      </c>
      <c r="P17" s="158">
        <f>Juillet26!E35+(Juillet26!Q35/2)</f>
        <v>1463.8600000000001</v>
      </c>
      <c r="Q17" s="158">
        <f>Aout26!E35+(Aout26!Q35/2)</f>
        <v>1333.9800000000002</v>
      </c>
      <c r="R17" s="158">
        <f>Septembre26!E34+(Septembre26!Q34/2)</f>
        <v>1305.1032499999999</v>
      </c>
      <c r="S17" s="158"/>
      <c r="T17" s="158"/>
      <c r="U17" s="159"/>
      <c r="V17" s="145">
        <f>SUM(J17:U17)</f>
        <v>17348.938249999999</v>
      </c>
    </row>
    <row r="18" spans="1:22" ht="15.75" x14ac:dyDescent="0.25">
      <c r="A18" s="5" t="s">
        <v>2</v>
      </c>
      <c r="B18" s="4"/>
      <c r="C18" s="11">
        <v>8</v>
      </c>
      <c r="D18" s="11">
        <v>9</v>
      </c>
      <c r="E18" s="11">
        <v>14</v>
      </c>
      <c r="F18" s="11">
        <v>13</v>
      </c>
      <c r="G18" s="11">
        <v>15</v>
      </c>
      <c r="H18" s="139">
        <v>14</v>
      </c>
      <c r="I18" s="146">
        <f>AVERAGE(B18:H18)</f>
        <v>12.166666666666666</v>
      </c>
      <c r="J18" s="141">
        <v>14</v>
      </c>
      <c r="K18" s="11">
        <v>30</v>
      </c>
      <c r="L18" s="11">
        <v>37</v>
      </c>
      <c r="M18" s="11">
        <v>35</v>
      </c>
      <c r="N18" s="11">
        <v>31</v>
      </c>
      <c r="O18" s="11">
        <v>25</v>
      </c>
      <c r="P18" s="11">
        <v>14</v>
      </c>
      <c r="Q18" s="11">
        <v>14</v>
      </c>
      <c r="R18" s="11">
        <v>14</v>
      </c>
      <c r="S18" s="11"/>
      <c r="T18" s="11"/>
      <c r="U18" s="139"/>
      <c r="V18" s="146">
        <f>AVERAGE(J18:U18)</f>
        <v>23.777777777777779</v>
      </c>
    </row>
    <row r="19" spans="1:22" s="132" customFormat="1" ht="30" customHeight="1" x14ac:dyDescent="0.25">
      <c r="A19" s="130" t="s">
        <v>27</v>
      </c>
      <c r="B19" s="131"/>
      <c r="C19" s="131"/>
      <c r="D19" s="131"/>
      <c r="E19" s="131"/>
      <c r="F19" s="131"/>
      <c r="G19" s="131"/>
      <c r="H19" s="131"/>
      <c r="I19" s="143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43"/>
    </row>
    <row r="20" spans="1:22" ht="15.75" x14ac:dyDescent="0.25">
      <c r="A20" s="7" t="s">
        <v>8</v>
      </c>
      <c r="B20" s="10">
        <v>1664</v>
      </c>
      <c r="C20" s="10">
        <f>Juillet!G35+Juillet!I35+Juillet!K35+Juillet!M35</f>
        <v>279.33</v>
      </c>
      <c r="D20" s="10">
        <f>Aout!G35+Aout!I35+Aout!K35+Aout!M35</f>
        <v>508</v>
      </c>
      <c r="E20" s="113">
        <f>Septembre!G35+Septembre!I34+Septembre!K34+Septembre!M34</f>
        <v>26.5</v>
      </c>
      <c r="F20" s="10">
        <f>Octobre!G35+Octobre!I35+Octobre!K35+Octobre!M35</f>
        <v>6</v>
      </c>
      <c r="G20" s="10">
        <f>Novembre!G34+Novembre!I34+Novembre!K34+Novembre!M34</f>
        <v>151.75</v>
      </c>
      <c r="H20" s="138">
        <f>Décembre!G35+Décembre!I35+Décembre!K35+Décembre!M35</f>
        <v>14</v>
      </c>
      <c r="I20" s="145">
        <f>SUM(C20:H20)</f>
        <v>985.57999999999993</v>
      </c>
      <c r="J20" s="160">
        <v>652</v>
      </c>
      <c r="K20" s="158">
        <f>Fevrier26!G32+Fevrier26!I32+Fevrier26!K32+Fevrier26!M32</f>
        <v>652</v>
      </c>
      <c r="L20" s="158">
        <f>Mars26!G35+Mars26!I35+Mars26!K35+Mars26!M35</f>
        <v>993</v>
      </c>
      <c r="M20" s="158">
        <f>Avril26!G34+Avril26!I34+Avril26!K34+Avril26!M34</f>
        <v>13</v>
      </c>
      <c r="N20" s="158">
        <f>'Mai26'!G33+'Mai26'!I33+'Mai26'!K33+'Mai26'!M33</f>
        <v>0</v>
      </c>
      <c r="O20" s="158">
        <f>Juin26!G34+Juin26!I34+Juin26!K34+Juin26!M34</f>
        <v>34</v>
      </c>
      <c r="P20" s="158">
        <f>Juillet26!G35+Juillet26!I35+Juillet26!K35+Juillet26!M35</f>
        <v>0</v>
      </c>
      <c r="Q20" s="158">
        <f>Aout26!H35+Aout26!J35+Aout26!L35+Aout26!N35</f>
        <v>0</v>
      </c>
      <c r="R20" s="158">
        <f>Aout26!H34+Aout26!J34+Aout26!L34+Aout26!N34</f>
        <v>0</v>
      </c>
      <c r="S20" s="158"/>
      <c r="T20" s="158"/>
      <c r="U20" s="159"/>
      <c r="V20" s="145">
        <f>SUM(J20:U20)</f>
        <v>2344</v>
      </c>
    </row>
    <row r="21" spans="1:22" ht="15.75" x14ac:dyDescent="0.25">
      <c r="A21" s="5" t="s">
        <v>2</v>
      </c>
      <c r="B21" s="11">
        <v>9</v>
      </c>
      <c r="C21" s="11">
        <v>9</v>
      </c>
      <c r="D21" s="11">
        <v>9</v>
      </c>
      <c r="E21" s="11">
        <v>14</v>
      </c>
      <c r="F21" s="11">
        <v>13</v>
      </c>
      <c r="G21" s="11">
        <v>2</v>
      </c>
      <c r="H21" s="139">
        <v>14</v>
      </c>
      <c r="I21" s="146">
        <f>AVERAGE(B21:H21)</f>
        <v>10</v>
      </c>
      <c r="J21" s="141">
        <v>8</v>
      </c>
      <c r="K21" s="11">
        <v>8</v>
      </c>
      <c r="L21" s="11">
        <v>12</v>
      </c>
      <c r="M21" s="11">
        <v>17</v>
      </c>
      <c r="N21" s="11">
        <v>0</v>
      </c>
      <c r="O21" s="11">
        <v>25</v>
      </c>
      <c r="P21" s="11">
        <v>14</v>
      </c>
      <c r="Q21" s="11">
        <v>14</v>
      </c>
      <c r="R21" s="11">
        <v>14</v>
      </c>
      <c r="S21" s="11"/>
      <c r="T21" s="11"/>
      <c r="U21" s="139"/>
      <c r="V21" s="146">
        <f>AVERAGE(J21:U21)</f>
        <v>12.444444444444445</v>
      </c>
    </row>
    <row r="22" spans="1:22" s="132" customFormat="1" ht="30" customHeight="1" x14ac:dyDescent="0.25">
      <c r="A22" s="133" t="s">
        <v>7</v>
      </c>
      <c r="B22" s="134"/>
      <c r="C22" s="134"/>
      <c r="D22" s="134"/>
      <c r="E22" s="134"/>
      <c r="F22" s="134"/>
      <c r="G22" s="134"/>
      <c r="H22" s="134"/>
      <c r="I22" s="147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47"/>
    </row>
    <row r="23" spans="1:22" ht="16.5" thickBot="1" x14ac:dyDescent="0.3">
      <c r="A23" s="7" t="s">
        <v>8</v>
      </c>
      <c r="B23" s="10"/>
      <c r="C23" s="10"/>
      <c r="D23" s="10"/>
      <c r="E23" s="10"/>
      <c r="F23" s="10"/>
      <c r="G23" s="10"/>
      <c r="H23" s="138"/>
      <c r="I23" s="148"/>
      <c r="J23" s="14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38"/>
      <c r="V23" s="148"/>
    </row>
    <row r="28" spans="1:22" x14ac:dyDescent="0.25">
      <c r="A28" s="126" t="s">
        <v>24</v>
      </c>
    </row>
    <row r="29" spans="1:22" x14ac:dyDescent="0.25">
      <c r="A29" s="128" t="s">
        <v>23</v>
      </c>
    </row>
    <row r="30" spans="1:22" x14ac:dyDescent="0.25">
      <c r="A30" s="129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5"/>
  <sheetViews>
    <sheetView showGridLines="0" zoomScale="85" zoomScaleNormal="85" workbookViewId="0">
      <pane ySplit="3" topLeftCell="A4" activePane="bottomLeft" state="frozen"/>
      <selection pane="bottomLeft" activeCell="O38" sqref="O38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/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4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72"/>
      <c r="O3" s="70"/>
      <c r="P3" s="16"/>
      <c r="Q3" s="17"/>
      <c r="R3" s="16"/>
      <c r="S3" s="17"/>
    </row>
    <row r="4" spans="1:19" x14ac:dyDescent="0.25">
      <c r="A4" s="18">
        <v>45809</v>
      </c>
      <c r="B4" s="19">
        <f t="shared" ref="B4:B33" si="0">C4/8</f>
        <v>0</v>
      </c>
      <c r="C4" s="20">
        <v>0</v>
      </c>
      <c r="D4" s="19">
        <f t="shared" ref="D4:D33" si="1">E4/8</f>
        <v>0</v>
      </c>
      <c r="E4" s="21">
        <v>0</v>
      </c>
      <c r="F4" s="22">
        <f t="shared" ref="F4:L33" si="2">G4/8</f>
        <v>0</v>
      </c>
      <c r="G4" s="21"/>
      <c r="H4" s="23">
        <f t="shared" si="2"/>
        <v>0</v>
      </c>
      <c r="I4" s="21"/>
      <c r="J4" s="22">
        <f t="shared" si="2"/>
        <v>0</v>
      </c>
      <c r="K4" s="21"/>
      <c r="L4" s="22">
        <f t="shared" si="2"/>
        <v>0</v>
      </c>
      <c r="M4" s="21"/>
      <c r="N4" s="71"/>
      <c r="O4" s="25"/>
      <c r="P4" s="24"/>
      <c r="Q4" s="26"/>
      <c r="R4" s="24"/>
      <c r="S4" s="26"/>
    </row>
    <row r="5" spans="1:19" x14ac:dyDescent="0.25">
      <c r="A5" s="18">
        <v>45810</v>
      </c>
      <c r="B5" s="22">
        <f>C5/8</f>
        <v>0</v>
      </c>
      <c r="C5" s="20">
        <v>0</v>
      </c>
      <c r="D5" s="22">
        <f t="shared" si="1"/>
        <v>0</v>
      </c>
      <c r="E5" s="27">
        <v>0</v>
      </c>
      <c r="F5" s="22">
        <f t="shared" si="2"/>
        <v>0</v>
      </c>
      <c r="G5" s="21"/>
      <c r="H5" s="23">
        <f t="shared" si="2"/>
        <v>0</v>
      </c>
      <c r="I5" s="21"/>
      <c r="J5" s="22">
        <f t="shared" si="2"/>
        <v>0</v>
      </c>
      <c r="K5" s="21"/>
      <c r="L5" s="22">
        <f t="shared" si="2"/>
        <v>0</v>
      </c>
      <c r="M5" s="21"/>
      <c r="N5" s="24"/>
      <c r="O5" s="25"/>
      <c r="P5" s="24"/>
      <c r="Q5" s="26"/>
      <c r="R5" s="24"/>
      <c r="S5" s="26"/>
    </row>
    <row r="6" spans="1:19" x14ac:dyDescent="0.25">
      <c r="A6" s="18">
        <v>45811</v>
      </c>
      <c r="B6" s="22">
        <f t="shared" si="0"/>
        <v>0</v>
      </c>
      <c r="C6" s="20">
        <v>0</v>
      </c>
      <c r="D6" s="22">
        <f t="shared" si="1"/>
        <v>0</v>
      </c>
      <c r="E6" s="21">
        <v>0</v>
      </c>
      <c r="F6" s="22">
        <f t="shared" si="2"/>
        <v>0</v>
      </c>
      <c r="G6" s="21"/>
      <c r="H6" s="23">
        <f t="shared" si="2"/>
        <v>0</v>
      </c>
      <c r="I6" s="21"/>
      <c r="J6" s="22">
        <f t="shared" si="2"/>
        <v>0</v>
      </c>
      <c r="K6" s="21"/>
      <c r="L6" s="22">
        <f t="shared" si="2"/>
        <v>0</v>
      </c>
      <c r="M6" s="21"/>
      <c r="N6" s="24"/>
      <c r="O6" s="25"/>
      <c r="P6" s="24"/>
      <c r="Q6" s="26"/>
      <c r="R6" s="24"/>
      <c r="S6" s="26"/>
    </row>
    <row r="7" spans="1:19" x14ac:dyDescent="0.25">
      <c r="A7" s="18">
        <v>45812</v>
      </c>
      <c r="B7" s="28">
        <f t="shared" si="0"/>
        <v>0</v>
      </c>
      <c r="C7" s="29"/>
      <c r="D7" s="28">
        <f t="shared" si="1"/>
        <v>0</v>
      </c>
      <c r="E7" s="30"/>
      <c r="F7" s="28">
        <f t="shared" si="2"/>
        <v>0</v>
      </c>
      <c r="G7" s="30"/>
      <c r="H7" s="31">
        <f t="shared" si="2"/>
        <v>0</v>
      </c>
      <c r="I7" s="30"/>
      <c r="J7" s="28">
        <f t="shared" si="2"/>
        <v>0</v>
      </c>
      <c r="K7" s="30"/>
      <c r="L7" s="28">
        <f t="shared" si="2"/>
        <v>0</v>
      </c>
      <c r="M7" s="30"/>
      <c r="N7" s="32"/>
      <c r="O7" s="33"/>
      <c r="P7" s="32"/>
      <c r="Q7" s="34"/>
      <c r="R7" s="32"/>
      <c r="S7" s="34"/>
    </row>
    <row r="8" spans="1:19" x14ac:dyDescent="0.25">
      <c r="A8" s="18">
        <v>45813</v>
      </c>
      <c r="B8" s="22">
        <f t="shared" si="0"/>
        <v>0</v>
      </c>
      <c r="C8" s="20">
        <v>0</v>
      </c>
      <c r="D8" s="22">
        <f t="shared" si="1"/>
        <v>0</v>
      </c>
      <c r="E8" s="27">
        <v>0</v>
      </c>
      <c r="F8" s="22">
        <f t="shared" si="2"/>
        <v>0</v>
      </c>
      <c r="G8" s="21"/>
      <c r="H8" s="23">
        <f t="shared" si="2"/>
        <v>0</v>
      </c>
      <c r="I8" s="21"/>
      <c r="J8" s="23">
        <v>0</v>
      </c>
      <c r="K8" s="21"/>
      <c r="L8" s="23">
        <v>0</v>
      </c>
      <c r="M8" s="21"/>
      <c r="N8" s="24"/>
      <c r="O8" s="25"/>
      <c r="P8" s="24"/>
      <c r="Q8" s="26"/>
      <c r="R8" s="24"/>
      <c r="S8" s="26"/>
    </row>
    <row r="9" spans="1:19" x14ac:dyDescent="0.25">
      <c r="A9" s="18">
        <v>45814</v>
      </c>
      <c r="B9" s="35">
        <f t="shared" si="0"/>
        <v>0</v>
      </c>
      <c r="C9" s="20">
        <v>0</v>
      </c>
      <c r="D9" s="35">
        <f t="shared" si="1"/>
        <v>0</v>
      </c>
      <c r="E9" s="21">
        <v>0</v>
      </c>
      <c r="F9" s="23">
        <f t="shared" si="2"/>
        <v>0</v>
      </c>
      <c r="G9" s="27"/>
      <c r="H9" s="23">
        <f t="shared" si="2"/>
        <v>0</v>
      </c>
      <c r="I9" s="27"/>
      <c r="J9" s="23">
        <f t="shared" si="2"/>
        <v>0</v>
      </c>
      <c r="K9" s="27"/>
      <c r="L9" s="23">
        <f t="shared" si="2"/>
        <v>0</v>
      </c>
      <c r="M9" s="27"/>
      <c r="N9" s="36"/>
      <c r="O9" s="25"/>
      <c r="P9" s="24"/>
      <c r="Q9" s="37"/>
      <c r="R9" s="24"/>
      <c r="S9" s="37"/>
    </row>
    <row r="10" spans="1:19" x14ac:dyDescent="0.25">
      <c r="A10" s="18">
        <v>45815</v>
      </c>
      <c r="B10" s="35">
        <f t="shared" si="0"/>
        <v>0</v>
      </c>
      <c r="C10" s="27">
        <v>0</v>
      </c>
      <c r="D10" s="35">
        <f t="shared" si="1"/>
        <v>0</v>
      </c>
      <c r="E10" s="27">
        <v>0</v>
      </c>
      <c r="F10" s="23">
        <f t="shared" si="2"/>
        <v>0</v>
      </c>
      <c r="G10" s="27"/>
      <c r="H10" s="23">
        <f t="shared" si="2"/>
        <v>0</v>
      </c>
      <c r="I10" s="27"/>
      <c r="J10" s="23">
        <f t="shared" si="2"/>
        <v>0</v>
      </c>
      <c r="K10" s="27"/>
      <c r="L10" s="23">
        <f t="shared" si="2"/>
        <v>0</v>
      </c>
      <c r="M10" s="27"/>
      <c r="N10" s="36"/>
      <c r="O10" s="25"/>
      <c r="P10" s="24"/>
      <c r="Q10" s="37"/>
      <c r="R10" s="24"/>
      <c r="S10" s="37"/>
    </row>
    <row r="11" spans="1:19" x14ac:dyDescent="0.25">
      <c r="A11" s="18">
        <v>45816</v>
      </c>
      <c r="B11" s="35">
        <f t="shared" si="0"/>
        <v>0</v>
      </c>
      <c r="C11" s="27">
        <v>0</v>
      </c>
      <c r="D11" s="35">
        <f t="shared" si="1"/>
        <v>0</v>
      </c>
      <c r="E11" s="27">
        <v>0</v>
      </c>
      <c r="F11" s="23">
        <f t="shared" si="2"/>
        <v>0</v>
      </c>
      <c r="G11" s="27"/>
      <c r="H11" s="23">
        <f t="shared" si="2"/>
        <v>0</v>
      </c>
      <c r="I11" s="27"/>
      <c r="J11" s="23">
        <f t="shared" si="2"/>
        <v>0</v>
      </c>
      <c r="K11" s="27"/>
      <c r="L11" s="23">
        <f t="shared" si="2"/>
        <v>0</v>
      </c>
      <c r="M11" s="27"/>
      <c r="N11" s="36"/>
      <c r="O11" s="25"/>
      <c r="P11" s="24"/>
      <c r="Q11" s="37"/>
      <c r="R11" s="24"/>
      <c r="S11" s="37"/>
    </row>
    <row r="12" spans="1:19" x14ac:dyDescent="0.25">
      <c r="A12" s="18">
        <v>45817</v>
      </c>
      <c r="B12" s="35">
        <f t="shared" si="0"/>
        <v>0</v>
      </c>
      <c r="C12" s="27">
        <v>0</v>
      </c>
      <c r="D12" s="35">
        <f t="shared" si="1"/>
        <v>0</v>
      </c>
      <c r="E12" s="27">
        <v>0</v>
      </c>
      <c r="F12" s="23">
        <f t="shared" si="2"/>
        <v>0</v>
      </c>
      <c r="G12" s="27"/>
      <c r="H12" s="23">
        <f t="shared" si="2"/>
        <v>0</v>
      </c>
      <c r="I12" s="27"/>
      <c r="J12" s="23">
        <f t="shared" si="2"/>
        <v>0</v>
      </c>
      <c r="K12" s="27"/>
      <c r="L12" s="23">
        <f t="shared" si="2"/>
        <v>0</v>
      </c>
      <c r="M12" s="27"/>
      <c r="N12" s="36"/>
      <c r="O12" s="25"/>
      <c r="P12" s="24"/>
      <c r="Q12" s="37"/>
      <c r="R12" s="24"/>
      <c r="S12" s="37"/>
    </row>
    <row r="13" spans="1:19" x14ac:dyDescent="0.25">
      <c r="A13" s="18">
        <v>45818</v>
      </c>
      <c r="B13" s="35">
        <f>C13/8</f>
        <v>0</v>
      </c>
      <c r="C13" s="27">
        <v>0</v>
      </c>
      <c r="D13" s="35">
        <f>E13/8</f>
        <v>0</v>
      </c>
      <c r="E13" s="27">
        <v>0</v>
      </c>
      <c r="F13" s="23">
        <f t="shared" si="2"/>
        <v>0</v>
      </c>
      <c r="G13" s="27"/>
      <c r="H13" s="23">
        <f t="shared" si="2"/>
        <v>0</v>
      </c>
      <c r="I13" s="27"/>
      <c r="J13" s="23">
        <f t="shared" si="2"/>
        <v>0</v>
      </c>
      <c r="K13" s="27"/>
      <c r="L13" s="23">
        <f t="shared" si="2"/>
        <v>0</v>
      </c>
      <c r="M13" s="27"/>
      <c r="N13" s="36"/>
      <c r="O13" s="25"/>
      <c r="P13" s="24"/>
      <c r="Q13" s="37"/>
      <c r="R13" s="24"/>
      <c r="S13" s="37"/>
    </row>
    <row r="14" spans="1:19" x14ac:dyDescent="0.25">
      <c r="A14" s="18">
        <v>45819</v>
      </c>
      <c r="B14" s="39">
        <f t="shared" si="0"/>
        <v>0</v>
      </c>
      <c r="C14" s="38"/>
      <c r="D14" s="39">
        <f t="shared" si="1"/>
        <v>0</v>
      </c>
      <c r="E14" s="38"/>
      <c r="F14" s="31">
        <f t="shared" si="2"/>
        <v>0</v>
      </c>
      <c r="G14" s="38"/>
      <c r="H14" s="31">
        <f t="shared" si="2"/>
        <v>0</v>
      </c>
      <c r="I14" s="38"/>
      <c r="J14" s="31">
        <f t="shared" si="2"/>
        <v>0</v>
      </c>
      <c r="K14" s="38"/>
      <c r="L14" s="31">
        <f t="shared" si="2"/>
        <v>0</v>
      </c>
      <c r="M14" s="38"/>
      <c r="N14" s="40"/>
      <c r="O14" s="33"/>
      <c r="P14" s="32"/>
      <c r="Q14" s="41"/>
      <c r="R14" s="32"/>
      <c r="S14" s="41"/>
    </row>
    <row r="15" spans="1:19" x14ac:dyDescent="0.25">
      <c r="A15" s="18">
        <v>45820</v>
      </c>
      <c r="B15" s="35">
        <f t="shared" si="0"/>
        <v>0</v>
      </c>
      <c r="C15" s="27">
        <v>0</v>
      </c>
      <c r="D15" s="35">
        <f t="shared" si="1"/>
        <v>0</v>
      </c>
      <c r="E15" s="27">
        <v>0</v>
      </c>
      <c r="F15" s="23">
        <f t="shared" si="2"/>
        <v>0</v>
      </c>
      <c r="G15" s="27"/>
      <c r="H15" s="23">
        <f t="shared" si="2"/>
        <v>0</v>
      </c>
      <c r="I15" s="27"/>
      <c r="J15" s="23">
        <f t="shared" si="2"/>
        <v>0</v>
      </c>
      <c r="K15" s="27"/>
      <c r="L15" s="23">
        <f t="shared" si="2"/>
        <v>0</v>
      </c>
      <c r="M15" s="27"/>
      <c r="N15" s="36"/>
      <c r="O15" s="25"/>
      <c r="P15" s="24"/>
      <c r="Q15" s="37"/>
      <c r="R15" s="24"/>
      <c r="S15" s="37"/>
    </row>
    <row r="16" spans="1:19" x14ac:dyDescent="0.25">
      <c r="A16" s="18">
        <v>45821</v>
      </c>
      <c r="B16" s="35">
        <f t="shared" si="0"/>
        <v>0</v>
      </c>
      <c r="C16" s="27">
        <v>0</v>
      </c>
      <c r="D16" s="35">
        <f t="shared" si="1"/>
        <v>0</v>
      </c>
      <c r="E16" s="27">
        <v>0</v>
      </c>
      <c r="F16" s="23">
        <f t="shared" si="2"/>
        <v>0</v>
      </c>
      <c r="G16" s="27"/>
      <c r="H16" s="23">
        <f t="shared" si="2"/>
        <v>0</v>
      </c>
      <c r="I16" s="27"/>
      <c r="J16" s="23">
        <f t="shared" si="2"/>
        <v>0</v>
      </c>
      <c r="K16" s="27"/>
      <c r="L16" s="23">
        <f t="shared" si="2"/>
        <v>0</v>
      </c>
      <c r="M16" s="27"/>
      <c r="N16" s="36"/>
      <c r="O16" s="25"/>
      <c r="P16" s="24"/>
      <c r="Q16" s="37"/>
      <c r="R16" s="24"/>
      <c r="S16" s="37"/>
    </row>
    <row r="17" spans="1:19" x14ac:dyDescent="0.25">
      <c r="A17" s="18">
        <v>45822</v>
      </c>
      <c r="B17" s="35">
        <f t="shared" si="0"/>
        <v>0</v>
      </c>
      <c r="C17" s="27">
        <v>0</v>
      </c>
      <c r="D17" s="35">
        <f t="shared" si="1"/>
        <v>0</v>
      </c>
      <c r="E17" s="27">
        <v>0</v>
      </c>
      <c r="F17" s="23">
        <f t="shared" si="2"/>
        <v>0</v>
      </c>
      <c r="G17" s="27"/>
      <c r="H17" s="23">
        <f t="shared" si="2"/>
        <v>0</v>
      </c>
      <c r="I17" s="27"/>
      <c r="J17" s="23">
        <f t="shared" si="2"/>
        <v>0</v>
      </c>
      <c r="K17" s="27"/>
      <c r="L17" s="23">
        <f t="shared" si="2"/>
        <v>0</v>
      </c>
      <c r="M17" s="27"/>
      <c r="N17" s="36"/>
      <c r="O17" s="25"/>
      <c r="P17" s="24"/>
      <c r="Q17" s="37"/>
      <c r="R17" s="24"/>
      <c r="S17" s="37"/>
    </row>
    <row r="18" spans="1:19" x14ac:dyDescent="0.25">
      <c r="A18" s="18">
        <v>45823</v>
      </c>
      <c r="B18" s="35">
        <f t="shared" si="0"/>
        <v>0</v>
      </c>
      <c r="C18" s="27">
        <v>0</v>
      </c>
      <c r="D18" s="35">
        <f t="shared" si="1"/>
        <v>0</v>
      </c>
      <c r="E18" s="27">
        <v>0</v>
      </c>
      <c r="F18" s="23">
        <f t="shared" si="2"/>
        <v>0</v>
      </c>
      <c r="G18" s="27"/>
      <c r="H18" s="23">
        <f t="shared" si="2"/>
        <v>0</v>
      </c>
      <c r="I18" s="27"/>
      <c r="J18" s="23">
        <f t="shared" si="2"/>
        <v>0</v>
      </c>
      <c r="K18" s="27"/>
      <c r="L18" s="23">
        <f t="shared" si="2"/>
        <v>0</v>
      </c>
      <c r="M18" s="27"/>
      <c r="N18" s="36"/>
      <c r="O18" s="25"/>
      <c r="P18" s="24"/>
      <c r="Q18" s="37"/>
      <c r="R18" s="24"/>
      <c r="S18" s="37"/>
    </row>
    <row r="19" spans="1:19" x14ac:dyDescent="0.25">
      <c r="A19" s="18">
        <v>45824</v>
      </c>
      <c r="B19" s="35">
        <f t="shared" si="0"/>
        <v>0</v>
      </c>
      <c r="C19" s="27">
        <v>0</v>
      </c>
      <c r="D19" s="35">
        <f t="shared" si="1"/>
        <v>0</v>
      </c>
      <c r="E19" s="27">
        <v>0</v>
      </c>
      <c r="F19" s="23">
        <f t="shared" si="2"/>
        <v>0</v>
      </c>
      <c r="G19" s="27"/>
      <c r="H19" s="23">
        <f t="shared" si="2"/>
        <v>0</v>
      </c>
      <c r="I19" s="27"/>
      <c r="J19" s="23">
        <f t="shared" si="2"/>
        <v>0</v>
      </c>
      <c r="K19" s="27"/>
      <c r="L19" s="23">
        <f t="shared" si="2"/>
        <v>0</v>
      </c>
      <c r="M19" s="27"/>
      <c r="N19" s="36"/>
      <c r="O19" s="25"/>
      <c r="P19" s="24"/>
      <c r="Q19" s="37"/>
      <c r="R19" s="24"/>
      <c r="S19" s="37"/>
    </row>
    <row r="20" spans="1:19" x14ac:dyDescent="0.25">
      <c r="A20" s="18">
        <v>45825</v>
      </c>
      <c r="B20" s="35">
        <f t="shared" si="0"/>
        <v>0</v>
      </c>
      <c r="C20" s="27">
        <v>0</v>
      </c>
      <c r="D20" s="35">
        <f t="shared" si="1"/>
        <v>0</v>
      </c>
      <c r="E20" s="27">
        <v>0</v>
      </c>
      <c r="F20" s="23">
        <f t="shared" si="2"/>
        <v>0</v>
      </c>
      <c r="G20" s="27"/>
      <c r="H20" s="23">
        <f t="shared" si="2"/>
        <v>0</v>
      </c>
      <c r="I20" s="27"/>
      <c r="J20" s="23">
        <f t="shared" si="2"/>
        <v>0</v>
      </c>
      <c r="K20" s="27"/>
      <c r="L20" s="23">
        <f t="shared" si="2"/>
        <v>0</v>
      </c>
      <c r="M20" s="27"/>
      <c r="N20" s="36"/>
      <c r="O20" s="25"/>
      <c r="P20" s="24"/>
      <c r="Q20" s="37"/>
      <c r="R20" s="24"/>
      <c r="S20" s="37"/>
    </row>
    <row r="21" spans="1:19" x14ac:dyDescent="0.25">
      <c r="A21" s="18">
        <v>45826</v>
      </c>
      <c r="B21" s="43">
        <f t="shared" si="0"/>
        <v>0</v>
      </c>
      <c r="C21" s="42"/>
      <c r="D21" s="43">
        <f t="shared" si="1"/>
        <v>0</v>
      </c>
      <c r="E21" s="42"/>
      <c r="F21" s="44">
        <f t="shared" si="2"/>
        <v>0</v>
      </c>
      <c r="G21" s="42"/>
      <c r="H21" s="44">
        <f t="shared" si="2"/>
        <v>0</v>
      </c>
      <c r="I21" s="42"/>
      <c r="J21" s="44">
        <f t="shared" si="2"/>
        <v>0</v>
      </c>
      <c r="K21" s="42"/>
      <c r="L21" s="44">
        <f t="shared" si="2"/>
        <v>0</v>
      </c>
      <c r="M21" s="42"/>
      <c r="N21" s="45"/>
      <c r="O21" s="46"/>
      <c r="P21" s="47"/>
      <c r="Q21" s="48"/>
      <c r="R21" s="47"/>
      <c r="S21" s="48"/>
    </row>
    <row r="22" spans="1:19" x14ac:dyDescent="0.25">
      <c r="A22" s="18">
        <v>45827</v>
      </c>
      <c r="B22" s="35">
        <f t="shared" si="0"/>
        <v>0</v>
      </c>
      <c r="C22" s="27">
        <v>0</v>
      </c>
      <c r="D22" s="35">
        <f t="shared" si="1"/>
        <v>0</v>
      </c>
      <c r="E22" s="27">
        <v>0</v>
      </c>
      <c r="F22" s="23">
        <f t="shared" si="2"/>
        <v>0</v>
      </c>
      <c r="G22" s="27"/>
      <c r="H22" s="23">
        <f t="shared" si="2"/>
        <v>0</v>
      </c>
      <c r="I22" s="27"/>
      <c r="J22" s="23">
        <f t="shared" si="2"/>
        <v>0</v>
      </c>
      <c r="K22" s="27"/>
      <c r="L22" s="23">
        <f t="shared" si="2"/>
        <v>0</v>
      </c>
      <c r="M22" s="27"/>
      <c r="N22" s="36"/>
      <c r="O22" s="25"/>
      <c r="P22" s="24"/>
      <c r="Q22" s="37"/>
      <c r="R22" s="24"/>
      <c r="S22" s="37"/>
    </row>
    <row r="23" spans="1:19" x14ac:dyDescent="0.25">
      <c r="A23" s="18">
        <v>45828</v>
      </c>
      <c r="B23" s="35">
        <f t="shared" si="0"/>
        <v>0</v>
      </c>
      <c r="C23" s="27">
        <v>0</v>
      </c>
      <c r="D23" s="35">
        <f t="shared" si="1"/>
        <v>0</v>
      </c>
      <c r="E23" s="27">
        <v>0</v>
      </c>
      <c r="F23" s="23">
        <f t="shared" si="2"/>
        <v>0</v>
      </c>
      <c r="G23" s="27"/>
      <c r="H23" s="23">
        <f t="shared" si="2"/>
        <v>0</v>
      </c>
      <c r="I23" s="27"/>
      <c r="J23" s="23">
        <f t="shared" si="2"/>
        <v>0</v>
      </c>
      <c r="K23" s="27"/>
      <c r="L23" s="23">
        <f t="shared" si="2"/>
        <v>0</v>
      </c>
      <c r="M23" s="27"/>
      <c r="N23" s="36"/>
      <c r="O23" s="25"/>
      <c r="P23" s="24"/>
      <c r="Q23" s="37"/>
      <c r="R23" s="24"/>
      <c r="S23" s="37"/>
    </row>
    <row r="24" spans="1:19" x14ac:dyDescent="0.25">
      <c r="A24" s="18">
        <v>45829</v>
      </c>
      <c r="B24" s="35">
        <f t="shared" si="0"/>
        <v>0</v>
      </c>
      <c r="C24" s="27">
        <v>0</v>
      </c>
      <c r="D24" s="35">
        <f t="shared" si="1"/>
        <v>0</v>
      </c>
      <c r="E24" s="27">
        <v>0</v>
      </c>
      <c r="F24" s="23">
        <f t="shared" si="2"/>
        <v>0</v>
      </c>
      <c r="G24" s="27"/>
      <c r="H24" s="23">
        <f t="shared" si="2"/>
        <v>0</v>
      </c>
      <c r="I24" s="27"/>
      <c r="J24" s="23">
        <f t="shared" si="2"/>
        <v>0</v>
      </c>
      <c r="K24" s="27"/>
      <c r="L24" s="23">
        <f t="shared" si="2"/>
        <v>0</v>
      </c>
      <c r="M24" s="27"/>
      <c r="N24" s="36"/>
      <c r="O24" s="25"/>
      <c r="P24" s="24"/>
      <c r="Q24" s="37"/>
      <c r="R24" s="24"/>
      <c r="S24" s="37"/>
    </row>
    <row r="25" spans="1:19" x14ac:dyDescent="0.25">
      <c r="A25" s="18">
        <v>45830</v>
      </c>
      <c r="B25" s="35">
        <f t="shared" si="0"/>
        <v>0</v>
      </c>
      <c r="C25" s="27">
        <v>0</v>
      </c>
      <c r="D25" s="35">
        <f t="shared" si="1"/>
        <v>0</v>
      </c>
      <c r="E25" s="27">
        <v>0</v>
      </c>
      <c r="F25" s="23">
        <f t="shared" si="2"/>
        <v>0</v>
      </c>
      <c r="G25" s="27"/>
      <c r="H25" s="23">
        <f t="shared" si="2"/>
        <v>0</v>
      </c>
      <c r="I25" s="27"/>
      <c r="J25" s="23">
        <f t="shared" si="2"/>
        <v>0</v>
      </c>
      <c r="K25" s="27"/>
      <c r="L25" s="23">
        <f t="shared" si="2"/>
        <v>0</v>
      </c>
      <c r="M25" s="27"/>
      <c r="N25" s="36"/>
      <c r="O25" s="25"/>
      <c r="P25" s="24"/>
      <c r="Q25" s="37"/>
      <c r="R25" s="24"/>
      <c r="S25" s="37"/>
    </row>
    <row r="26" spans="1:19" x14ac:dyDescent="0.25">
      <c r="A26" s="18">
        <v>45831</v>
      </c>
      <c r="B26" s="35">
        <f t="shared" si="0"/>
        <v>0</v>
      </c>
      <c r="C26" s="27">
        <v>0</v>
      </c>
      <c r="D26" s="35">
        <f t="shared" si="1"/>
        <v>0</v>
      </c>
      <c r="E26" s="27">
        <v>0</v>
      </c>
      <c r="F26" s="23">
        <f t="shared" si="2"/>
        <v>0</v>
      </c>
      <c r="G26" s="27"/>
      <c r="H26" s="23">
        <f t="shared" si="2"/>
        <v>0</v>
      </c>
      <c r="I26" s="27"/>
      <c r="J26" s="23">
        <f t="shared" si="2"/>
        <v>0</v>
      </c>
      <c r="K26" s="27"/>
      <c r="L26" s="23">
        <f t="shared" si="2"/>
        <v>0</v>
      </c>
      <c r="M26" s="27"/>
      <c r="N26" s="36"/>
      <c r="O26" s="25"/>
      <c r="P26" s="24"/>
      <c r="Q26" s="37"/>
      <c r="R26" s="24"/>
      <c r="S26" s="37"/>
    </row>
    <row r="27" spans="1:19" x14ac:dyDescent="0.25">
      <c r="A27" s="18">
        <v>45832</v>
      </c>
      <c r="B27" s="35">
        <f t="shared" si="0"/>
        <v>0</v>
      </c>
      <c r="C27" s="27"/>
      <c r="D27" s="35">
        <f t="shared" si="1"/>
        <v>0</v>
      </c>
      <c r="E27" s="27">
        <v>0</v>
      </c>
      <c r="F27" s="23">
        <f t="shared" si="2"/>
        <v>0</v>
      </c>
      <c r="G27" s="27"/>
      <c r="H27" s="23">
        <f t="shared" si="2"/>
        <v>0</v>
      </c>
      <c r="I27" s="27"/>
      <c r="J27" s="23">
        <f t="shared" si="2"/>
        <v>0</v>
      </c>
      <c r="K27" s="27"/>
      <c r="L27" s="23">
        <f t="shared" si="2"/>
        <v>0</v>
      </c>
      <c r="M27" s="27"/>
      <c r="N27" s="36"/>
      <c r="O27" s="25"/>
      <c r="P27" s="24"/>
      <c r="Q27" s="37"/>
      <c r="R27" s="24"/>
      <c r="S27" s="37"/>
    </row>
    <row r="28" spans="1:19" x14ac:dyDescent="0.25">
      <c r="A28" s="18">
        <v>45833</v>
      </c>
      <c r="B28" s="50">
        <f t="shared" si="0"/>
        <v>0</v>
      </c>
      <c r="C28" s="49"/>
      <c r="D28" s="50">
        <f t="shared" si="1"/>
        <v>0</v>
      </c>
      <c r="E28" s="49"/>
      <c r="F28" s="51">
        <f t="shared" si="2"/>
        <v>0</v>
      </c>
      <c r="G28" s="49"/>
      <c r="H28" s="51">
        <f t="shared" si="2"/>
        <v>0</v>
      </c>
      <c r="I28" s="49"/>
      <c r="J28" s="51">
        <f t="shared" si="2"/>
        <v>0</v>
      </c>
      <c r="K28" s="49"/>
      <c r="L28" s="51">
        <f t="shared" si="2"/>
        <v>0</v>
      </c>
      <c r="M28" s="49"/>
      <c r="N28" s="52"/>
      <c r="O28" s="53"/>
      <c r="P28" s="54"/>
      <c r="Q28" s="55"/>
      <c r="R28" s="54"/>
      <c r="S28" s="55"/>
    </row>
    <row r="29" spans="1:19" x14ac:dyDescent="0.25">
      <c r="A29" s="18">
        <v>45834</v>
      </c>
      <c r="B29" s="35">
        <f t="shared" si="0"/>
        <v>0</v>
      </c>
      <c r="C29" s="27">
        <v>0</v>
      </c>
      <c r="D29" s="35">
        <f t="shared" si="1"/>
        <v>0</v>
      </c>
      <c r="E29" s="27">
        <v>0</v>
      </c>
      <c r="F29" s="23">
        <f t="shared" si="2"/>
        <v>0</v>
      </c>
      <c r="G29" s="27"/>
      <c r="H29" s="23">
        <f t="shared" si="2"/>
        <v>0</v>
      </c>
      <c r="I29" s="27"/>
      <c r="J29" s="23">
        <f t="shared" si="2"/>
        <v>0</v>
      </c>
      <c r="K29" s="27"/>
      <c r="L29" s="23">
        <f t="shared" si="2"/>
        <v>0</v>
      </c>
      <c r="M29" s="27"/>
      <c r="N29" s="36"/>
      <c r="O29" s="25"/>
      <c r="P29" s="24"/>
      <c r="Q29" s="37"/>
      <c r="R29" s="24"/>
      <c r="S29" s="37"/>
    </row>
    <row r="30" spans="1:19" x14ac:dyDescent="0.25">
      <c r="A30" s="18">
        <v>45835</v>
      </c>
      <c r="B30" s="35">
        <f t="shared" si="0"/>
        <v>0</v>
      </c>
      <c r="C30" s="27">
        <v>0</v>
      </c>
      <c r="D30" s="35">
        <f t="shared" si="1"/>
        <v>0</v>
      </c>
      <c r="E30" s="27">
        <v>0</v>
      </c>
      <c r="F30" s="23">
        <f t="shared" si="2"/>
        <v>0</v>
      </c>
      <c r="G30" s="27"/>
      <c r="H30" s="23">
        <f t="shared" si="2"/>
        <v>0</v>
      </c>
      <c r="I30" s="27"/>
      <c r="J30" s="23">
        <f t="shared" si="2"/>
        <v>0</v>
      </c>
      <c r="K30" s="27"/>
      <c r="L30" s="23">
        <f t="shared" si="2"/>
        <v>0</v>
      </c>
      <c r="M30" s="27"/>
      <c r="N30" s="36"/>
      <c r="O30" s="25"/>
      <c r="P30" s="24"/>
      <c r="Q30" s="37"/>
      <c r="R30" s="24"/>
      <c r="S30" s="37"/>
    </row>
    <row r="31" spans="1:19" x14ac:dyDescent="0.25">
      <c r="A31" s="18">
        <v>45836</v>
      </c>
      <c r="B31" s="35">
        <f t="shared" si="0"/>
        <v>0</v>
      </c>
      <c r="C31" s="27">
        <v>0</v>
      </c>
      <c r="D31" s="35">
        <f t="shared" si="1"/>
        <v>0</v>
      </c>
      <c r="E31" s="27">
        <v>0</v>
      </c>
      <c r="F31" s="23">
        <f t="shared" si="2"/>
        <v>0</v>
      </c>
      <c r="G31" s="27"/>
      <c r="H31" s="23">
        <f t="shared" si="2"/>
        <v>0</v>
      </c>
      <c r="I31" s="27"/>
      <c r="J31" s="23">
        <f t="shared" si="2"/>
        <v>0</v>
      </c>
      <c r="K31" s="27"/>
      <c r="L31" s="23">
        <f t="shared" si="2"/>
        <v>0</v>
      </c>
      <c r="M31" s="27"/>
      <c r="N31" s="36"/>
      <c r="O31" s="25"/>
      <c r="P31" s="24"/>
      <c r="Q31" s="37"/>
      <c r="R31" s="24"/>
      <c r="S31" s="37"/>
    </row>
    <row r="32" spans="1:19" ht="15" customHeight="1" x14ac:dyDescent="0.25">
      <c r="A32" s="18">
        <v>45837</v>
      </c>
      <c r="B32" s="35">
        <f t="shared" si="0"/>
        <v>0</v>
      </c>
      <c r="C32" s="27">
        <v>0</v>
      </c>
      <c r="D32" s="35">
        <f t="shared" si="1"/>
        <v>0</v>
      </c>
      <c r="E32" s="27">
        <v>0</v>
      </c>
      <c r="F32" s="23">
        <f t="shared" si="2"/>
        <v>0</v>
      </c>
      <c r="G32" s="27"/>
      <c r="H32" s="23">
        <f t="shared" si="2"/>
        <v>0</v>
      </c>
      <c r="I32" s="27"/>
      <c r="J32" s="23">
        <f t="shared" si="2"/>
        <v>0</v>
      </c>
      <c r="K32" s="27"/>
      <c r="L32" s="23">
        <f t="shared" si="2"/>
        <v>0</v>
      </c>
      <c r="M32" s="56"/>
      <c r="N32" s="57"/>
      <c r="O32" s="24"/>
      <c r="P32" s="24"/>
      <c r="Q32" s="37"/>
      <c r="R32" s="24"/>
      <c r="S32" s="37"/>
    </row>
    <row r="33" spans="1:19" ht="15" customHeight="1" thickBot="1" x14ac:dyDescent="0.3">
      <c r="A33" s="18">
        <v>45838</v>
      </c>
      <c r="B33" s="35">
        <f t="shared" si="0"/>
        <v>0</v>
      </c>
      <c r="C33" s="27">
        <v>0</v>
      </c>
      <c r="D33" s="35">
        <f t="shared" si="1"/>
        <v>0</v>
      </c>
      <c r="E33" s="27">
        <v>0</v>
      </c>
      <c r="F33" s="23">
        <f t="shared" si="2"/>
        <v>0</v>
      </c>
      <c r="G33" s="27"/>
      <c r="H33" s="23">
        <f t="shared" si="2"/>
        <v>0</v>
      </c>
      <c r="I33" s="27"/>
      <c r="J33" s="23">
        <f t="shared" si="2"/>
        <v>0</v>
      </c>
      <c r="K33" s="27"/>
      <c r="L33" s="23">
        <f t="shared" si="2"/>
        <v>0</v>
      </c>
      <c r="M33" s="56"/>
      <c r="N33" s="21"/>
      <c r="O33" s="24"/>
      <c r="P33" s="24"/>
      <c r="Q33" s="37"/>
      <c r="R33" s="24"/>
      <c r="S33" s="37"/>
    </row>
    <row r="34" spans="1:19" ht="15.75" thickBot="1" x14ac:dyDescent="0.3">
      <c r="A34" s="58" t="s">
        <v>20</v>
      </c>
      <c r="B34" s="59">
        <f>IFERROR(AVERAGE(B4:B33),0)</f>
        <v>0</v>
      </c>
      <c r="C34" s="60">
        <f>SUM(C4:C33)</f>
        <v>0</v>
      </c>
      <c r="D34" s="59">
        <f>AVERAGE(D6:D32)</f>
        <v>0</v>
      </c>
      <c r="E34" s="61">
        <f>SUM(E4:E33)</f>
        <v>0</v>
      </c>
      <c r="F34" s="62">
        <f>AVERAGE(F4:F33)</f>
        <v>0</v>
      </c>
      <c r="G34" s="63">
        <f>SUM(G4:G33)</f>
        <v>0</v>
      </c>
      <c r="H34" s="62">
        <f>AVERAGE(H4:H33)</f>
        <v>0</v>
      </c>
      <c r="I34" s="63">
        <f>SUM(I4:I33)</f>
        <v>0</v>
      </c>
      <c r="J34" s="62">
        <f>AVERAGE(J4:J33)</f>
        <v>0</v>
      </c>
      <c r="K34" s="63">
        <f>SUM(K4:K33)</f>
        <v>0</v>
      </c>
      <c r="L34" s="62">
        <f>AVERAGE(L4:L33)</f>
        <v>0</v>
      </c>
      <c r="M34" s="63">
        <f>SUM(M4:M33)</f>
        <v>0</v>
      </c>
      <c r="N34" s="64">
        <f>IFERROR(AVERAGE(N4:N33),0)</f>
        <v>0</v>
      </c>
      <c r="O34" s="65" t="e">
        <f>#REF!+C34+I34+E34+G34+K34+M34</f>
        <v>#REF!</v>
      </c>
      <c r="P34" s="66">
        <f>IFERROR(AVERAGE(P4:P33),0)</f>
        <v>0</v>
      </c>
      <c r="Q34" s="17">
        <f>SUM(Q4:Q33)</f>
        <v>0</v>
      </c>
      <c r="R34" s="66">
        <f>IFERROR(AVERAGE(R4:R33),0)</f>
        <v>0</v>
      </c>
      <c r="S34" s="17">
        <f>SUM(S4:S33)</f>
        <v>0</v>
      </c>
    </row>
    <row r="35" spans="1:19" x14ac:dyDescent="0.25">
      <c r="G35" s="67"/>
      <c r="I35" s="68"/>
      <c r="O35" s="69"/>
    </row>
  </sheetData>
  <mergeCells count="9">
    <mergeCell ref="L2:M2"/>
    <mergeCell ref="N2:O2"/>
    <mergeCell ref="P2:Q2"/>
    <mergeCell ref="R2:S2"/>
    <mergeCell ref="B2:C2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"/>
  <sheetViews>
    <sheetView showGridLines="0" zoomScale="85" zoomScaleNormal="85" workbookViewId="0">
      <pane ySplit="3" topLeftCell="A4" activePane="bottomLeft" state="frozen"/>
      <selection pane="bottomLeft" activeCell="I44" sqref="I44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6.42578125" customWidth="1"/>
    <col min="18" max="18" width="12.5703125" customWidth="1"/>
  </cols>
  <sheetData>
    <row r="1" spans="1:19" ht="15" hidden="1" customHeight="1" thickBot="1" x14ac:dyDescent="0.3"/>
    <row r="2" spans="1:19" x14ac:dyDescent="0.25">
      <c r="A2" s="122">
        <v>2025</v>
      </c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73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4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2" t="s">
        <v>18</v>
      </c>
      <c r="O3" s="70" t="s">
        <v>19</v>
      </c>
      <c r="P3" s="16"/>
      <c r="Q3" s="17"/>
      <c r="R3" s="74"/>
      <c r="S3" s="17"/>
    </row>
    <row r="4" spans="1:19" x14ac:dyDescent="0.25">
      <c r="A4" s="18">
        <v>45839</v>
      </c>
      <c r="B4" s="81">
        <f t="shared" ref="B4:B33" si="0">C4/8</f>
        <v>0</v>
      </c>
      <c r="C4" s="20">
        <v>0</v>
      </c>
      <c r="D4" s="81">
        <f>E4/8</f>
        <v>0</v>
      </c>
      <c r="E4" s="21">
        <v>0</v>
      </c>
      <c r="F4" s="82">
        <f t="shared" ref="F4:N33" si="1">G4/8</f>
        <v>9.5</v>
      </c>
      <c r="G4" s="21">
        <v>76</v>
      </c>
      <c r="H4" s="23">
        <f t="shared" si="1"/>
        <v>0</v>
      </c>
      <c r="I4" s="21">
        <v>0</v>
      </c>
      <c r="J4" s="82">
        <f t="shared" si="1"/>
        <v>0</v>
      </c>
      <c r="K4" s="21">
        <v>0</v>
      </c>
      <c r="L4" s="82">
        <f t="shared" si="1"/>
        <v>0</v>
      </c>
      <c r="M4" s="21">
        <v>0</v>
      </c>
      <c r="N4" s="82">
        <f t="shared" si="1"/>
        <v>0</v>
      </c>
      <c r="O4" s="21">
        <v>0</v>
      </c>
      <c r="P4" s="83">
        <v>1</v>
      </c>
      <c r="Q4" s="81">
        <v>8</v>
      </c>
      <c r="R4" s="37"/>
      <c r="S4" s="26"/>
    </row>
    <row r="5" spans="1:19" x14ac:dyDescent="0.25">
      <c r="A5" s="18">
        <v>45840</v>
      </c>
      <c r="B5" s="82">
        <f>C5/8</f>
        <v>0</v>
      </c>
      <c r="C5" s="20">
        <v>0</v>
      </c>
      <c r="D5" s="82">
        <f t="shared" ref="D5:D33" si="2">E5/8</f>
        <v>0</v>
      </c>
      <c r="E5" s="79">
        <v>0</v>
      </c>
      <c r="F5" s="82">
        <f t="shared" si="1"/>
        <v>8.9162499999999998</v>
      </c>
      <c r="G5" s="21">
        <v>71.33</v>
      </c>
      <c r="H5" s="23">
        <f t="shared" si="1"/>
        <v>0</v>
      </c>
      <c r="I5" s="21">
        <v>0</v>
      </c>
      <c r="J5" s="82">
        <f t="shared" si="1"/>
        <v>0</v>
      </c>
      <c r="K5" s="21">
        <v>0</v>
      </c>
      <c r="L5" s="82">
        <f t="shared" si="1"/>
        <v>0</v>
      </c>
      <c r="M5" s="21">
        <v>0</v>
      </c>
      <c r="N5" s="82">
        <f t="shared" si="1"/>
        <v>0</v>
      </c>
      <c r="O5" s="21">
        <v>0</v>
      </c>
      <c r="P5" s="83">
        <v>1</v>
      </c>
      <c r="Q5" s="82">
        <v>8</v>
      </c>
      <c r="R5" s="37"/>
      <c r="S5" s="26"/>
    </row>
    <row r="6" spans="1:19" x14ac:dyDescent="0.25">
      <c r="A6" s="18">
        <v>45841</v>
      </c>
      <c r="B6" s="82">
        <f t="shared" si="0"/>
        <v>0</v>
      </c>
      <c r="C6" s="20">
        <v>0</v>
      </c>
      <c r="D6" s="82">
        <f t="shared" si="2"/>
        <v>0</v>
      </c>
      <c r="E6" s="21">
        <v>0</v>
      </c>
      <c r="F6" s="82">
        <f t="shared" si="1"/>
        <v>9</v>
      </c>
      <c r="G6" s="21">
        <v>72</v>
      </c>
      <c r="H6" s="23">
        <f t="shared" si="1"/>
        <v>0</v>
      </c>
      <c r="I6" s="21">
        <v>0</v>
      </c>
      <c r="J6" s="82">
        <f t="shared" si="1"/>
        <v>0</v>
      </c>
      <c r="K6" s="21">
        <v>0</v>
      </c>
      <c r="L6" s="82">
        <f t="shared" si="1"/>
        <v>0</v>
      </c>
      <c r="M6" s="21">
        <v>0</v>
      </c>
      <c r="N6" s="82">
        <f t="shared" si="1"/>
        <v>0</v>
      </c>
      <c r="O6" s="21">
        <v>0</v>
      </c>
      <c r="P6" s="83">
        <v>1</v>
      </c>
      <c r="Q6" s="82">
        <v>8</v>
      </c>
      <c r="R6" s="37"/>
      <c r="S6" s="26"/>
    </row>
    <row r="7" spans="1:19" x14ac:dyDescent="0.25">
      <c r="A7" s="18">
        <v>45842</v>
      </c>
      <c r="B7" s="82">
        <f t="shared" si="0"/>
        <v>0</v>
      </c>
      <c r="C7" s="20">
        <v>0</v>
      </c>
      <c r="D7" s="82">
        <f t="shared" si="2"/>
        <v>0</v>
      </c>
      <c r="E7" s="21">
        <v>0</v>
      </c>
      <c r="F7" s="82">
        <f t="shared" si="1"/>
        <v>7.5</v>
      </c>
      <c r="G7" s="21">
        <v>60</v>
      </c>
      <c r="H7" s="23">
        <f t="shared" si="1"/>
        <v>0</v>
      </c>
      <c r="I7" s="21">
        <v>0</v>
      </c>
      <c r="J7" s="82">
        <f t="shared" si="1"/>
        <v>0</v>
      </c>
      <c r="K7" s="21">
        <v>0</v>
      </c>
      <c r="L7" s="82">
        <f t="shared" si="1"/>
        <v>0</v>
      </c>
      <c r="M7" s="21">
        <v>0</v>
      </c>
      <c r="N7" s="82">
        <f t="shared" si="1"/>
        <v>0</v>
      </c>
      <c r="O7" s="21">
        <v>0</v>
      </c>
      <c r="P7" s="83">
        <v>1</v>
      </c>
      <c r="Q7" s="82">
        <v>8</v>
      </c>
      <c r="R7" s="37"/>
      <c r="S7" s="26"/>
    </row>
    <row r="8" spans="1:19" x14ac:dyDescent="0.25">
      <c r="A8" s="18">
        <v>45843</v>
      </c>
      <c r="B8" s="75">
        <f t="shared" si="0"/>
        <v>0</v>
      </c>
      <c r="C8" s="80">
        <v>0</v>
      </c>
      <c r="D8" s="75">
        <f t="shared" si="2"/>
        <v>0</v>
      </c>
      <c r="E8" s="76">
        <v>0</v>
      </c>
      <c r="F8" s="76">
        <f t="shared" si="1"/>
        <v>0</v>
      </c>
      <c r="G8" s="76">
        <v>0</v>
      </c>
      <c r="H8" s="76">
        <f t="shared" si="1"/>
        <v>0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f t="shared" si="1"/>
        <v>0</v>
      </c>
      <c r="O8" s="76">
        <v>0</v>
      </c>
      <c r="P8" s="84">
        <v>0</v>
      </c>
      <c r="Q8" s="84">
        <v>0</v>
      </c>
      <c r="R8" s="77"/>
      <c r="S8" s="77"/>
    </row>
    <row r="9" spans="1:19" x14ac:dyDescent="0.25">
      <c r="A9" s="18">
        <v>45844</v>
      </c>
      <c r="B9" s="75">
        <f t="shared" si="0"/>
        <v>0</v>
      </c>
      <c r="C9" s="80">
        <v>0</v>
      </c>
      <c r="D9" s="75">
        <f t="shared" si="2"/>
        <v>0</v>
      </c>
      <c r="E9" s="76">
        <v>0</v>
      </c>
      <c r="F9" s="76">
        <f t="shared" si="1"/>
        <v>0</v>
      </c>
      <c r="G9" s="76">
        <v>0</v>
      </c>
      <c r="H9" s="76">
        <f t="shared" si="1"/>
        <v>0</v>
      </c>
      <c r="I9" s="76">
        <v>0</v>
      </c>
      <c r="J9" s="76">
        <f t="shared" si="1"/>
        <v>0</v>
      </c>
      <c r="K9" s="76">
        <v>0</v>
      </c>
      <c r="L9" s="76">
        <f t="shared" si="1"/>
        <v>0</v>
      </c>
      <c r="M9" s="76">
        <v>0</v>
      </c>
      <c r="N9" s="76">
        <f t="shared" si="1"/>
        <v>0</v>
      </c>
      <c r="O9" s="76">
        <v>0</v>
      </c>
      <c r="P9" s="84">
        <v>0</v>
      </c>
      <c r="Q9" s="84">
        <v>0</v>
      </c>
      <c r="R9" s="77"/>
      <c r="S9" s="77"/>
    </row>
    <row r="10" spans="1:19" x14ac:dyDescent="0.25">
      <c r="A10" s="18">
        <v>45845</v>
      </c>
      <c r="B10" s="35">
        <f>C10/8</f>
        <v>9</v>
      </c>
      <c r="C10" s="20">
        <v>72</v>
      </c>
      <c r="D10" s="35">
        <f t="shared" si="2"/>
        <v>0</v>
      </c>
      <c r="E10" s="79">
        <v>0</v>
      </c>
      <c r="F10" s="23">
        <f t="shared" si="1"/>
        <v>0</v>
      </c>
      <c r="G10" s="21">
        <v>0</v>
      </c>
      <c r="H10" s="23">
        <f t="shared" si="1"/>
        <v>0</v>
      </c>
      <c r="I10" s="21">
        <v>0</v>
      </c>
      <c r="J10" s="23">
        <f t="shared" si="1"/>
        <v>0</v>
      </c>
      <c r="K10" s="21">
        <v>0</v>
      </c>
      <c r="L10" s="23">
        <f t="shared" si="1"/>
        <v>0</v>
      </c>
      <c r="M10" s="21">
        <v>0</v>
      </c>
      <c r="N10" s="82">
        <f t="shared" si="1"/>
        <v>0</v>
      </c>
      <c r="O10" s="21">
        <v>0</v>
      </c>
      <c r="P10" s="83">
        <v>1</v>
      </c>
      <c r="Q10" s="82">
        <v>9</v>
      </c>
      <c r="R10" s="37"/>
      <c r="S10" s="37"/>
    </row>
    <row r="11" spans="1:19" x14ac:dyDescent="0.25">
      <c r="A11" s="18">
        <v>45846</v>
      </c>
      <c r="B11" s="35">
        <f>C11/8</f>
        <v>9</v>
      </c>
      <c r="C11" s="20">
        <v>72</v>
      </c>
      <c r="D11" s="35">
        <f t="shared" si="2"/>
        <v>0</v>
      </c>
      <c r="E11" s="79">
        <v>0</v>
      </c>
      <c r="F11" s="23">
        <f t="shared" si="1"/>
        <v>0</v>
      </c>
      <c r="G11" s="21">
        <v>0</v>
      </c>
      <c r="H11" s="23">
        <f t="shared" si="1"/>
        <v>0</v>
      </c>
      <c r="I11" s="21">
        <v>0</v>
      </c>
      <c r="J11" s="23">
        <f t="shared" si="1"/>
        <v>0</v>
      </c>
      <c r="K11" s="21">
        <v>0</v>
      </c>
      <c r="L11" s="23">
        <f t="shared" si="1"/>
        <v>0</v>
      </c>
      <c r="M11" s="21">
        <v>0</v>
      </c>
      <c r="N11" s="82">
        <f t="shared" si="1"/>
        <v>0</v>
      </c>
      <c r="O11" s="21">
        <v>0</v>
      </c>
      <c r="P11" s="83">
        <v>1</v>
      </c>
      <c r="Q11" s="82">
        <v>9</v>
      </c>
      <c r="R11" s="37"/>
      <c r="S11" s="37"/>
    </row>
    <row r="12" spans="1:19" x14ac:dyDescent="0.25">
      <c r="A12" s="18">
        <v>45847</v>
      </c>
      <c r="B12" s="35">
        <f>C12/8</f>
        <v>9</v>
      </c>
      <c r="C12" s="20">
        <v>72</v>
      </c>
      <c r="D12" s="35">
        <f>E12/8</f>
        <v>0</v>
      </c>
      <c r="E12" s="79">
        <v>0</v>
      </c>
      <c r="F12" s="23">
        <f t="shared" si="1"/>
        <v>0</v>
      </c>
      <c r="G12" s="21">
        <v>0</v>
      </c>
      <c r="H12" s="23">
        <f t="shared" si="1"/>
        <v>0</v>
      </c>
      <c r="I12" s="21">
        <v>0</v>
      </c>
      <c r="J12" s="23">
        <f t="shared" si="1"/>
        <v>0</v>
      </c>
      <c r="K12" s="21">
        <v>0</v>
      </c>
      <c r="L12" s="23">
        <f t="shared" si="1"/>
        <v>0</v>
      </c>
      <c r="M12" s="21">
        <v>0</v>
      </c>
      <c r="N12" s="82">
        <f t="shared" si="1"/>
        <v>0</v>
      </c>
      <c r="O12" s="21">
        <v>0</v>
      </c>
      <c r="P12" s="83">
        <v>1</v>
      </c>
      <c r="Q12" s="82">
        <v>9</v>
      </c>
      <c r="R12" s="37"/>
      <c r="S12" s="37"/>
    </row>
    <row r="13" spans="1:19" x14ac:dyDescent="0.25">
      <c r="A13" s="18">
        <v>45848</v>
      </c>
      <c r="B13" s="35">
        <f>C13/8</f>
        <v>9</v>
      </c>
      <c r="C13" s="20">
        <v>72</v>
      </c>
      <c r="D13" s="35">
        <f>E13/8</f>
        <v>0</v>
      </c>
      <c r="E13" s="79">
        <v>0</v>
      </c>
      <c r="F13" s="23">
        <f t="shared" si="1"/>
        <v>0</v>
      </c>
      <c r="G13" s="21">
        <v>0</v>
      </c>
      <c r="H13" s="23">
        <f t="shared" si="1"/>
        <v>0</v>
      </c>
      <c r="I13" s="21">
        <v>0</v>
      </c>
      <c r="J13" s="23">
        <f t="shared" si="1"/>
        <v>0</v>
      </c>
      <c r="K13" s="21">
        <v>0</v>
      </c>
      <c r="L13" s="23">
        <f t="shared" si="1"/>
        <v>0</v>
      </c>
      <c r="M13" s="21">
        <v>0</v>
      </c>
      <c r="N13" s="82">
        <f t="shared" si="1"/>
        <v>0</v>
      </c>
      <c r="O13" s="21">
        <v>0</v>
      </c>
      <c r="P13" s="83">
        <v>1</v>
      </c>
      <c r="Q13" s="82">
        <v>9</v>
      </c>
      <c r="R13" s="37"/>
      <c r="S13" s="37"/>
    </row>
    <row r="14" spans="1:19" x14ac:dyDescent="0.25">
      <c r="A14" s="18">
        <v>45849</v>
      </c>
      <c r="B14" s="35">
        <f t="shared" si="0"/>
        <v>8</v>
      </c>
      <c r="C14" s="20">
        <v>64</v>
      </c>
      <c r="D14" s="35">
        <f t="shared" si="2"/>
        <v>0</v>
      </c>
      <c r="E14" s="79">
        <v>0</v>
      </c>
      <c r="F14" s="23">
        <f t="shared" si="1"/>
        <v>0</v>
      </c>
      <c r="G14" s="21">
        <v>0</v>
      </c>
      <c r="H14" s="23">
        <f t="shared" si="1"/>
        <v>0</v>
      </c>
      <c r="I14" s="21">
        <v>0</v>
      </c>
      <c r="J14" s="23">
        <f t="shared" si="1"/>
        <v>0</v>
      </c>
      <c r="K14" s="21">
        <v>0</v>
      </c>
      <c r="L14" s="23">
        <f t="shared" si="1"/>
        <v>0</v>
      </c>
      <c r="M14" s="21">
        <v>0</v>
      </c>
      <c r="N14" s="82">
        <f t="shared" si="1"/>
        <v>0</v>
      </c>
      <c r="O14" s="21">
        <v>0</v>
      </c>
      <c r="P14" s="83">
        <v>1</v>
      </c>
      <c r="Q14" s="82">
        <v>8</v>
      </c>
      <c r="R14" s="37"/>
      <c r="S14" s="37"/>
    </row>
    <row r="15" spans="1:19" x14ac:dyDescent="0.25">
      <c r="A15" s="18">
        <v>45850</v>
      </c>
      <c r="B15" s="75">
        <f t="shared" si="0"/>
        <v>0</v>
      </c>
      <c r="C15" s="80">
        <v>0</v>
      </c>
      <c r="D15" s="75">
        <f t="shared" si="2"/>
        <v>0</v>
      </c>
      <c r="E15" s="76">
        <v>0</v>
      </c>
      <c r="F15" s="76">
        <f t="shared" si="1"/>
        <v>0</v>
      </c>
      <c r="G15" s="76">
        <v>0</v>
      </c>
      <c r="H15" s="76">
        <f t="shared" si="1"/>
        <v>0</v>
      </c>
      <c r="I15" s="76">
        <v>0</v>
      </c>
      <c r="J15" s="76">
        <f t="shared" si="1"/>
        <v>0</v>
      </c>
      <c r="K15" s="76">
        <v>0</v>
      </c>
      <c r="L15" s="76">
        <f t="shared" si="1"/>
        <v>0</v>
      </c>
      <c r="M15" s="76">
        <v>0</v>
      </c>
      <c r="N15" s="76">
        <f t="shared" si="1"/>
        <v>0</v>
      </c>
      <c r="O15" s="76">
        <v>0</v>
      </c>
      <c r="P15" s="84">
        <v>0</v>
      </c>
      <c r="Q15" s="84">
        <v>0</v>
      </c>
      <c r="R15" s="77"/>
      <c r="S15" s="77"/>
    </row>
    <row r="16" spans="1:19" x14ac:dyDescent="0.25">
      <c r="A16" s="18">
        <v>45851</v>
      </c>
      <c r="B16" s="75">
        <f t="shared" si="0"/>
        <v>0</v>
      </c>
      <c r="C16" s="80">
        <v>0</v>
      </c>
      <c r="D16" s="75">
        <f t="shared" si="2"/>
        <v>0</v>
      </c>
      <c r="E16" s="76">
        <v>0</v>
      </c>
      <c r="F16" s="76">
        <f t="shared" si="1"/>
        <v>0</v>
      </c>
      <c r="G16" s="76">
        <v>0</v>
      </c>
      <c r="H16" s="76">
        <f t="shared" si="1"/>
        <v>0</v>
      </c>
      <c r="I16" s="76">
        <v>0</v>
      </c>
      <c r="J16" s="76">
        <f t="shared" si="1"/>
        <v>0</v>
      </c>
      <c r="K16" s="76">
        <v>0</v>
      </c>
      <c r="L16" s="76">
        <f t="shared" si="1"/>
        <v>0</v>
      </c>
      <c r="M16" s="76">
        <v>0</v>
      </c>
      <c r="N16" s="76">
        <f t="shared" si="1"/>
        <v>0</v>
      </c>
      <c r="O16" s="76">
        <v>0</v>
      </c>
      <c r="P16" s="84">
        <v>0</v>
      </c>
      <c r="Q16" s="84">
        <v>0</v>
      </c>
      <c r="R16" s="77"/>
      <c r="S16" s="77"/>
    </row>
    <row r="17" spans="1:19" x14ac:dyDescent="0.25">
      <c r="A17" s="18">
        <v>45852</v>
      </c>
      <c r="B17" s="75">
        <f t="shared" si="0"/>
        <v>0</v>
      </c>
      <c r="C17" s="80">
        <v>0</v>
      </c>
      <c r="D17" s="75">
        <f t="shared" si="2"/>
        <v>0</v>
      </c>
      <c r="E17" s="76">
        <v>0</v>
      </c>
      <c r="F17" s="76">
        <f t="shared" si="1"/>
        <v>0</v>
      </c>
      <c r="G17" s="76">
        <v>0</v>
      </c>
      <c r="H17" s="76">
        <f t="shared" si="1"/>
        <v>0</v>
      </c>
      <c r="I17" s="76">
        <v>0</v>
      </c>
      <c r="J17" s="76">
        <f t="shared" si="1"/>
        <v>0</v>
      </c>
      <c r="K17" s="76">
        <v>0</v>
      </c>
      <c r="L17" s="76">
        <f t="shared" si="1"/>
        <v>0</v>
      </c>
      <c r="M17" s="76">
        <v>0</v>
      </c>
      <c r="N17" s="76">
        <f t="shared" si="1"/>
        <v>0</v>
      </c>
      <c r="O17" s="76">
        <v>0</v>
      </c>
      <c r="P17" s="84">
        <v>0</v>
      </c>
      <c r="Q17" s="84">
        <v>0</v>
      </c>
      <c r="R17" s="77"/>
      <c r="S17" s="77"/>
    </row>
    <row r="18" spans="1:19" x14ac:dyDescent="0.25">
      <c r="A18" s="18">
        <v>45853</v>
      </c>
      <c r="B18" s="35">
        <f t="shared" si="0"/>
        <v>7.875</v>
      </c>
      <c r="C18" s="79">
        <v>63</v>
      </c>
      <c r="D18" s="35">
        <f t="shared" si="2"/>
        <v>0</v>
      </c>
      <c r="E18" s="79">
        <v>0</v>
      </c>
      <c r="F18" s="23">
        <f t="shared" si="1"/>
        <v>0</v>
      </c>
      <c r="G18" s="21">
        <v>0</v>
      </c>
      <c r="H18" s="23">
        <f t="shared" si="1"/>
        <v>0</v>
      </c>
      <c r="I18" s="21">
        <v>0</v>
      </c>
      <c r="J18" s="23">
        <f t="shared" si="1"/>
        <v>0</v>
      </c>
      <c r="K18" s="21">
        <v>0</v>
      </c>
      <c r="L18" s="23">
        <f t="shared" si="1"/>
        <v>0</v>
      </c>
      <c r="M18" s="21">
        <v>0</v>
      </c>
      <c r="N18" s="82">
        <f t="shared" si="1"/>
        <v>0</v>
      </c>
      <c r="O18" s="21">
        <v>0</v>
      </c>
      <c r="P18" s="83">
        <v>1</v>
      </c>
      <c r="Q18" s="82">
        <v>9</v>
      </c>
      <c r="R18" s="37"/>
      <c r="S18" s="37"/>
    </row>
    <row r="19" spans="1:19" x14ac:dyDescent="0.25">
      <c r="A19" s="18">
        <v>45854</v>
      </c>
      <c r="B19" s="35">
        <f t="shared" si="0"/>
        <v>7.875</v>
      </c>
      <c r="C19" s="79">
        <v>63</v>
      </c>
      <c r="D19" s="35">
        <f t="shared" si="2"/>
        <v>0</v>
      </c>
      <c r="E19" s="79">
        <v>0</v>
      </c>
      <c r="F19" s="23">
        <f t="shared" si="1"/>
        <v>0</v>
      </c>
      <c r="G19" s="21">
        <v>0</v>
      </c>
      <c r="H19" s="23">
        <f t="shared" si="1"/>
        <v>0</v>
      </c>
      <c r="I19" s="21">
        <v>0</v>
      </c>
      <c r="J19" s="23">
        <f t="shared" si="1"/>
        <v>0</v>
      </c>
      <c r="K19" s="21">
        <v>0</v>
      </c>
      <c r="L19" s="23">
        <f t="shared" si="1"/>
        <v>0</v>
      </c>
      <c r="M19" s="21">
        <v>0</v>
      </c>
      <c r="N19" s="82">
        <f t="shared" si="1"/>
        <v>0</v>
      </c>
      <c r="O19" s="21">
        <v>0</v>
      </c>
      <c r="P19" s="83">
        <v>1</v>
      </c>
      <c r="Q19" s="82">
        <v>9</v>
      </c>
      <c r="R19" s="37"/>
      <c r="S19" s="37"/>
    </row>
    <row r="20" spans="1:19" x14ac:dyDescent="0.25">
      <c r="A20" s="18">
        <v>45855</v>
      </c>
      <c r="B20" s="35">
        <f t="shared" si="0"/>
        <v>7.71875</v>
      </c>
      <c r="C20" s="79">
        <v>61.75</v>
      </c>
      <c r="D20" s="35">
        <f t="shared" si="2"/>
        <v>0</v>
      </c>
      <c r="E20" s="79">
        <v>0</v>
      </c>
      <c r="F20" s="23">
        <f t="shared" si="1"/>
        <v>0</v>
      </c>
      <c r="G20" s="21">
        <v>0</v>
      </c>
      <c r="H20" s="23">
        <f t="shared" si="1"/>
        <v>0</v>
      </c>
      <c r="I20" s="21">
        <v>0</v>
      </c>
      <c r="J20" s="23">
        <f t="shared" si="1"/>
        <v>0</v>
      </c>
      <c r="K20" s="21">
        <v>0</v>
      </c>
      <c r="L20" s="23">
        <f t="shared" si="1"/>
        <v>0</v>
      </c>
      <c r="M20" s="21">
        <v>0</v>
      </c>
      <c r="N20" s="82">
        <f t="shared" si="1"/>
        <v>0</v>
      </c>
      <c r="O20" s="21">
        <v>0</v>
      </c>
      <c r="P20" s="83">
        <v>1</v>
      </c>
      <c r="Q20" s="82">
        <v>9</v>
      </c>
      <c r="R20" s="37"/>
      <c r="S20" s="37"/>
    </row>
    <row r="21" spans="1:19" x14ac:dyDescent="0.25">
      <c r="A21" s="18">
        <v>45856</v>
      </c>
      <c r="B21" s="35">
        <f t="shared" si="0"/>
        <v>7</v>
      </c>
      <c r="C21" s="79">
        <v>56</v>
      </c>
      <c r="D21" s="35">
        <f t="shared" si="2"/>
        <v>0</v>
      </c>
      <c r="E21" s="79">
        <v>0</v>
      </c>
      <c r="F21" s="23">
        <f t="shared" si="1"/>
        <v>0</v>
      </c>
      <c r="G21" s="21">
        <v>0</v>
      </c>
      <c r="H21" s="23">
        <f t="shared" si="1"/>
        <v>0</v>
      </c>
      <c r="I21" s="21">
        <v>0</v>
      </c>
      <c r="J21" s="23">
        <f t="shared" si="1"/>
        <v>0</v>
      </c>
      <c r="K21" s="21">
        <v>0</v>
      </c>
      <c r="L21" s="23">
        <f t="shared" si="1"/>
        <v>0</v>
      </c>
      <c r="M21" s="21">
        <v>0</v>
      </c>
      <c r="N21" s="82">
        <f t="shared" si="1"/>
        <v>0</v>
      </c>
      <c r="O21" s="21">
        <v>0</v>
      </c>
      <c r="P21" s="83">
        <v>1</v>
      </c>
      <c r="Q21" s="82">
        <v>8</v>
      </c>
      <c r="R21" s="37"/>
      <c r="S21" s="37"/>
    </row>
    <row r="22" spans="1:19" x14ac:dyDescent="0.25">
      <c r="A22" s="18">
        <v>45857</v>
      </c>
      <c r="B22" s="75">
        <f t="shared" si="0"/>
        <v>0</v>
      </c>
      <c r="C22" s="80">
        <v>0</v>
      </c>
      <c r="D22" s="75">
        <f t="shared" si="2"/>
        <v>0</v>
      </c>
      <c r="E22" s="76">
        <v>0</v>
      </c>
      <c r="F22" s="76">
        <f t="shared" si="1"/>
        <v>0</v>
      </c>
      <c r="G22" s="76">
        <v>0</v>
      </c>
      <c r="H22" s="76">
        <f t="shared" si="1"/>
        <v>0</v>
      </c>
      <c r="I22" s="76">
        <v>0</v>
      </c>
      <c r="J22" s="76">
        <f t="shared" si="1"/>
        <v>0</v>
      </c>
      <c r="K22" s="76">
        <v>0</v>
      </c>
      <c r="L22" s="76">
        <f t="shared" si="1"/>
        <v>0</v>
      </c>
      <c r="M22" s="76">
        <v>0</v>
      </c>
      <c r="N22" s="76">
        <f t="shared" si="1"/>
        <v>0</v>
      </c>
      <c r="O22" s="76">
        <v>0</v>
      </c>
      <c r="P22" s="84">
        <v>0</v>
      </c>
      <c r="Q22" s="84">
        <v>0</v>
      </c>
      <c r="R22" s="77"/>
      <c r="S22" s="77"/>
    </row>
    <row r="23" spans="1:19" x14ac:dyDescent="0.25">
      <c r="A23" s="18">
        <v>45858</v>
      </c>
      <c r="B23" s="75">
        <f t="shared" si="0"/>
        <v>0</v>
      </c>
      <c r="C23" s="80">
        <v>0</v>
      </c>
      <c r="D23" s="75">
        <f t="shared" si="2"/>
        <v>0</v>
      </c>
      <c r="E23" s="76">
        <v>0</v>
      </c>
      <c r="F23" s="76">
        <f t="shared" si="1"/>
        <v>0</v>
      </c>
      <c r="G23" s="76">
        <v>0</v>
      </c>
      <c r="H23" s="76">
        <f t="shared" si="1"/>
        <v>0</v>
      </c>
      <c r="I23" s="76">
        <v>0</v>
      </c>
      <c r="J23" s="76">
        <f t="shared" si="1"/>
        <v>0</v>
      </c>
      <c r="K23" s="76">
        <v>0</v>
      </c>
      <c r="L23" s="76">
        <f t="shared" si="1"/>
        <v>0</v>
      </c>
      <c r="M23" s="76">
        <v>0</v>
      </c>
      <c r="N23" s="76">
        <f t="shared" si="1"/>
        <v>0</v>
      </c>
      <c r="O23" s="76">
        <v>0</v>
      </c>
      <c r="P23" s="84">
        <v>0</v>
      </c>
      <c r="Q23" s="84">
        <v>0</v>
      </c>
      <c r="R23" s="77"/>
      <c r="S23" s="77"/>
    </row>
    <row r="24" spans="1:19" x14ac:dyDescent="0.25">
      <c r="A24" s="18">
        <v>45859</v>
      </c>
      <c r="B24" s="35">
        <f t="shared" si="0"/>
        <v>2.625</v>
      </c>
      <c r="C24" s="79">
        <v>21</v>
      </c>
      <c r="D24" s="35">
        <f t="shared" si="2"/>
        <v>5.25</v>
      </c>
      <c r="E24" s="79">
        <v>42</v>
      </c>
      <c r="F24" s="23">
        <f t="shared" si="1"/>
        <v>0</v>
      </c>
      <c r="G24" s="21">
        <v>0</v>
      </c>
      <c r="H24" s="23">
        <f t="shared" si="1"/>
        <v>0</v>
      </c>
      <c r="I24" s="21">
        <v>0</v>
      </c>
      <c r="J24" s="23">
        <f t="shared" si="1"/>
        <v>0</v>
      </c>
      <c r="K24" s="21">
        <v>0</v>
      </c>
      <c r="L24" s="23">
        <f t="shared" si="1"/>
        <v>0</v>
      </c>
      <c r="M24" s="21">
        <v>0</v>
      </c>
      <c r="N24" s="82">
        <f t="shared" si="1"/>
        <v>0</v>
      </c>
      <c r="O24" s="21">
        <v>0</v>
      </c>
      <c r="P24" s="83">
        <v>1</v>
      </c>
      <c r="Q24" s="82">
        <v>9</v>
      </c>
      <c r="R24" s="37"/>
      <c r="S24" s="37"/>
    </row>
    <row r="25" spans="1:19" x14ac:dyDescent="0.25">
      <c r="A25" s="18">
        <v>45860</v>
      </c>
      <c r="B25" s="35">
        <f t="shared" si="0"/>
        <v>2.625</v>
      </c>
      <c r="C25" s="79">
        <v>21</v>
      </c>
      <c r="D25" s="35">
        <f t="shared" si="2"/>
        <v>5.25</v>
      </c>
      <c r="E25" s="79">
        <v>42</v>
      </c>
      <c r="F25" s="23">
        <f t="shared" si="1"/>
        <v>0</v>
      </c>
      <c r="G25" s="21">
        <v>0</v>
      </c>
      <c r="H25" s="23">
        <f t="shared" si="1"/>
        <v>0</v>
      </c>
      <c r="I25" s="21">
        <v>0</v>
      </c>
      <c r="J25" s="23">
        <f t="shared" si="1"/>
        <v>0</v>
      </c>
      <c r="K25" s="21">
        <v>0</v>
      </c>
      <c r="L25" s="23">
        <f t="shared" si="1"/>
        <v>0</v>
      </c>
      <c r="M25" s="21">
        <v>0</v>
      </c>
      <c r="N25" s="82">
        <f t="shared" si="1"/>
        <v>0</v>
      </c>
      <c r="O25" s="21">
        <v>0</v>
      </c>
      <c r="P25" s="83">
        <v>1</v>
      </c>
      <c r="Q25" s="82">
        <v>9</v>
      </c>
      <c r="R25" s="37"/>
      <c r="S25" s="37"/>
    </row>
    <row r="26" spans="1:19" x14ac:dyDescent="0.25">
      <c r="A26" s="18">
        <v>45861</v>
      </c>
      <c r="B26" s="35">
        <f t="shared" si="0"/>
        <v>2.375</v>
      </c>
      <c r="C26" s="79">
        <v>19</v>
      </c>
      <c r="D26" s="35">
        <f t="shared" si="2"/>
        <v>4.5</v>
      </c>
      <c r="E26" s="79">
        <v>36</v>
      </c>
      <c r="F26" s="23">
        <f t="shared" si="1"/>
        <v>0</v>
      </c>
      <c r="G26" s="21">
        <v>0</v>
      </c>
      <c r="H26" s="23">
        <f t="shared" si="1"/>
        <v>0</v>
      </c>
      <c r="I26" s="21">
        <v>0</v>
      </c>
      <c r="J26" s="23">
        <f t="shared" si="1"/>
        <v>0</v>
      </c>
      <c r="K26" s="21">
        <v>0</v>
      </c>
      <c r="L26" s="23">
        <f t="shared" si="1"/>
        <v>0</v>
      </c>
      <c r="M26" s="21">
        <v>0</v>
      </c>
      <c r="N26" s="82">
        <f t="shared" si="1"/>
        <v>0</v>
      </c>
      <c r="O26" s="21">
        <v>0</v>
      </c>
      <c r="P26" s="83">
        <v>1</v>
      </c>
      <c r="Q26" s="82">
        <v>9</v>
      </c>
      <c r="R26" s="37"/>
      <c r="S26" s="37"/>
    </row>
    <row r="27" spans="1:19" x14ac:dyDescent="0.25">
      <c r="A27" s="18">
        <v>45862</v>
      </c>
      <c r="B27" s="35">
        <f t="shared" si="0"/>
        <v>2.625</v>
      </c>
      <c r="C27" s="79">
        <v>21</v>
      </c>
      <c r="D27" s="35">
        <f t="shared" si="2"/>
        <v>5.25</v>
      </c>
      <c r="E27" s="79">
        <v>42</v>
      </c>
      <c r="F27" s="23">
        <f t="shared" si="1"/>
        <v>0</v>
      </c>
      <c r="G27" s="21">
        <v>0</v>
      </c>
      <c r="H27" s="23">
        <f t="shared" si="1"/>
        <v>0</v>
      </c>
      <c r="I27" s="21">
        <v>0</v>
      </c>
      <c r="J27" s="23">
        <f t="shared" si="1"/>
        <v>0</v>
      </c>
      <c r="K27" s="21">
        <v>0</v>
      </c>
      <c r="L27" s="23">
        <f t="shared" si="1"/>
        <v>0</v>
      </c>
      <c r="M27" s="21">
        <v>0</v>
      </c>
      <c r="N27" s="82">
        <f t="shared" si="1"/>
        <v>0</v>
      </c>
      <c r="O27" s="21">
        <v>0</v>
      </c>
      <c r="P27" s="83">
        <v>1</v>
      </c>
      <c r="Q27" s="82">
        <v>9</v>
      </c>
      <c r="R27" s="37"/>
      <c r="S27" s="37"/>
    </row>
    <row r="28" spans="1:19" x14ac:dyDescent="0.25">
      <c r="A28" s="18">
        <v>45863</v>
      </c>
      <c r="B28" s="35">
        <f t="shared" si="0"/>
        <v>2.25</v>
      </c>
      <c r="C28" s="79">
        <v>18</v>
      </c>
      <c r="D28" s="35">
        <f t="shared" si="2"/>
        <v>3.75</v>
      </c>
      <c r="E28" s="79">
        <v>30</v>
      </c>
      <c r="F28" s="23">
        <f t="shared" si="1"/>
        <v>0</v>
      </c>
      <c r="G28" s="23">
        <v>0</v>
      </c>
      <c r="H28" s="23">
        <f t="shared" si="1"/>
        <v>0</v>
      </c>
      <c r="I28" s="23">
        <v>0</v>
      </c>
      <c r="J28" s="23">
        <f t="shared" si="1"/>
        <v>0</v>
      </c>
      <c r="K28" s="23">
        <v>0</v>
      </c>
      <c r="L28" s="23">
        <f t="shared" si="1"/>
        <v>0</v>
      </c>
      <c r="M28" s="23">
        <v>0</v>
      </c>
      <c r="N28" s="23">
        <f t="shared" si="1"/>
        <v>0</v>
      </c>
      <c r="O28" s="23">
        <v>0</v>
      </c>
      <c r="P28" s="83">
        <v>1</v>
      </c>
      <c r="Q28" s="82">
        <v>8</v>
      </c>
      <c r="R28" s="37"/>
      <c r="S28" s="37"/>
    </row>
    <row r="29" spans="1:19" x14ac:dyDescent="0.25">
      <c r="A29" s="18">
        <v>45864</v>
      </c>
      <c r="B29" s="75">
        <f t="shared" si="0"/>
        <v>0</v>
      </c>
      <c r="C29" s="80">
        <v>0</v>
      </c>
      <c r="D29" s="75">
        <f t="shared" si="2"/>
        <v>0</v>
      </c>
      <c r="E29" s="76">
        <v>0</v>
      </c>
      <c r="F29" s="76">
        <f t="shared" si="1"/>
        <v>0</v>
      </c>
      <c r="G29" s="76">
        <v>0</v>
      </c>
      <c r="H29" s="76">
        <f t="shared" si="1"/>
        <v>0</v>
      </c>
      <c r="I29" s="76">
        <v>0</v>
      </c>
      <c r="J29" s="76">
        <f t="shared" si="1"/>
        <v>0</v>
      </c>
      <c r="K29" s="76">
        <v>0</v>
      </c>
      <c r="L29" s="76">
        <f t="shared" si="1"/>
        <v>0</v>
      </c>
      <c r="M29" s="76">
        <v>0</v>
      </c>
      <c r="N29" s="76">
        <f t="shared" si="1"/>
        <v>0</v>
      </c>
      <c r="O29" s="76">
        <f t="shared" ref="O29:O34" si="3">+C29+I29+E29+G29+K29+M29</f>
        <v>0</v>
      </c>
      <c r="P29" s="84">
        <v>0</v>
      </c>
      <c r="Q29" s="84">
        <v>0</v>
      </c>
      <c r="R29" s="77"/>
      <c r="S29" s="77"/>
    </row>
    <row r="30" spans="1:19" x14ac:dyDescent="0.25">
      <c r="A30" s="18">
        <v>45865</v>
      </c>
      <c r="B30" s="75">
        <f t="shared" si="0"/>
        <v>0</v>
      </c>
      <c r="C30" s="80">
        <v>0</v>
      </c>
      <c r="D30" s="75">
        <f t="shared" si="2"/>
        <v>0</v>
      </c>
      <c r="E30" s="76">
        <v>0</v>
      </c>
      <c r="F30" s="76">
        <f t="shared" si="1"/>
        <v>0</v>
      </c>
      <c r="G30" s="76">
        <v>0</v>
      </c>
      <c r="H30" s="76">
        <f t="shared" si="1"/>
        <v>0</v>
      </c>
      <c r="I30" s="76">
        <v>0</v>
      </c>
      <c r="J30" s="76">
        <f t="shared" si="1"/>
        <v>0</v>
      </c>
      <c r="K30" s="76">
        <v>0</v>
      </c>
      <c r="L30" s="76">
        <f t="shared" si="1"/>
        <v>0</v>
      </c>
      <c r="M30" s="76">
        <v>0</v>
      </c>
      <c r="N30" s="76">
        <f t="shared" si="1"/>
        <v>0</v>
      </c>
      <c r="O30" s="76">
        <f t="shared" si="3"/>
        <v>0</v>
      </c>
      <c r="P30" s="84">
        <v>0</v>
      </c>
      <c r="Q30" s="84">
        <v>0</v>
      </c>
      <c r="R30" s="77"/>
      <c r="S30" s="77"/>
    </row>
    <row r="31" spans="1:19" x14ac:dyDescent="0.25">
      <c r="A31" s="18">
        <v>45866</v>
      </c>
      <c r="B31" s="35">
        <f t="shared" si="0"/>
        <v>2.25</v>
      </c>
      <c r="C31" s="79">
        <v>18</v>
      </c>
      <c r="D31" s="35">
        <f t="shared" si="2"/>
        <v>4.5</v>
      </c>
      <c r="E31" s="79">
        <v>36</v>
      </c>
      <c r="F31" s="23">
        <f t="shared" si="1"/>
        <v>0</v>
      </c>
      <c r="G31" s="21">
        <v>0</v>
      </c>
      <c r="H31" s="23">
        <f t="shared" si="1"/>
        <v>0</v>
      </c>
      <c r="I31" s="21">
        <v>0</v>
      </c>
      <c r="J31" s="23">
        <f t="shared" si="1"/>
        <v>0</v>
      </c>
      <c r="K31" s="21">
        <v>0</v>
      </c>
      <c r="L31" s="23">
        <f t="shared" si="1"/>
        <v>0</v>
      </c>
      <c r="M31" s="21">
        <v>0</v>
      </c>
      <c r="N31" s="82">
        <f t="shared" si="1"/>
        <v>6.75</v>
      </c>
      <c r="O31" s="85">
        <f t="shared" si="3"/>
        <v>54</v>
      </c>
      <c r="P31" s="83">
        <v>1</v>
      </c>
      <c r="Q31" s="82">
        <v>9</v>
      </c>
      <c r="R31" s="37"/>
      <c r="S31" s="37"/>
    </row>
    <row r="32" spans="1:19" ht="15" customHeight="1" x14ac:dyDescent="0.25">
      <c r="A32" s="18">
        <v>45867</v>
      </c>
      <c r="B32" s="35">
        <f t="shared" si="0"/>
        <v>2.25</v>
      </c>
      <c r="C32" s="79">
        <v>18</v>
      </c>
      <c r="D32" s="35">
        <f t="shared" si="2"/>
        <v>4.5</v>
      </c>
      <c r="E32" s="79">
        <v>36</v>
      </c>
      <c r="F32" s="23">
        <f t="shared" si="1"/>
        <v>0</v>
      </c>
      <c r="G32" s="21">
        <v>0</v>
      </c>
      <c r="H32" s="23">
        <f t="shared" si="1"/>
        <v>0</v>
      </c>
      <c r="I32" s="21">
        <v>0</v>
      </c>
      <c r="J32" s="23">
        <f t="shared" si="1"/>
        <v>0</v>
      </c>
      <c r="K32" s="21">
        <v>0</v>
      </c>
      <c r="L32" s="23">
        <f t="shared" si="1"/>
        <v>0</v>
      </c>
      <c r="M32" s="21">
        <v>0</v>
      </c>
      <c r="N32" s="82">
        <f t="shared" si="1"/>
        <v>6.75</v>
      </c>
      <c r="O32" s="85">
        <f t="shared" si="3"/>
        <v>54</v>
      </c>
      <c r="P32" s="83">
        <v>1</v>
      </c>
      <c r="Q32" s="82">
        <v>9</v>
      </c>
      <c r="R32" s="37"/>
      <c r="S32" s="37"/>
    </row>
    <row r="33" spans="1:19" ht="15" customHeight="1" x14ac:dyDescent="0.25">
      <c r="A33" s="18">
        <v>45868</v>
      </c>
      <c r="B33" s="35">
        <f t="shared" si="0"/>
        <v>2.02</v>
      </c>
      <c r="C33" s="79">
        <v>16.16</v>
      </c>
      <c r="D33" s="35">
        <f t="shared" si="2"/>
        <v>3.75</v>
      </c>
      <c r="E33" s="79">
        <v>30</v>
      </c>
      <c r="F33" s="23">
        <f t="shared" si="1"/>
        <v>0</v>
      </c>
      <c r="G33" s="21">
        <v>0</v>
      </c>
      <c r="H33" s="23">
        <f t="shared" si="1"/>
        <v>0</v>
      </c>
      <c r="I33" s="21">
        <v>0</v>
      </c>
      <c r="J33" s="23">
        <f t="shared" si="1"/>
        <v>0</v>
      </c>
      <c r="K33" s="21">
        <v>0</v>
      </c>
      <c r="L33" s="23">
        <f t="shared" si="1"/>
        <v>0</v>
      </c>
      <c r="M33" s="21">
        <v>0</v>
      </c>
      <c r="N33" s="82">
        <f t="shared" si="1"/>
        <v>5.77</v>
      </c>
      <c r="O33" s="85">
        <f t="shared" si="3"/>
        <v>46.16</v>
      </c>
      <c r="P33" s="83">
        <v>1</v>
      </c>
      <c r="Q33" s="82">
        <v>9</v>
      </c>
      <c r="R33" s="37"/>
      <c r="S33" s="37"/>
    </row>
    <row r="34" spans="1:19" ht="15" customHeight="1" thickBot="1" x14ac:dyDescent="0.3">
      <c r="A34" s="18">
        <v>45869</v>
      </c>
      <c r="B34" s="35">
        <f t="shared" ref="B34" si="4">C34/8</f>
        <v>1.875</v>
      </c>
      <c r="C34" s="79">
        <v>15</v>
      </c>
      <c r="D34" s="35">
        <f t="shared" ref="D34" si="5">E34/8</f>
        <v>3.75</v>
      </c>
      <c r="E34" s="79">
        <v>30</v>
      </c>
      <c r="F34" s="23">
        <f t="shared" ref="F34" si="6">G34/8</f>
        <v>0</v>
      </c>
      <c r="G34" s="21">
        <v>0</v>
      </c>
      <c r="H34" s="23">
        <f t="shared" ref="H34" si="7">I34/8</f>
        <v>0</v>
      </c>
      <c r="I34" s="21">
        <v>0</v>
      </c>
      <c r="J34" s="23">
        <f t="shared" ref="J34" si="8">K34/8</f>
        <v>0</v>
      </c>
      <c r="K34" s="21">
        <v>0</v>
      </c>
      <c r="L34" s="23">
        <f t="shared" ref="L34" si="9">M34/8</f>
        <v>0</v>
      </c>
      <c r="M34" s="21">
        <v>0</v>
      </c>
      <c r="N34" s="82">
        <f t="shared" ref="N34" si="10">O34/8</f>
        <v>5.625</v>
      </c>
      <c r="O34" s="85">
        <f t="shared" si="3"/>
        <v>45</v>
      </c>
      <c r="P34" s="83">
        <v>1</v>
      </c>
      <c r="Q34" s="82">
        <v>9</v>
      </c>
      <c r="R34" s="37"/>
      <c r="S34" s="37"/>
    </row>
    <row r="35" spans="1:19" ht="15.75" thickBot="1" x14ac:dyDescent="0.3">
      <c r="A35" s="58" t="s">
        <v>20</v>
      </c>
      <c r="B35" s="59">
        <f>IFERROR(AVERAGE(B4:B34),0)</f>
        <v>3.0762499999999999</v>
      </c>
      <c r="C35" s="61">
        <f>SUM(C4:C34)</f>
        <v>762.91</v>
      </c>
      <c r="D35" s="59">
        <f>IFERROR(AVERAGE(D4:D34),0)</f>
        <v>1.3064516129032258</v>
      </c>
      <c r="E35" s="61">
        <f>SUM(E4:E34)</f>
        <v>324</v>
      </c>
      <c r="F35" s="59">
        <f>IFERROR(AVERAGE(F4:F34),0)</f>
        <v>1.1263306451612902</v>
      </c>
      <c r="G35" s="63">
        <f>SUM(G4:G34)</f>
        <v>279.33</v>
      </c>
      <c r="H35" s="62">
        <f>AVERAGE(H4:H33)</f>
        <v>0</v>
      </c>
      <c r="I35" s="63">
        <f>SUM(I4:I34)</f>
        <v>0</v>
      </c>
      <c r="J35" s="62">
        <f>AVERAGE(J4:J33)</f>
        <v>0</v>
      </c>
      <c r="K35" s="63">
        <f>SUM(K4:K34)</f>
        <v>0</v>
      </c>
      <c r="L35" s="62">
        <f>AVERAGE(L4:L33)</f>
        <v>0</v>
      </c>
      <c r="M35" s="63">
        <f>SUM(M4:M33)</f>
        <v>0</v>
      </c>
      <c r="N35" s="64">
        <f>IFERROR(AVERAGE(N4:N33),0)</f>
        <v>0.64233333333333331</v>
      </c>
      <c r="O35" s="73">
        <f>+C35+I35+E35+G35+K35+M35</f>
        <v>1366.2399999999998</v>
      </c>
      <c r="P35" s="78">
        <f>IFERROR(AVERAGE(P4:P34),0)</f>
        <v>0.70967741935483875</v>
      </c>
      <c r="Q35" s="102">
        <f>SUM(Q4:Q34)</f>
        <v>191</v>
      </c>
      <c r="R35" s="64">
        <f>IFERROR(AVERAGE(R4:R33),0)</f>
        <v>0</v>
      </c>
      <c r="S35" s="17">
        <f>SUM(S4:S33)</f>
        <v>0</v>
      </c>
    </row>
    <row r="36" spans="1:19" x14ac:dyDescent="0.25">
      <c r="G36" s="67"/>
      <c r="I36" s="68"/>
      <c r="O36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6"/>
  <sheetViews>
    <sheetView showGridLines="0" zoomScale="85" zoomScaleNormal="85" workbookViewId="0">
      <pane ySplit="3" topLeftCell="A4" activePane="bottomLeft" state="frozen"/>
      <selection pane="bottomLeft" activeCell="M8" sqref="M8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2025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74" t="s">
        <v>16</v>
      </c>
      <c r="O2" s="169"/>
      <c r="P2" s="174" t="s">
        <v>17</v>
      </c>
      <c r="Q2" s="169"/>
      <c r="R2" s="174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72"/>
      <c r="O3" s="15"/>
      <c r="P3" s="72"/>
      <c r="Q3" s="15"/>
      <c r="R3" s="72"/>
      <c r="S3" s="15"/>
    </row>
    <row r="4" spans="1:19" x14ac:dyDescent="0.25">
      <c r="A4" s="18">
        <v>45870</v>
      </c>
      <c r="B4" s="19">
        <f>C4/8</f>
        <v>1.25</v>
      </c>
      <c r="C4" s="27">
        <v>10</v>
      </c>
      <c r="D4" s="19">
        <f t="shared" ref="D4:D34" si="0">E4/8</f>
        <v>4.125</v>
      </c>
      <c r="E4" s="27">
        <v>33</v>
      </c>
      <c r="F4" s="22">
        <f t="shared" ref="F4:M33" si="1">G4/8</f>
        <v>0</v>
      </c>
      <c r="G4" s="21">
        <v>0</v>
      </c>
      <c r="H4" s="22">
        <f t="shared" si="1"/>
        <v>0</v>
      </c>
      <c r="I4" s="21">
        <v>0</v>
      </c>
      <c r="J4" s="22">
        <f t="shared" si="1"/>
        <v>0</v>
      </c>
      <c r="K4" s="21">
        <v>0</v>
      </c>
      <c r="L4" s="22">
        <f t="shared" si="1"/>
        <v>0</v>
      </c>
      <c r="M4" s="91">
        <v>0</v>
      </c>
      <c r="N4" s="94"/>
      <c r="O4" s="92"/>
      <c r="P4" s="94">
        <v>1</v>
      </c>
      <c r="Q4" s="86">
        <v>8</v>
      </c>
      <c r="R4" s="94"/>
      <c r="S4" s="86"/>
    </row>
    <row r="5" spans="1:19" x14ac:dyDescent="0.25">
      <c r="A5" s="18">
        <v>45871</v>
      </c>
      <c r="B5" s="75">
        <f>C5/8</f>
        <v>0</v>
      </c>
      <c r="C5" s="80">
        <v>0</v>
      </c>
      <c r="D5" s="75">
        <f t="shared" si="0"/>
        <v>0</v>
      </c>
      <c r="E5" s="76">
        <v>0</v>
      </c>
      <c r="F5" s="76">
        <f t="shared" si="1"/>
        <v>0</v>
      </c>
      <c r="G5" s="76"/>
      <c r="H5" s="76">
        <f t="shared" si="1"/>
        <v>0</v>
      </c>
      <c r="I5" s="76"/>
      <c r="J5" s="76">
        <f t="shared" si="1"/>
        <v>0</v>
      </c>
      <c r="K5" s="76"/>
      <c r="L5" s="76">
        <f t="shared" si="1"/>
        <v>0</v>
      </c>
      <c r="M5" s="76"/>
      <c r="N5" s="76"/>
      <c r="O5" s="90"/>
      <c r="P5" s="84"/>
      <c r="Q5" s="88"/>
      <c r="R5" s="75"/>
      <c r="S5" s="88"/>
    </row>
    <row r="6" spans="1:19" x14ac:dyDescent="0.25">
      <c r="A6" s="18">
        <v>45872</v>
      </c>
      <c r="B6" s="75">
        <f t="shared" ref="B6:B34" si="2">C6/8</f>
        <v>0</v>
      </c>
      <c r="C6" s="80">
        <v>0</v>
      </c>
      <c r="D6" s="75">
        <f t="shared" si="0"/>
        <v>0</v>
      </c>
      <c r="E6" s="76">
        <v>0</v>
      </c>
      <c r="F6" s="76">
        <f t="shared" si="1"/>
        <v>0</v>
      </c>
      <c r="G6" s="76"/>
      <c r="H6" s="76">
        <f t="shared" si="1"/>
        <v>0</v>
      </c>
      <c r="I6" s="76"/>
      <c r="J6" s="76">
        <f t="shared" si="1"/>
        <v>0</v>
      </c>
      <c r="K6" s="76"/>
      <c r="L6" s="76">
        <f t="shared" si="1"/>
        <v>0</v>
      </c>
      <c r="M6" s="76"/>
      <c r="N6" s="76"/>
      <c r="O6" s="90"/>
      <c r="P6" s="84"/>
      <c r="Q6" s="88"/>
      <c r="R6" s="75"/>
      <c r="S6" s="88"/>
    </row>
    <row r="7" spans="1:19" x14ac:dyDescent="0.25">
      <c r="A7" s="18">
        <v>45873</v>
      </c>
      <c r="B7" s="22">
        <f t="shared" si="2"/>
        <v>1.875</v>
      </c>
      <c r="C7" s="27">
        <v>15</v>
      </c>
      <c r="D7" s="22">
        <f t="shared" si="0"/>
        <v>3.75</v>
      </c>
      <c r="E7" s="27">
        <v>30</v>
      </c>
      <c r="F7" s="22">
        <f t="shared" si="1"/>
        <v>0</v>
      </c>
      <c r="G7" s="27">
        <v>0</v>
      </c>
      <c r="H7" s="22">
        <f t="shared" si="1"/>
        <v>0</v>
      </c>
      <c r="I7" s="27">
        <v>0</v>
      </c>
      <c r="J7" s="22">
        <f t="shared" si="1"/>
        <v>0</v>
      </c>
      <c r="K7" s="27">
        <v>0</v>
      </c>
      <c r="L7" s="22">
        <f t="shared" si="1"/>
        <v>0</v>
      </c>
      <c r="M7" s="27">
        <v>0</v>
      </c>
      <c r="N7" s="95"/>
      <c r="O7" s="89"/>
      <c r="P7" s="95">
        <v>1</v>
      </c>
      <c r="Q7" s="27">
        <v>9</v>
      </c>
      <c r="R7" s="95"/>
      <c r="S7" s="26"/>
    </row>
    <row r="8" spans="1:19" x14ac:dyDescent="0.25">
      <c r="A8" s="18">
        <v>45874</v>
      </c>
      <c r="B8" s="22">
        <f t="shared" si="2"/>
        <v>1.625</v>
      </c>
      <c r="C8" s="27">
        <v>13</v>
      </c>
      <c r="D8" s="22">
        <f t="shared" si="0"/>
        <v>3.375</v>
      </c>
      <c r="E8" s="27">
        <v>27</v>
      </c>
      <c r="F8" s="22">
        <f t="shared" si="1"/>
        <v>0</v>
      </c>
      <c r="G8" s="27">
        <v>0</v>
      </c>
      <c r="H8" s="22">
        <f t="shared" si="1"/>
        <v>0</v>
      </c>
      <c r="I8" s="27">
        <v>0</v>
      </c>
      <c r="J8" s="22">
        <v>0</v>
      </c>
      <c r="K8" s="27">
        <v>0</v>
      </c>
      <c r="L8" s="22">
        <v>0</v>
      </c>
      <c r="M8" s="27">
        <v>5</v>
      </c>
      <c r="N8" s="95"/>
      <c r="O8" s="89"/>
      <c r="P8" s="95">
        <v>1</v>
      </c>
      <c r="Q8" s="27">
        <v>9</v>
      </c>
      <c r="R8" s="95"/>
      <c r="S8" s="26"/>
    </row>
    <row r="9" spans="1:19" x14ac:dyDescent="0.25">
      <c r="A9" s="18">
        <v>45875</v>
      </c>
      <c r="B9" s="22">
        <f t="shared" si="2"/>
        <v>2.5</v>
      </c>
      <c r="C9" s="27">
        <v>20</v>
      </c>
      <c r="D9" s="22">
        <f t="shared" si="0"/>
        <v>3.125</v>
      </c>
      <c r="E9" s="27">
        <v>25</v>
      </c>
      <c r="F9" s="22">
        <f t="shared" si="1"/>
        <v>0</v>
      </c>
      <c r="G9" s="27">
        <v>0</v>
      </c>
      <c r="H9" s="22">
        <f t="shared" si="1"/>
        <v>0</v>
      </c>
      <c r="I9" s="27">
        <v>0</v>
      </c>
      <c r="J9" s="22">
        <f t="shared" si="1"/>
        <v>0</v>
      </c>
      <c r="K9" s="27">
        <v>0</v>
      </c>
      <c r="L9" s="22">
        <f t="shared" si="1"/>
        <v>0</v>
      </c>
      <c r="M9" s="27">
        <v>0</v>
      </c>
      <c r="N9" s="23"/>
      <c r="O9" s="89"/>
      <c r="P9" s="95">
        <v>1</v>
      </c>
      <c r="Q9" s="27">
        <v>9</v>
      </c>
      <c r="R9" s="95"/>
      <c r="S9" s="89"/>
    </row>
    <row r="10" spans="1:19" x14ac:dyDescent="0.25">
      <c r="A10" s="18">
        <v>45876</v>
      </c>
      <c r="B10" s="22">
        <f t="shared" si="2"/>
        <v>2</v>
      </c>
      <c r="C10" s="27">
        <v>16</v>
      </c>
      <c r="D10" s="22">
        <f t="shared" si="0"/>
        <v>3.75</v>
      </c>
      <c r="E10" s="27">
        <v>30</v>
      </c>
      <c r="F10" s="22">
        <f t="shared" si="1"/>
        <v>0</v>
      </c>
      <c r="G10" s="27">
        <v>0</v>
      </c>
      <c r="H10" s="22">
        <f t="shared" si="1"/>
        <v>0</v>
      </c>
      <c r="I10" s="27">
        <v>0</v>
      </c>
      <c r="J10" s="22">
        <f t="shared" si="1"/>
        <v>0</v>
      </c>
      <c r="K10" s="27">
        <v>0</v>
      </c>
      <c r="L10" s="22">
        <f t="shared" si="1"/>
        <v>0</v>
      </c>
      <c r="M10" s="27">
        <v>0</v>
      </c>
      <c r="N10" s="23"/>
      <c r="O10" s="89"/>
      <c r="P10" s="95">
        <v>1</v>
      </c>
      <c r="Q10" s="27">
        <v>9</v>
      </c>
      <c r="R10" s="95"/>
      <c r="S10" s="89"/>
    </row>
    <row r="11" spans="1:19" x14ac:dyDescent="0.25">
      <c r="A11" s="18">
        <v>45877</v>
      </c>
      <c r="B11" s="22">
        <f t="shared" si="2"/>
        <v>1.625</v>
      </c>
      <c r="C11" s="27">
        <v>13</v>
      </c>
      <c r="D11" s="22">
        <f t="shared" si="0"/>
        <v>3.375</v>
      </c>
      <c r="E11" s="27">
        <v>27</v>
      </c>
      <c r="F11" s="22">
        <f t="shared" si="1"/>
        <v>0</v>
      </c>
      <c r="G11" s="27">
        <v>0</v>
      </c>
      <c r="H11" s="22">
        <f t="shared" si="1"/>
        <v>0</v>
      </c>
      <c r="I11" s="27">
        <v>0</v>
      </c>
      <c r="J11" s="22">
        <f t="shared" si="1"/>
        <v>0</v>
      </c>
      <c r="K11" s="27">
        <v>0</v>
      </c>
      <c r="L11" s="22">
        <f t="shared" si="1"/>
        <v>0</v>
      </c>
      <c r="M11" s="27">
        <v>0</v>
      </c>
      <c r="N11" s="23"/>
      <c r="O11" s="89"/>
      <c r="P11" s="95">
        <v>1</v>
      </c>
      <c r="Q11" s="27">
        <v>8</v>
      </c>
      <c r="R11" s="95"/>
      <c r="S11" s="89"/>
    </row>
    <row r="12" spans="1:19" x14ac:dyDescent="0.25">
      <c r="A12" s="18">
        <v>45878</v>
      </c>
      <c r="B12" s="99">
        <f t="shared" si="2"/>
        <v>0</v>
      </c>
      <c r="C12" s="100">
        <v>0</v>
      </c>
      <c r="D12" s="99">
        <f t="shared" si="0"/>
        <v>0</v>
      </c>
      <c r="E12" s="101">
        <v>0</v>
      </c>
      <c r="F12" s="101">
        <f t="shared" si="1"/>
        <v>0</v>
      </c>
      <c r="G12" s="101">
        <v>0</v>
      </c>
      <c r="H12" s="101">
        <f t="shared" si="1"/>
        <v>0</v>
      </c>
      <c r="I12" s="101">
        <v>0</v>
      </c>
      <c r="J12" s="101">
        <f t="shared" si="1"/>
        <v>0</v>
      </c>
      <c r="K12" s="101">
        <v>0</v>
      </c>
      <c r="L12" s="101">
        <f t="shared" si="1"/>
        <v>0</v>
      </c>
      <c r="M12" s="101">
        <v>0</v>
      </c>
      <c r="N12" s="76"/>
      <c r="O12" s="90"/>
      <c r="P12" s="84"/>
      <c r="Q12" s="101">
        <v>0</v>
      </c>
      <c r="R12" s="75"/>
      <c r="S12" s="88"/>
    </row>
    <row r="13" spans="1:19" x14ac:dyDescent="0.25">
      <c r="A13" s="18">
        <v>45879</v>
      </c>
      <c r="B13" s="99">
        <f>C13/8</f>
        <v>0</v>
      </c>
      <c r="C13" s="100">
        <v>0</v>
      </c>
      <c r="D13" s="99">
        <f>E13/8</f>
        <v>0</v>
      </c>
      <c r="E13" s="101">
        <v>0</v>
      </c>
      <c r="F13" s="101">
        <f t="shared" si="1"/>
        <v>0</v>
      </c>
      <c r="G13" s="101">
        <v>0</v>
      </c>
      <c r="H13" s="101">
        <f t="shared" si="1"/>
        <v>0</v>
      </c>
      <c r="I13" s="101">
        <v>0</v>
      </c>
      <c r="J13" s="101">
        <f t="shared" si="1"/>
        <v>0</v>
      </c>
      <c r="K13" s="101">
        <v>0</v>
      </c>
      <c r="L13" s="101">
        <f t="shared" si="1"/>
        <v>0</v>
      </c>
      <c r="M13" s="101">
        <v>0</v>
      </c>
      <c r="N13" s="76"/>
      <c r="O13" s="90"/>
      <c r="P13" s="84"/>
      <c r="Q13" s="101">
        <v>0</v>
      </c>
      <c r="R13" s="75"/>
      <c r="S13" s="88"/>
    </row>
    <row r="14" spans="1:19" x14ac:dyDescent="0.25">
      <c r="A14" s="18">
        <v>45880</v>
      </c>
      <c r="B14" s="22">
        <f t="shared" si="2"/>
        <v>1.875</v>
      </c>
      <c r="C14" s="27">
        <v>15</v>
      </c>
      <c r="D14" s="22">
        <f t="shared" si="0"/>
        <v>3.75</v>
      </c>
      <c r="E14" s="27">
        <v>30</v>
      </c>
      <c r="F14" s="22">
        <f t="shared" si="1"/>
        <v>0</v>
      </c>
      <c r="G14" s="27">
        <v>0</v>
      </c>
      <c r="H14" s="22">
        <f t="shared" si="1"/>
        <v>0</v>
      </c>
      <c r="I14" s="27">
        <v>0</v>
      </c>
      <c r="J14" s="22">
        <f t="shared" si="1"/>
        <v>0</v>
      </c>
      <c r="K14" s="27">
        <v>0</v>
      </c>
      <c r="L14" s="22">
        <f t="shared" si="1"/>
        <v>0</v>
      </c>
      <c r="M14" s="27">
        <v>0</v>
      </c>
      <c r="N14" s="95"/>
      <c r="O14" s="89"/>
      <c r="P14" s="95">
        <v>1</v>
      </c>
      <c r="Q14" s="27">
        <v>9</v>
      </c>
      <c r="R14" s="95"/>
      <c r="S14" s="26"/>
    </row>
    <row r="15" spans="1:19" x14ac:dyDescent="0.25">
      <c r="A15" s="18">
        <v>45881</v>
      </c>
      <c r="B15" s="22">
        <f t="shared" si="2"/>
        <v>1.875</v>
      </c>
      <c r="C15" s="27">
        <v>15</v>
      </c>
      <c r="D15" s="22">
        <f t="shared" si="0"/>
        <v>3.75</v>
      </c>
      <c r="E15" s="27">
        <v>30</v>
      </c>
      <c r="F15" s="22">
        <f t="shared" si="1"/>
        <v>0</v>
      </c>
      <c r="G15" s="27">
        <v>0</v>
      </c>
      <c r="H15" s="22">
        <f t="shared" si="1"/>
        <v>0</v>
      </c>
      <c r="I15" s="27">
        <v>0</v>
      </c>
      <c r="J15" s="22">
        <f t="shared" si="1"/>
        <v>0</v>
      </c>
      <c r="K15" s="27">
        <v>0</v>
      </c>
      <c r="L15" s="22">
        <f t="shared" si="1"/>
        <v>0</v>
      </c>
      <c r="M15" s="27">
        <v>0</v>
      </c>
      <c r="N15" s="23"/>
      <c r="O15" s="89"/>
      <c r="P15" s="95">
        <v>1</v>
      </c>
      <c r="Q15" s="27">
        <v>9</v>
      </c>
      <c r="R15" s="95"/>
      <c r="S15" s="89"/>
    </row>
    <row r="16" spans="1:19" x14ac:dyDescent="0.25">
      <c r="A16" s="18">
        <v>45882</v>
      </c>
      <c r="B16" s="22">
        <f t="shared" si="2"/>
        <v>1.25</v>
      </c>
      <c r="C16" s="27">
        <v>10</v>
      </c>
      <c r="D16" s="22">
        <f t="shared" si="0"/>
        <v>4.375</v>
      </c>
      <c r="E16" s="27">
        <v>35</v>
      </c>
      <c r="F16" s="22">
        <f t="shared" si="1"/>
        <v>0</v>
      </c>
      <c r="G16" s="27">
        <v>0</v>
      </c>
      <c r="H16" s="22">
        <f t="shared" si="1"/>
        <v>0</v>
      </c>
      <c r="I16" s="27">
        <v>0</v>
      </c>
      <c r="J16" s="22">
        <f t="shared" si="1"/>
        <v>0</v>
      </c>
      <c r="K16" s="27">
        <v>0</v>
      </c>
      <c r="L16" s="22">
        <f t="shared" si="1"/>
        <v>0</v>
      </c>
      <c r="M16" s="27">
        <v>0</v>
      </c>
      <c r="N16" s="23"/>
      <c r="O16" s="89"/>
      <c r="P16" s="95">
        <v>1</v>
      </c>
      <c r="Q16" s="27">
        <v>9</v>
      </c>
      <c r="R16" s="95"/>
      <c r="S16" s="89"/>
    </row>
    <row r="17" spans="1:19" x14ac:dyDescent="0.25">
      <c r="A17" s="18">
        <v>45883</v>
      </c>
      <c r="B17" s="22">
        <f t="shared" si="2"/>
        <v>1.25</v>
      </c>
      <c r="C17" s="27">
        <v>10</v>
      </c>
      <c r="D17" s="22">
        <f t="shared" si="0"/>
        <v>3.75</v>
      </c>
      <c r="E17" s="27">
        <v>30</v>
      </c>
      <c r="F17" s="22">
        <f t="shared" si="1"/>
        <v>0</v>
      </c>
      <c r="G17" s="27">
        <v>0</v>
      </c>
      <c r="H17" s="22">
        <f t="shared" si="1"/>
        <v>0</v>
      </c>
      <c r="I17" s="27">
        <v>0</v>
      </c>
      <c r="J17" s="22">
        <f t="shared" si="1"/>
        <v>0</v>
      </c>
      <c r="K17" s="27">
        <v>0</v>
      </c>
      <c r="L17" s="22">
        <f t="shared" si="1"/>
        <v>0.625</v>
      </c>
      <c r="M17" s="27">
        <v>5</v>
      </c>
      <c r="N17" s="23"/>
      <c r="O17" s="89"/>
      <c r="P17" s="95">
        <v>1</v>
      </c>
      <c r="Q17" s="27">
        <v>9</v>
      </c>
      <c r="R17" s="95"/>
      <c r="S17" s="89"/>
    </row>
    <row r="18" spans="1:19" x14ac:dyDescent="0.25">
      <c r="A18" s="18">
        <v>45884</v>
      </c>
      <c r="B18" s="99">
        <f t="shared" si="2"/>
        <v>0</v>
      </c>
      <c r="C18" s="100">
        <v>0</v>
      </c>
      <c r="D18" s="99">
        <f t="shared" si="0"/>
        <v>0</v>
      </c>
      <c r="E18" s="101">
        <v>0</v>
      </c>
      <c r="F18" s="101">
        <f t="shared" si="1"/>
        <v>0</v>
      </c>
      <c r="G18" s="101">
        <v>0</v>
      </c>
      <c r="H18" s="101">
        <f t="shared" si="1"/>
        <v>0</v>
      </c>
      <c r="I18" s="101">
        <v>0</v>
      </c>
      <c r="J18" s="101">
        <f t="shared" si="1"/>
        <v>0</v>
      </c>
      <c r="K18" s="101">
        <v>0</v>
      </c>
      <c r="L18" s="101">
        <f t="shared" si="1"/>
        <v>0</v>
      </c>
      <c r="M18" s="101">
        <v>0</v>
      </c>
      <c r="N18" s="76"/>
      <c r="O18" s="90"/>
      <c r="P18" s="84"/>
      <c r="Q18" s="101">
        <v>0</v>
      </c>
      <c r="R18" s="75"/>
      <c r="S18" s="88"/>
    </row>
    <row r="19" spans="1:19" x14ac:dyDescent="0.25">
      <c r="A19" s="18">
        <v>45885</v>
      </c>
      <c r="B19" s="99">
        <f t="shared" si="2"/>
        <v>0</v>
      </c>
      <c r="C19" s="100">
        <v>0</v>
      </c>
      <c r="D19" s="99">
        <f t="shared" si="0"/>
        <v>0</v>
      </c>
      <c r="E19" s="101">
        <v>0</v>
      </c>
      <c r="F19" s="101">
        <f t="shared" si="1"/>
        <v>0</v>
      </c>
      <c r="G19" s="101">
        <v>0</v>
      </c>
      <c r="H19" s="101">
        <f t="shared" si="1"/>
        <v>0</v>
      </c>
      <c r="I19" s="101">
        <v>0</v>
      </c>
      <c r="J19" s="101">
        <f t="shared" si="1"/>
        <v>0</v>
      </c>
      <c r="K19" s="101">
        <v>0</v>
      </c>
      <c r="L19" s="101">
        <f t="shared" si="1"/>
        <v>0</v>
      </c>
      <c r="M19" s="101">
        <v>0</v>
      </c>
      <c r="N19" s="76"/>
      <c r="O19" s="90"/>
      <c r="P19" s="84"/>
      <c r="Q19" s="101">
        <v>0</v>
      </c>
      <c r="R19" s="75"/>
      <c r="S19" s="88"/>
    </row>
    <row r="20" spans="1:19" x14ac:dyDescent="0.25">
      <c r="A20" s="18">
        <v>45886</v>
      </c>
      <c r="B20" s="99">
        <f t="shared" si="2"/>
        <v>0</v>
      </c>
      <c r="C20" s="100">
        <v>0</v>
      </c>
      <c r="D20" s="99">
        <f t="shared" si="0"/>
        <v>0</v>
      </c>
      <c r="E20" s="101">
        <v>0</v>
      </c>
      <c r="F20" s="101">
        <f t="shared" si="1"/>
        <v>0</v>
      </c>
      <c r="G20" s="101">
        <v>0</v>
      </c>
      <c r="H20" s="101">
        <f t="shared" si="1"/>
        <v>0</v>
      </c>
      <c r="I20" s="101">
        <v>0</v>
      </c>
      <c r="J20" s="101">
        <f t="shared" si="1"/>
        <v>0</v>
      </c>
      <c r="K20" s="101">
        <v>0</v>
      </c>
      <c r="L20" s="101">
        <f t="shared" si="1"/>
        <v>0</v>
      </c>
      <c r="M20" s="101">
        <v>0</v>
      </c>
      <c r="N20" s="76"/>
      <c r="O20" s="90"/>
      <c r="P20" s="84"/>
      <c r="Q20" s="101">
        <v>0</v>
      </c>
      <c r="R20" s="75"/>
      <c r="S20" s="88"/>
    </row>
    <row r="21" spans="1:19" x14ac:dyDescent="0.25">
      <c r="A21" s="18">
        <v>45887</v>
      </c>
      <c r="B21" s="22">
        <f t="shared" si="2"/>
        <v>6.5</v>
      </c>
      <c r="C21" s="27">
        <v>52</v>
      </c>
      <c r="D21" s="22">
        <f t="shared" si="0"/>
        <v>3.25</v>
      </c>
      <c r="E21" s="27">
        <v>26</v>
      </c>
      <c r="F21" s="22">
        <f t="shared" si="1"/>
        <v>7</v>
      </c>
      <c r="G21" s="27">
        <v>56</v>
      </c>
      <c r="H21" s="22">
        <f t="shared" si="1"/>
        <v>0.375</v>
      </c>
      <c r="I21" s="98">
        <v>3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27">
        <v>0</v>
      </c>
      <c r="N21" s="95"/>
      <c r="O21" s="89"/>
      <c r="P21" s="95">
        <v>1</v>
      </c>
      <c r="Q21" s="27">
        <v>9</v>
      </c>
      <c r="R21" s="95"/>
      <c r="S21" s="26"/>
    </row>
    <row r="22" spans="1:19" x14ac:dyDescent="0.25">
      <c r="A22" s="18">
        <v>45888</v>
      </c>
      <c r="B22" s="22">
        <f t="shared" si="2"/>
        <v>6.5</v>
      </c>
      <c r="C22" s="27">
        <v>52</v>
      </c>
      <c r="D22" s="35">
        <f t="shared" si="0"/>
        <v>3.25</v>
      </c>
      <c r="E22" s="27">
        <v>26</v>
      </c>
      <c r="F22" s="22">
        <f t="shared" si="1"/>
        <v>7</v>
      </c>
      <c r="G22" s="27">
        <v>56</v>
      </c>
      <c r="H22" s="22">
        <f t="shared" si="1"/>
        <v>0.375</v>
      </c>
      <c r="I22" s="27">
        <v>3</v>
      </c>
      <c r="J22" s="22">
        <f t="shared" si="1"/>
        <v>0</v>
      </c>
      <c r="K22" s="22">
        <f t="shared" si="1"/>
        <v>0</v>
      </c>
      <c r="L22" s="22">
        <f t="shared" si="1"/>
        <v>0</v>
      </c>
      <c r="M22" s="27">
        <v>0</v>
      </c>
      <c r="N22" s="23"/>
      <c r="O22" s="89"/>
      <c r="P22" s="95">
        <v>1</v>
      </c>
      <c r="Q22" s="27">
        <v>9</v>
      </c>
      <c r="R22" s="95"/>
      <c r="S22" s="89"/>
    </row>
    <row r="23" spans="1:19" x14ac:dyDescent="0.25">
      <c r="A23" s="18">
        <v>45889</v>
      </c>
      <c r="B23" s="22">
        <f t="shared" si="2"/>
        <v>6.5</v>
      </c>
      <c r="C23" s="27">
        <v>52</v>
      </c>
      <c r="D23" s="35">
        <f t="shared" si="0"/>
        <v>3.25</v>
      </c>
      <c r="E23" s="27">
        <v>26</v>
      </c>
      <c r="F23" s="22">
        <f t="shared" si="1"/>
        <v>7</v>
      </c>
      <c r="G23" s="27">
        <v>56</v>
      </c>
      <c r="H23" s="22">
        <f t="shared" si="1"/>
        <v>0.375</v>
      </c>
      <c r="I23" s="27">
        <v>3</v>
      </c>
      <c r="J23" s="22">
        <f t="shared" si="1"/>
        <v>0</v>
      </c>
      <c r="K23" s="22">
        <f t="shared" si="1"/>
        <v>0</v>
      </c>
      <c r="L23" s="22">
        <f t="shared" si="1"/>
        <v>0</v>
      </c>
      <c r="M23" s="27">
        <v>0</v>
      </c>
      <c r="N23" s="23"/>
      <c r="O23" s="89"/>
      <c r="P23" s="95">
        <v>1</v>
      </c>
      <c r="Q23" s="27">
        <v>9</v>
      </c>
      <c r="R23" s="95"/>
      <c r="S23" s="89"/>
    </row>
    <row r="24" spans="1:19" x14ac:dyDescent="0.25">
      <c r="A24" s="18">
        <v>45890</v>
      </c>
      <c r="B24" s="22">
        <f t="shared" si="2"/>
        <v>6.5</v>
      </c>
      <c r="C24" s="27">
        <v>52</v>
      </c>
      <c r="D24" s="35">
        <f t="shared" si="0"/>
        <v>3.25</v>
      </c>
      <c r="E24" s="27">
        <v>26</v>
      </c>
      <c r="F24" s="22">
        <f t="shared" si="1"/>
        <v>7</v>
      </c>
      <c r="G24" s="27">
        <v>56</v>
      </c>
      <c r="H24" s="22">
        <f t="shared" si="1"/>
        <v>0.375</v>
      </c>
      <c r="I24" s="27">
        <v>3</v>
      </c>
      <c r="J24" s="22">
        <f t="shared" si="1"/>
        <v>0</v>
      </c>
      <c r="K24" s="22">
        <f t="shared" si="1"/>
        <v>0</v>
      </c>
      <c r="L24" s="22">
        <f t="shared" si="1"/>
        <v>0</v>
      </c>
      <c r="M24" s="27">
        <v>0</v>
      </c>
      <c r="N24" s="23"/>
      <c r="O24" s="89"/>
      <c r="P24" s="95">
        <v>1</v>
      </c>
      <c r="Q24" s="27">
        <v>9</v>
      </c>
      <c r="R24" s="95"/>
      <c r="S24" s="89"/>
    </row>
    <row r="25" spans="1:19" x14ac:dyDescent="0.25">
      <c r="A25" s="18">
        <v>45891</v>
      </c>
      <c r="B25" s="22">
        <f t="shared" si="2"/>
        <v>7</v>
      </c>
      <c r="C25" s="27">
        <v>56</v>
      </c>
      <c r="D25" s="35">
        <f t="shared" si="0"/>
        <v>1.625</v>
      </c>
      <c r="E25" s="27">
        <v>13</v>
      </c>
      <c r="F25" s="22">
        <f t="shared" si="1"/>
        <v>7</v>
      </c>
      <c r="G25" s="27">
        <v>56</v>
      </c>
      <c r="H25" s="22">
        <f t="shared" si="1"/>
        <v>0.375</v>
      </c>
      <c r="I25" s="27">
        <v>3</v>
      </c>
      <c r="J25" s="22">
        <f t="shared" si="1"/>
        <v>0</v>
      </c>
      <c r="K25" s="22">
        <f t="shared" si="1"/>
        <v>0</v>
      </c>
      <c r="L25" s="22">
        <f t="shared" si="1"/>
        <v>0</v>
      </c>
      <c r="M25" s="27">
        <v>0</v>
      </c>
      <c r="N25" s="23"/>
      <c r="O25" s="89"/>
      <c r="P25" s="95">
        <v>1</v>
      </c>
      <c r="Q25" s="27">
        <v>8</v>
      </c>
      <c r="R25" s="95"/>
      <c r="S25" s="89"/>
    </row>
    <row r="26" spans="1:19" x14ac:dyDescent="0.25">
      <c r="A26" s="18">
        <v>45892</v>
      </c>
      <c r="B26" s="99">
        <f t="shared" si="2"/>
        <v>0</v>
      </c>
      <c r="C26" s="99">
        <v>0</v>
      </c>
      <c r="D26" s="99">
        <f t="shared" si="0"/>
        <v>0</v>
      </c>
      <c r="E26" s="99">
        <v>0</v>
      </c>
      <c r="F26" s="99">
        <f t="shared" si="1"/>
        <v>0</v>
      </c>
      <c r="G26" s="101">
        <v>0</v>
      </c>
      <c r="H26" s="101">
        <f t="shared" si="1"/>
        <v>0</v>
      </c>
      <c r="I26" s="101">
        <v>0</v>
      </c>
      <c r="J26" s="101">
        <f t="shared" si="1"/>
        <v>0</v>
      </c>
      <c r="K26" s="101">
        <v>0</v>
      </c>
      <c r="L26" s="101">
        <f t="shared" si="1"/>
        <v>0</v>
      </c>
      <c r="M26" s="101">
        <v>0</v>
      </c>
      <c r="N26" s="76"/>
      <c r="O26" s="90"/>
      <c r="P26" s="84"/>
      <c r="Q26" s="101">
        <v>0</v>
      </c>
      <c r="R26" s="75"/>
      <c r="S26" s="88"/>
    </row>
    <row r="27" spans="1:19" x14ac:dyDescent="0.25">
      <c r="A27" s="18">
        <v>45893</v>
      </c>
      <c r="B27" s="99">
        <f t="shared" si="2"/>
        <v>0</v>
      </c>
      <c r="C27" s="99">
        <v>0</v>
      </c>
      <c r="D27" s="99">
        <f t="shared" si="0"/>
        <v>0</v>
      </c>
      <c r="E27" s="99">
        <v>0</v>
      </c>
      <c r="F27" s="99">
        <f t="shared" si="1"/>
        <v>0</v>
      </c>
      <c r="G27" s="101">
        <v>0</v>
      </c>
      <c r="H27" s="101">
        <f t="shared" si="1"/>
        <v>0</v>
      </c>
      <c r="I27" s="101">
        <v>0</v>
      </c>
      <c r="J27" s="101">
        <f t="shared" si="1"/>
        <v>0</v>
      </c>
      <c r="K27" s="101">
        <v>0</v>
      </c>
      <c r="L27" s="76">
        <f t="shared" si="1"/>
        <v>0</v>
      </c>
      <c r="M27" s="101">
        <v>0</v>
      </c>
      <c r="N27" s="76"/>
      <c r="O27" s="90"/>
      <c r="P27" s="84"/>
      <c r="Q27" s="101">
        <v>0</v>
      </c>
      <c r="R27" s="75"/>
      <c r="S27" s="88"/>
    </row>
    <row r="28" spans="1:19" x14ac:dyDescent="0.25">
      <c r="A28" s="18">
        <v>45894</v>
      </c>
      <c r="B28" s="22">
        <f t="shared" si="2"/>
        <v>4.4375</v>
      </c>
      <c r="C28" s="27">
        <v>35.5</v>
      </c>
      <c r="D28" s="35">
        <f t="shared" si="0"/>
        <v>5.25</v>
      </c>
      <c r="E28" s="27">
        <v>42</v>
      </c>
      <c r="F28" s="22">
        <f t="shared" si="1"/>
        <v>4.5</v>
      </c>
      <c r="G28" s="27">
        <v>36</v>
      </c>
      <c r="H28" s="22">
        <f t="shared" si="1"/>
        <v>0.5</v>
      </c>
      <c r="I28" s="27">
        <v>4</v>
      </c>
      <c r="J28" s="22">
        <f t="shared" si="1"/>
        <v>1.25</v>
      </c>
      <c r="K28" s="22">
        <v>10</v>
      </c>
      <c r="L28" s="22">
        <f t="shared" si="1"/>
        <v>0</v>
      </c>
      <c r="M28" s="27">
        <v>0</v>
      </c>
      <c r="N28" s="23"/>
      <c r="O28" s="89"/>
      <c r="P28" s="95">
        <v>1</v>
      </c>
      <c r="Q28" s="27">
        <v>9</v>
      </c>
      <c r="R28" s="95"/>
      <c r="S28" s="89"/>
    </row>
    <row r="29" spans="1:19" x14ac:dyDescent="0.25">
      <c r="A29" s="18">
        <v>45895</v>
      </c>
      <c r="B29" s="22">
        <f t="shared" si="2"/>
        <v>4.5</v>
      </c>
      <c r="C29" s="27">
        <v>36</v>
      </c>
      <c r="D29" s="35">
        <f t="shared" si="0"/>
        <v>4.125</v>
      </c>
      <c r="E29" s="27">
        <v>33</v>
      </c>
      <c r="F29" s="22">
        <f t="shared" si="1"/>
        <v>2</v>
      </c>
      <c r="G29" s="27">
        <v>16</v>
      </c>
      <c r="H29" s="22">
        <f t="shared" si="1"/>
        <v>0.5</v>
      </c>
      <c r="I29" s="27">
        <v>4</v>
      </c>
      <c r="J29" s="22">
        <f t="shared" si="1"/>
        <v>0</v>
      </c>
      <c r="K29" s="22">
        <v>0</v>
      </c>
      <c r="L29" s="22">
        <f t="shared" si="1"/>
        <v>1.125</v>
      </c>
      <c r="M29" s="27">
        <v>9</v>
      </c>
      <c r="N29" s="23"/>
      <c r="O29" s="89"/>
      <c r="P29" s="95">
        <v>1</v>
      </c>
      <c r="Q29" s="27">
        <v>9</v>
      </c>
      <c r="R29" s="95"/>
      <c r="S29" s="89"/>
    </row>
    <row r="30" spans="1:19" x14ac:dyDescent="0.25">
      <c r="A30" s="18">
        <v>45896</v>
      </c>
      <c r="B30" s="22">
        <f t="shared" si="2"/>
        <v>4.375</v>
      </c>
      <c r="C30" s="27">
        <v>35</v>
      </c>
      <c r="D30" s="35">
        <f t="shared" si="0"/>
        <v>5.25</v>
      </c>
      <c r="E30" s="27">
        <v>42</v>
      </c>
      <c r="F30" s="22">
        <f t="shared" si="1"/>
        <v>4</v>
      </c>
      <c r="G30" s="27">
        <v>32</v>
      </c>
      <c r="H30" s="22">
        <f t="shared" si="1"/>
        <v>0.5</v>
      </c>
      <c r="I30" s="27">
        <v>4</v>
      </c>
      <c r="J30" s="22">
        <f t="shared" si="1"/>
        <v>0</v>
      </c>
      <c r="K30" s="22">
        <f t="shared" si="1"/>
        <v>0</v>
      </c>
      <c r="L30" s="22">
        <f t="shared" si="1"/>
        <v>0</v>
      </c>
      <c r="M30" s="27">
        <v>0</v>
      </c>
      <c r="N30" s="23"/>
      <c r="O30" s="89"/>
      <c r="P30" s="95">
        <v>1</v>
      </c>
      <c r="Q30" s="27">
        <v>9</v>
      </c>
      <c r="R30" s="95"/>
      <c r="S30" s="89"/>
    </row>
    <row r="31" spans="1:19" x14ac:dyDescent="0.25">
      <c r="A31" s="18">
        <v>45897</v>
      </c>
      <c r="B31" s="22">
        <f t="shared" si="2"/>
        <v>4.375</v>
      </c>
      <c r="C31" s="27">
        <v>35</v>
      </c>
      <c r="D31" s="35">
        <f t="shared" si="0"/>
        <v>5.25</v>
      </c>
      <c r="E31" s="27">
        <v>42</v>
      </c>
      <c r="F31" s="22">
        <f t="shared" si="1"/>
        <v>4</v>
      </c>
      <c r="G31" s="27">
        <v>32</v>
      </c>
      <c r="H31" s="22">
        <f t="shared" si="1"/>
        <v>0.5</v>
      </c>
      <c r="I31" s="27">
        <v>4</v>
      </c>
      <c r="J31" s="22">
        <f t="shared" si="1"/>
        <v>1</v>
      </c>
      <c r="K31" s="22">
        <v>8</v>
      </c>
      <c r="L31" s="22">
        <f t="shared" si="1"/>
        <v>0</v>
      </c>
      <c r="M31" s="27">
        <v>0</v>
      </c>
      <c r="N31" s="23"/>
      <c r="O31" s="89"/>
      <c r="P31" s="95">
        <v>1</v>
      </c>
      <c r="Q31" s="27">
        <v>9</v>
      </c>
      <c r="R31" s="95"/>
      <c r="S31" s="89"/>
    </row>
    <row r="32" spans="1:19" ht="15" customHeight="1" x14ac:dyDescent="0.25">
      <c r="A32" s="18">
        <v>45898</v>
      </c>
      <c r="B32" s="22">
        <f t="shared" si="2"/>
        <v>3.5</v>
      </c>
      <c r="C32" s="27">
        <v>28</v>
      </c>
      <c r="D32" s="35">
        <f t="shared" si="0"/>
        <v>5</v>
      </c>
      <c r="E32" s="27">
        <v>40</v>
      </c>
      <c r="F32" s="22">
        <f t="shared" si="1"/>
        <v>4</v>
      </c>
      <c r="G32" s="27">
        <v>32</v>
      </c>
      <c r="H32" s="22">
        <f t="shared" si="1"/>
        <v>0.5</v>
      </c>
      <c r="I32" s="27">
        <v>4</v>
      </c>
      <c r="J32" s="22">
        <f t="shared" si="1"/>
        <v>1</v>
      </c>
      <c r="K32" s="22">
        <v>8</v>
      </c>
      <c r="L32" s="22">
        <f t="shared" si="1"/>
        <v>0</v>
      </c>
      <c r="M32" s="27">
        <v>0</v>
      </c>
      <c r="N32" s="96"/>
      <c r="O32" s="89"/>
      <c r="P32" s="95">
        <v>1</v>
      </c>
      <c r="Q32" s="27">
        <v>8</v>
      </c>
      <c r="R32" s="95"/>
      <c r="S32" s="89"/>
    </row>
    <row r="33" spans="1:19" ht="15" customHeight="1" x14ac:dyDescent="0.25">
      <c r="A33" s="18">
        <v>45899</v>
      </c>
      <c r="B33" s="99">
        <f t="shared" si="2"/>
        <v>0</v>
      </c>
      <c r="C33" s="100">
        <v>0</v>
      </c>
      <c r="D33" s="99">
        <f t="shared" si="0"/>
        <v>0</v>
      </c>
      <c r="E33" s="101">
        <v>0</v>
      </c>
      <c r="F33" s="101">
        <f t="shared" si="1"/>
        <v>0</v>
      </c>
      <c r="G33" s="101">
        <v>0</v>
      </c>
      <c r="H33" s="101">
        <f t="shared" si="1"/>
        <v>0</v>
      </c>
      <c r="I33" s="101">
        <v>0</v>
      </c>
      <c r="J33" s="101">
        <f t="shared" si="1"/>
        <v>0</v>
      </c>
      <c r="K33" s="101">
        <v>0</v>
      </c>
      <c r="L33" s="101">
        <f t="shared" si="1"/>
        <v>0</v>
      </c>
      <c r="M33" s="101">
        <f t="shared" si="1"/>
        <v>0</v>
      </c>
      <c r="N33" s="76"/>
      <c r="O33" s="90"/>
      <c r="P33" s="84"/>
      <c r="Q33" s="101">
        <v>0</v>
      </c>
      <c r="R33" s="75"/>
      <c r="S33" s="88"/>
    </row>
    <row r="34" spans="1:19" ht="15" customHeight="1" thickBot="1" x14ac:dyDescent="0.3">
      <c r="A34" s="18">
        <v>45900</v>
      </c>
      <c r="B34" s="99">
        <f t="shared" si="2"/>
        <v>0</v>
      </c>
      <c r="C34" s="100">
        <v>0</v>
      </c>
      <c r="D34" s="99">
        <f t="shared" si="0"/>
        <v>0</v>
      </c>
      <c r="E34" s="101">
        <v>0</v>
      </c>
      <c r="F34" s="101">
        <f t="shared" ref="F34" si="3">G34/8</f>
        <v>0</v>
      </c>
      <c r="G34" s="101">
        <v>0</v>
      </c>
      <c r="H34" s="101">
        <f t="shared" ref="H34" si="4">I34/8</f>
        <v>0</v>
      </c>
      <c r="I34" s="101">
        <v>0</v>
      </c>
      <c r="J34" s="101">
        <f t="shared" ref="J34" si="5">K34/8</f>
        <v>0</v>
      </c>
      <c r="K34" s="101">
        <v>0</v>
      </c>
      <c r="L34" s="101">
        <f t="shared" ref="L34:M34" si="6">M34/8</f>
        <v>0</v>
      </c>
      <c r="M34" s="101">
        <f t="shared" si="6"/>
        <v>0</v>
      </c>
      <c r="N34" s="76"/>
      <c r="O34" s="90"/>
      <c r="P34" s="84"/>
      <c r="Q34" s="101">
        <v>0</v>
      </c>
      <c r="R34" s="75"/>
      <c r="S34" s="88"/>
    </row>
    <row r="35" spans="1:19" ht="15.75" thickBot="1" x14ac:dyDescent="0.3">
      <c r="A35" s="58" t="s">
        <v>20</v>
      </c>
      <c r="B35" s="59">
        <f>IFERROR(AVERAGE(B4:B34),0)</f>
        <v>2.3004032258064515</v>
      </c>
      <c r="C35" s="61">
        <f>SUM(C4:C34)</f>
        <v>570.5</v>
      </c>
      <c r="D35" s="59">
        <f>IFERROR(AVERAGE(D4:D34),0)</f>
        <v>2.471774193548387</v>
      </c>
      <c r="E35" s="61">
        <f>SUM(E4:E34)</f>
        <v>613</v>
      </c>
      <c r="F35" s="59">
        <f>IFERROR(AVERAGE(F4:F34),0)</f>
        <v>1.7258064516129032</v>
      </c>
      <c r="G35" s="61">
        <f>SUM(G4:G34)</f>
        <v>428</v>
      </c>
      <c r="H35" s="59">
        <f>IFERROR(AVERAGE(H4:H34),0)</f>
        <v>0.14112903225806453</v>
      </c>
      <c r="I35" s="61">
        <f>SUM(I4:I34)</f>
        <v>35</v>
      </c>
      <c r="J35" s="59">
        <f>IFERROR(AVERAGE(J4:J34),0)</f>
        <v>0.10483870967741936</v>
      </c>
      <c r="K35" s="61">
        <f>SUM(K4:K34)</f>
        <v>26</v>
      </c>
      <c r="L35" s="59">
        <f>IFERROR(AVERAGE(L4:L34),0)</f>
        <v>5.6451612903225805E-2</v>
      </c>
      <c r="M35" s="61">
        <f>SUM(M4:M34)</f>
        <v>19</v>
      </c>
      <c r="N35" s="97">
        <f>IFERROR(AVERAGE(N4:N33),0)</f>
        <v>0</v>
      </c>
      <c r="O35" s="93">
        <f>C35+I35+E35+G35+K35+M35</f>
        <v>1691.5</v>
      </c>
      <c r="P35" s="97">
        <f>IFERROR(AVERAGE(P4:P34),0)</f>
        <v>1</v>
      </c>
      <c r="Q35" s="103">
        <f>SUM(Q4:Q34)</f>
        <v>176</v>
      </c>
      <c r="R35" s="97">
        <f>IFERROR(AVERAGE(R4:R33),0)</f>
        <v>0</v>
      </c>
      <c r="S35" s="15">
        <f>SUM(S4:S33)</f>
        <v>0</v>
      </c>
    </row>
    <row r="36" spans="1:19" x14ac:dyDescent="0.25">
      <c r="G36" s="67"/>
      <c r="I36" s="68"/>
      <c r="O36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5"/>
  <sheetViews>
    <sheetView showGridLines="0" zoomScale="85" zoomScaleNormal="85" workbookViewId="0">
      <pane ySplit="3" topLeftCell="A4" activePane="bottomLeft" state="frozen"/>
      <selection pane="bottomLeft" activeCell="J42" sqref="J42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2025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x14ac:dyDescent="0.25">
      <c r="A4" s="18">
        <v>45901</v>
      </c>
      <c r="B4" s="35">
        <f t="shared" ref="B4:B33" si="0">C4/8</f>
        <v>9.4874999999999989</v>
      </c>
      <c r="C4" s="20">
        <v>75.899999999999991</v>
      </c>
      <c r="D4" s="22">
        <f t="shared" ref="D4:D33" si="1">E4/8</f>
        <v>6.3250000000000011</v>
      </c>
      <c r="E4" s="87">
        <v>50.600000000000009</v>
      </c>
      <c r="F4" s="35">
        <f t="shared" ref="F4:L33" si="2">G4/8</f>
        <v>0</v>
      </c>
      <c r="G4" s="98">
        <v>0</v>
      </c>
      <c r="H4" s="23">
        <f t="shared" si="2"/>
        <v>0</v>
      </c>
      <c r="I4" s="98">
        <v>0</v>
      </c>
      <c r="J4" s="23">
        <v>0</v>
      </c>
      <c r="K4" s="98">
        <v>0</v>
      </c>
      <c r="L4" s="23">
        <v>0</v>
      </c>
      <c r="M4" s="109">
        <v>0</v>
      </c>
      <c r="N4" s="37"/>
      <c r="O4" s="25"/>
      <c r="P4" s="24">
        <v>1</v>
      </c>
      <c r="Q4" s="26">
        <v>9</v>
      </c>
      <c r="R4" s="24"/>
      <c r="S4" s="26"/>
    </row>
    <row r="5" spans="1:19" x14ac:dyDescent="0.25">
      <c r="A5" s="18">
        <v>45902</v>
      </c>
      <c r="B5" s="35">
        <f t="shared" si="0"/>
        <v>8.6125000000000007</v>
      </c>
      <c r="C5" s="20">
        <v>68.900000000000006</v>
      </c>
      <c r="D5" s="35">
        <f t="shared" si="1"/>
        <v>6.3250000000000011</v>
      </c>
      <c r="E5" s="87">
        <v>50.600000000000009</v>
      </c>
      <c r="F5" s="23">
        <f t="shared" si="2"/>
        <v>0</v>
      </c>
      <c r="G5" s="98">
        <v>0</v>
      </c>
      <c r="H5" s="23">
        <f t="shared" si="2"/>
        <v>0.875</v>
      </c>
      <c r="I5" s="27">
        <v>7</v>
      </c>
      <c r="J5" s="23">
        <f t="shared" si="2"/>
        <v>0</v>
      </c>
      <c r="K5" s="98">
        <v>0</v>
      </c>
      <c r="L5" s="23">
        <f t="shared" si="2"/>
        <v>0</v>
      </c>
      <c r="M5" s="109">
        <v>0</v>
      </c>
      <c r="N5" s="105"/>
      <c r="O5" s="25"/>
      <c r="P5" s="24">
        <v>1</v>
      </c>
      <c r="Q5" s="37">
        <v>9</v>
      </c>
      <c r="R5" s="24"/>
      <c r="S5" s="37"/>
    </row>
    <row r="6" spans="1:19" x14ac:dyDescent="0.25">
      <c r="A6" s="18">
        <v>45903</v>
      </c>
      <c r="B6" s="35">
        <f t="shared" si="0"/>
        <v>9.4499999999999993</v>
      </c>
      <c r="C6" s="27">
        <v>75.599999999999994</v>
      </c>
      <c r="D6" s="35">
        <f t="shared" si="1"/>
        <v>6.3000000000000007</v>
      </c>
      <c r="E6" s="87">
        <v>50.400000000000006</v>
      </c>
      <c r="F6" s="23">
        <f t="shared" si="2"/>
        <v>0</v>
      </c>
      <c r="G6" s="98">
        <v>0</v>
      </c>
      <c r="H6" s="23">
        <f t="shared" si="2"/>
        <v>0</v>
      </c>
      <c r="I6" s="98">
        <v>0</v>
      </c>
      <c r="J6" s="23">
        <f t="shared" si="2"/>
        <v>0</v>
      </c>
      <c r="K6" s="98">
        <v>0</v>
      </c>
      <c r="L6" s="23">
        <f t="shared" si="2"/>
        <v>0</v>
      </c>
      <c r="M6" s="109">
        <v>0</v>
      </c>
      <c r="N6" s="105"/>
      <c r="O6" s="25"/>
      <c r="P6" s="24">
        <v>1</v>
      </c>
      <c r="Q6" s="37">
        <v>9</v>
      </c>
      <c r="R6" s="24"/>
      <c r="S6" s="37"/>
    </row>
    <row r="7" spans="1:19" x14ac:dyDescent="0.25">
      <c r="A7" s="18">
        <v>45904</v>
      </c>
      <c r="B7" s="35">
        <f t="shared" si="0"/>
        <v>9.5625</v>
      </c>
      <c r="C7" s="27">
        <v>76.5</v>
      </c>
      <c r="D7" s="35">
        <f t="shared" si="1"/>
        <v>6.375</v>
      </c>
      <c r="E7" s="87">
        <v>51</v>
      </c>
      <c r="F7" s="23">
        <f t="shared" si="2"/>
        <v>0</v>
      </c>
      <c r="G7" s="98">
        <v>0</v>
      </c>
      <c r="H7" s="23">
        <f t="shared" si="2"/>
        <v>0</v>
      </c>
      <c r="I7" s="98">
        <v>0</v>
      </c>
      <c r="J7" s="23">
        <f t="shared" si="2"/>
        <v>0</v>
      </c>
      <c r="K7" s="98">
        <v>0</v>
      </c>
      <c r="L7" s="23">
        <f t="shared" si="2"/>
        <v>0</v>
      </c>
      <c r="M7" s="109">
        <v>0</v>
      </c>
      <c r="N7" s="105"/>
      <c r="O7" s="25"/>
      <c r="P7" s="24">
        <v>1</v>
      </c>
      <c r="Q7" s="37">
        <v>9</v>
      </c>
      <c r="R7" s="24"/>
      <c r="S7" s="37"/>
    </row>
    <row r="8" spans="1:19" x14ac:dyDescent="0.25">
      <c r="A8" s="18">
        <v>45905</v>
      </c>
      <c r="B8" s="35">
        <f t="shared" si="0"/>
        <v>7.9124999999999996</v>
      </c>
      <c r="C8" s="27">
        <v>63.3</v>
      </c>
      <c r="D8" s="35">
        <f t="shared" si="1"/>
        <v>5.2750000000000004</v>
      </c>
      <c r="E8" s="87">
        <v>42.2</v>
      </c>
      <c r="F8" s="23">
        <f t="shared" si="2"/>
        <v>0</v>
      </c>
      <c r="G8" s="98">
        <v>0</v>
      </c>
      <c r="H8" s="23">
        <f t="shared" si="2"/>
        <v>0</v>
      </c>
      <c r="I8" s="98">
        <v>0</v>
      </c>
      <c r="J8" s="23">
        <f t="shared" si="2"/>
        <v>0</v>
      </c>
      <c r="K8" s="98">
        <v>0</v>
      </c>
      <c r="L8" s="23">
        <f t="shared" si="2"/>
        <v>0</v>
      </c>
      <c r="M8" s="109">
        <v>0</v>
      </c>
      <c r="N8" s="105"/>
      <c r="O8" s="25"/>
      <c r="P8" s="24">
        <v>1</v>
      </c>
      <c r="Q8" s="37">
        <v>8</v>
      </c>
      <c r="R8" s="24"/>
      <c r="S8" s="37"/>
    </row>
    <row r="9" spans="1:19" x14ac:dyDescent="0.25">
      <c r="A9" s="18">
        <v>45906</v>
      </c>
      <c r="B9" s="35">
        <f>C9/8</f>
        <v>0</v>
      </c>
      <c r="C9" s="27">
        <v>0</v>
      </c>
      <c r="D9" s="35">
        <f>E9/8</f>
        <v>0</v>
      </c>
      <c r="E9" s="27">
        <v>0</v>
      </c>
      <c r="F9" s="23">
        <f t="shared" si="2"/>
        <v>0</v>
      </c>
      <c r="G9" s="98">
        <v>0</v>
      </c>
      <c r="H9" s="23">
        <f t="shared" si="2"/>
        <v>0</v>
      </c>
      <c r="I9" s="98">
        <v>0</v>
      </c>
      <c r="J9" s="23">
        <f t="shared" si="2"/>
        <v>0</v>
      </c>
      <c r="K9" s="98">
        <v>0</v>
      </c>
      <c r="L9" s="23">
        <f t="shared" si="2"/>
        <v>0</v>
      </c>
      <c r="M9" s="109">
        <v>0</v>
      </c>
      <c r="N9" s="105"/>
      <c r="O9" s="25"/>
      <c r="P9" s="24"/>
      <c r="Q9" s="37"/>
      <c r="R9" s="24"/>
      <c r="S9" s="37"/>
    </row>
    <row r="10" spans="1:19" x14ac:dyDescent="0.25">
      <c r="A10" s="18">
        <v>45907</v>
      </c>
      <c r="B10" s="39">
        <f t="shared" si="0"/>
        <v>0</v>
      </c>
      <c r="C10" s="38"/>
      <c r="D10" s="39">
        <f t="shared" si="1"/>
        <v>0</v>
      </c>
      <c r="E10" s="38"/>
      <c r="F10" s="31">
        <f t="shared" si="2"/>
        <v>0</v>
      </c>
      <c r="G10" s="38"/>
      <c r="H10" s="31">
        <f t="shared" si="2"/>
        <v>0</v>
      </c>
      <c r="I10" s="38"/>
      <c r="J10" s="31">
        <f t="shared" si="2"/>
        <v>0</v>
      </c>
      <c r="K10" s="38"/>
      <c r="L10" s="31">
        <f t="shared" si="2"/>
        <v>0</v>
      </c>
      <c r="M10" s="110"/>
      <c r="N10" s="106"/>
      <c r="O10" s="33"/>
      <c r="P10" s="32"/>
      <c r="Q10" s="41"/>
      <c r="R10" s="32"/>
      <c r="S10" s="41"/>
    </row>
    <row r="11" spans="1:19" x14ac:dyDescent="0.25">
      <c r="A11" s="18">
        <v>45908</v>
      </c>
      <c r="B11" s="35">
        <f t="shared" si="0"/>
        <v>7.1875</v>
      </c>
      <c r="C11" s="27">
        <v>57.5</v>
      </c>
      <c r="D11" s="35">
        <f t="shared" si="1"/>
        <v>5.875</v>
      </c>
      <c r="E11" s="87">
        <v>47</v>
      </c>
      <c r="F11" s="23">
        <f t="shared" si="2"/>
        <v>0</v>
      </c>
      <c r="G11" s="98">
        <v>0</v>
      </c>
      <c r="H11" s="23">
        <f t="shared" si="2"/>
        <v>1.625</v>
      </c>
      <c r="I11" s="27">
        <v>13</v>
      </c>
      <c r="J11" s="23">
        <f t="shared" si="2"/>
        <v>0</v>
      </c>
      <c r="K11" s="98">
        <v>0</v>
      </c>
      <c r="L11" s="23">
        <f t="shared" si="2"/>
        <v>0</v>
      </c>
      <c r="M11" s="109">
        <v>0</v>
      </c>
      <c r="N11" s="105"/>
      <c r="O11" s="25"/>
      <c r="P11" s="24">
        <v>1</v>
      </c>
      <c r="Q11" s="37">
        <v>9</v>
      </c>
      <c r="R11" s="24"/>
      <c r="S11" s="37"/>
    </row>
    <row r="12" spans="1:19" x14ac:dyDescent="0.25">
      <c r="A12" s="18">
        <v>45909</v>
      </c>
      <c r="B12" s="35">
        <f t="shared" si="0"/>
        <v>8.6002499999999991</v>
      </c>
      <c r="C12" s="27">
        <v>68.801999999999992</v>
      </c>
      <c r="D12" s="35">
        <f t="shared" si="1"/>
        <v>5.7335000000000012</v>
      </c>
      <c r="E12" s="87">
        <v>45.868000000000009</v>
      </c>
      <c r="F12" s="23">
        <f t="shared" si="2"/>
        <v>0</v>
      </c>
      <c r="G12" s="98">
        <v>0</v>
      </c>
      <c r="H12" s="23">
        <f t="shared" si="2"/>
        <v>0</v>
      </c>
      <c r="I12" s="98">
        <v>0</v>
      </c>
      <c r="J12" s="23">
        <f t="shared" si="2"/>
        <v>0</v>
      </c>
      <c r="K12" s="98">
        <v>0</v>
      </c>
      <c r="L12" s="23">
        <f t="shared" si="2"/>
        <v>0</v>
      </c>
      <c r="M12" s="109">
        <v>0</v>
      </c>
      <c r="N12" s="105"/>
      <c r="O12" s="25"/>
      <c r="P12" s="24">
        <v>1</v>
      </c>
      <c r="Q12" s="37">
        <v>9</v>
      </c>
      <c r="R12" s="24"/>
      <c r="S12" s="37"/>
    </row>
    <row r="13" spans="1:19" x14ac:dyDescent="0.25">
      <c r="A13" s="18">
        <v>45910</v>
      </c>
      <c r="B13" s="35">
        <f t="shared" si="0"/>
        <v>8.1</v>
      </c>
      <c r="C13" s="27">
        <v>64.8</v>
      </c>
      <c r="D13" s="35">
        <f t="shared" si="1"/>
        <v>5.4</v>
      </c>
      <c r="E13" s="87">
        <v>43.2</v>
      </c>
      <c r="F13" s="23">
        <f t="shared" si="2"/>
        <v>0</v>
      </c>
      <c r="G13" s="98">
        <v>0</v>
      </c>
      <c r="H13" s="23">
        <f t="shared" si="2"/>
        <v>0</v>
      </c>
      <c r="I13" s="98">
        <v>0</v>
      </c>
      <c r="J13" s="23">
        <f t="shared" si="2"/>
        <v>0</v>
      </c>
      <c r="K13" s="98">
        <v>0</v>
      </c>
      <c r="L13" s="23">
        <f t="shared" si="2"/>
        <v>0</v>
      </c>
      <c r="M13" s="109">
        <v>0</v>
      </c>
      <c r="N13" s="105"/>
      <c r="O13" s="25"/>
      <c r="P13" s="24">
        <v>1</v>
      </c>
      <c r="Q13" s="37">
        <v>9</v>
      </c>
      <c r="R13" s="24"/>
      <c r="S13" s="37"/>
    </row>
    <row r="14" spans="1:19" x14ac:dyDescent="0.25">
      <c r="A14" s="18">
        <v>45911</v>
      </c>
      <c r="B14" s="35">
        <f t="shared" si="0"/>
        <v>8.1749999999999989</v>
      </c>
      <c r="C14" s="27">
        <v>65.399999999999991</v>
      </c>
      <c r="D14" s="35">
        <f t="shared" si="1"/>
        <v>5.4500000000000011</v>
      </c>
      <c r="E14" s="87">
        <v>43.600000000000009</v>
      </c>
      <c r="F14" s="23">
        <f t="shared" si="2"/>
        <v>0</v>
      </c>
      <c r="G14" s="98">
        <v>0</v>
      </c>
      <c r="H14" s="23">
        <f t="shared" si="2"/>
        <v>0</v>
      </c>
      <c r="I14" s="98">
        <v>0</v>
      </c>
      <c r="J14" s="23">
        <f t="shared" si="2"/>
        <v>0</v>
      </c>
      <c r="K14" s="98">
        <v>0</v>
      </c>
      <c r="L14" s="23">
        <f t="shared" si="2"/>
        <v>0</v>
      </c>
      <c r="M14" s="109">
        <v>0</v>
      </c>
      <c r="N14" s="105"/>
      <c r="O14" s="25"/>
      <c r="P14" s="24">
        <v>1</v>
      </c>
      <c r="Q14" s="37">
        <v>9</v>
      </c>
      <c r="R14" s="24"/>
      <c r="S14" s="37"/>
    </row>
    <row r="15" spans="1:19" x14ac:dyDescent="0.25">
      <c r="A15" s="18">
        <v>45912</v>
      </c>
      <c r="B15" s="35">
        <f t="shared" si="0"/>
        <v>7.1999999999999993</v>
      </c>
      <c r="C15" s="27">
        <v>57.599999999999994</v>
      </c>
      <c r="D15" s="35">
        <f t="shared" si="1"/>
        <v>4.8000000000000007</v>
      </c>
      <c r="E15" s="87">
        <v>38.400000000000006</v>
      </c>
      <c r="F15" s="23">
        <f t="shared" si="2"/>
        <v>0</v>
      </c>
      <c r="G15" s="98">
        <v>0</v>
      </c>
      <c r="H15" s="23">
        <f t="shared" si="2"/>
        <v>0</v>
      </c>
      <c r="I15" s="98">
        <v>0</v>
      </c>
      <c r="J15" s="23">
        <f t="shared" si="2"/>
        <v>0</v>
      </c>
      <c r="K15" s="98">
        <v>0</v>
      </c>
      <c r="L15" s="23">
        <f t="shared" si="2"/>
        <v>0</v>
      </c>
      <c r="M15" s="109">
        <v>0</v>
      </c>
      <c r="N15" s="105"/>
      <c r="O15" s="25"/>
      <c r="P15" s="24">
        <v>1</v>
      </c>
      <c r="Q15" s="37">
        <v>8</v>
      </c>
      <c r="R15" s="24"/>
      <c r="S15" s="37"/>
    </row>
    <row r="16" spans="1:19" x14ac:dyDescent="0.25">
      <c r="A16" s="18">
        <v>45913</v>
      </c>
      <c r="B16" s="35">
        <f t="shared" si="0"/>
        <v>0</v>
      </c>
      <c r="C16" s="27">
        <v>0</v>
      </c>
      <c r="D16" s="35">
        <f t="shared" si="1"/>
        <v>0</v>
      </c>
      <c r="E16" s="27">
        <v>0</v>
      </c>
      <c r="F16" s="23">
        <f t="shared" si="2"/>
        <v>0</v>
      </c>
      <c r="G16" s="98">
        <v>0</v>
      </c>
      <c r="H16" s="23">
        <f t="shared" si="2"/>
        <v>0</v>
      </c>
      <c r="I16" s="98">
        <v>0</v>
      </c>
      <c r="J16" s="23">
        <f t="shared" si="2"/>
        <v>0</v>
      </c>
      <c r="K16" s="98">
        <v>0</v>
      </c>
      <c r="L16" s="23">
        <f t="shared" si="2"/>
        <v>0</v>
      </c>
      <c r="M16" s="109">
        <v>0</v>
      </c>
      <c r="N16" s="105"/>
      <c r="O16" s="25"/>
      <c r="P16" s="24"/>
      <c r="Q16" s="37"/>
      <c r="R16" s="24"/>
      <c r="S16" s="37"/>
    </row>
    <row r="17" spans="1:19" x14ac:dyDescent="0.25">
      <c r="A17" s="18">
        <v>45914</v>
      </c>
      <c r="B17" s="43">
        <f t="shared" si="0"/>
        <v>0</v>
      </c>
      <c r="C17" s="42"/>
      <c r="D17" s="43">
        <f t="shared" si="1"/>
        <v>0</v>
      </c>
      <c r="E17" s="42"/>
      <c r="F17" s="44">
        <f t="shared" si="2"/>
        <v>0</v>
      </c>
      <c r="G17" s="42"/>
      <c r="H17" s="44">
        <f t="shared" si="2"/>
        <v>0</v>
      </c>
      <c r="I17" s="42"/>
      <c r="J17" s="44">
        <f t="shared" si="2"/>
        <v>0</v>
      </c>
      <c r="K17" s="42"/>
      <c r="L17" s="44">
        <f t="shared" si="2"/>
        <v>0</v>
      </c>
      <c r="M17" s="111"/>
      <c r="N17" s="107"/>
      <c r="O17" s="46"/>
      <c r="P17" s="47"/>
      <c r="Q17" s="48"/>
      <c r="R17" s="47"/>
      <c r="S17" s="48"/>
    </row>
    <row r="18" spans="1:19" x14ac:dyDescent="0.25">
      <c r="A18" s="18">
        <v>45915</v>
      </c>
      <c r="B18" s="35">
        <f t="shared" si="0"/>
        <v>7.5374999999999996</v>
      </c>
      <c r="C18" s="27">
        <v>60.3</v>
      </c>
      <c r="D18" s="35">
        <f t="shared" si="1"/>
        <v>5.0250000000000004</v>
      </c>
      <c r="E18" s="87">
        <v>40.200000000000003</v>
      </c>
      <c r="F18" s="23">
        <f t="shared" si="2"/>
        <v>0</v>
      </c>
      <c r="G18" s="98">
        <v>0</v>
      </c>
      <c r="H18" s="23">
        <f t="shared" si="2"/>
        <v>0</v>
      </c>
      <c r="I18" s="98">
        <v>0</v>
      </c>
      <c r="J18" s="23">
        <f t="shared" si="2"/>
        <v>0</v>
      </c>
      <c r="K18" s="98">
        <v>0</v>
      </c>
      <c r="L18" s="23">
        <f t="shared" si="2"/>
        <v>0</v>
      </c>
      <c r="M18" s="109">
        <v>0</v>
      </c>
      <c r="N18" s="105"/>
      <c r="O18" s="25"/>
      <c r="P18" s="24">
        <v>1</v>
      </c>
      <c r="Q18" s="37">
        <v>9</v>
      </c>
      <c r="R18" s="24"/>
      <c r="S18" s="37"/>
    </row>
    <row r="19" spans="1:19" x14ac:dyDescent="0.25">
      <c r="A19" s="18">
        <v>45916</v>
      </c>
      <c r="B19" s="35">
        <f t="shared" si="0"/>
        <v>8.0625</v>
      </c>
      <c r="C19" s="27">
        <v>64.5</v>
      </c>
      <c r="D19" s="35">
        <f t="shared" si="1"/>
        <v>5.375</v>
      </c>
      <c r="E19" s="87">
        <v>43</v>
      </c>
      <c r="F19" s="23">
        <f t="shared" si="2"/>
        <v>0</v>
      </c>
      <c r="G19" s="98">
        <v>0</v>
      </c>
      <c r="H19" s="23">
        <f t="shared" si="2"/>
        <v>0</v>
      </c>
      <c r="I19" s="98">
        <v>0</v>
      </c>
      <c r="J19" s="23">
        <f t="shared" si="2"/>
        <v>0</v>
      </c>
      <c r="K19" s="98">
        <v>0</v>
      </c>
      <c r="L19" s="23">
        <f t="shared" si="2"/>
        <v>0</v>
      </c>
      <c r="M19" s="109">
        <v>0</v>
      </c>
      <c r="N19" s="105"/>
      <c r="O19" s="25"/>
      <c r="P19" s="24">
        <v>1</v>
      </c>
      <c r="Q19" s="37">
        <v>9</v>
      </c>
      <c r="R19" s="24"/>
      <c r="S19" s="37"/>
    </row>
    <row r="20" spans="1:19" x14ac:dyDescent="0.25">
      <c r="A20" s="18">
        <v>45917</v>
      </c>
      <c r="B20" s="35">
        <f t="shared" si="0"/>
        <v>7.5</v>
      </c>
      <c r="C20" s="27">
        <v>60</v>
      </c>
      <c r="D20" s="35">
        <f t="shared" si="1"/>
        <v>5</v>
      </c>
      <c r="E20" s="87">
        <v>40</v>
      </c>
      <c r="F20" s="23">
        <f t="shared" si="2"/>
        <v>0</v>
      </c>
      <c r="G20" s="98">
        <v>0</v>
      </c>
      <c r="H20" s="23">
        <f t="shared" si="2"/>
        <v>0</v>
      </c>
      <c r="I20" s="98">
        <v>0</v>
      </c>
      <c r="J20" s="23">
        <f t="shared" si="2"/>
        <v>0</v>
      </c>
      <c r="K20" s="98">
        <v>0</v>
      </c>
      <c r="L20" s="23">
        <f t="shared" si="2"/>
        <v>0</v>
      </c>
      <c r="M20" s="109">
        <v>0</v>
      </c>
      <c r="N20" s="105"/>
      <c r="O20" s="25"/>
      <c r="P20" s="24">
        <v>1</v>
      </c>
      <c r="Q20" s="37">
        <v>9</v>
      </c>
      <c r="R20" s="24"/>
      <c r="S20" s="37"/>
    </row>
    <row r="21" spans="1:19" x14ac:dyDescent="0.25">
      <c r="A21" s="18">
        <v>45918</v>
      </c>
      <c r="B21" s="35">
        <f t="shared" si="0"/>
        <v>8.1</v>
      </c>
      <c r="C21" s="27">
        <v>64.8</v>
      </c>
      <c r="D21" s="35">
        <f t="shared" si="1"/>
        <v>5.4</v>
      </c>
      <c r="E21" s="87">
        <v>43.2</v>
      </c>
      <c r="F21" s="23">
        <f t="shared" si="2"/>
        <v>0</v>
      </c>
      <c r="G21" s="98">
        <v>0</v>
      </c>
      <c r="H21" s="23">
        <f t="shared" si="2"/>
        <v>0</v>
      </c>
      <c r="I21" s="98">
        <v>0</v>
      </c>
      <c r="J21" s="23">
        <f t="shared" si="2"/>
        <v>0</v>
      </c>
      <c r="K21" s="98">
        <v>0</v>
      </c>
      <c r="L21" s="23">
        <f t="shared" si="2"/>
        <v>0</v>
      </c>
      <c r="M21" s="109">
        <v>0</v>
      </c>
      <c r="N21" s="105"/>
      <c r="O21" s="25"/>
      <c r="P21" s="24">
        <v>1</v>
      </c>
      <c r="Q21" s="37">
        <v>9</v>
      </c>
      <c r="R21" s="24"/>
      <c r="S21" s="37"/>
    </row>
    <row r="22" spans="1:19" x14ac:dyDescent="0.25">
      <c r="A22" s="18">
        <v>45919</v>
      </c>
      <c r="B22" s="35">
        <f t="shared" si="0"/>
        <v>7.2749999999999995</v>
      </c>
      <c r="C22" s="27">
        <v>58.199999999999996</v>
      </c>
      <c r="D22" s="35">
        <f t="shared" si="1"/>
        <v>4.8500000000000005</v>
      </c>
      <c r="E22" s="87">
        <v>38.800000000000004</v>
      </c>
      <c r="F22" s="23">
        <f t="shared" si="2"/>
        <v>0</v>
      </c>
      <c r="G22" s="98">
        <v>0</v>
      </c>
      <c r="H22" s="23">
        <f t="shared" si="2"/>
        <v>0</v>
      </c>
      <c r="I22" s="98">
        <v>0</v>
      </c>
      <c r="J22" s="23">
        <f t="shared" si="2"/>
        <v>0</v>
      </c>
      <c r="K22" s="98">
        <v>0</v>
      </c>
      <c r="L22" s="23">
        <f t="shared" si="2"/>
        <v>0</v>
      </c>
      <c r="M22" s="109">
        <v>0</v>
      </c>
      <c r="N22" s="105"/>
      <c r="O22" s="25"/>
      <c r="P22" s="24">
        <v>1</v>
      </c>
      <c r="Q22" s="37">
        <v>8</v>
      </c>
      <c r="R22" s="24"/>
      <c r="S22" s="37"/>
    </row>
    <row r="23" spans="1:19" x14ac:dyDescent="0.25">
      <c r="A23" s="18">
        <v>45920</v>
      </c>
      <c r="B23" s="35">
        <f t="shared" si="0"/>
        <v>0</v>
      </c>
      <c r="C23" s="27">
        <v>0</v>
      </c>
      <c r="D23" s="35">
        <f t="shared" si="1"/>
        <v>0</v>
      </c>
      <c r="E23" s="27">
        <v>0</v>
      </c>
      <c r="F23" s="23">
        <f t="shared" si="2"/>
        <v>0</v>
      </c>
      <c r="G23" s="98">
        <v>0</v>
      </c>
      <c r="H23" s="23">
        <f t="shared" si="2"/>
        <v>0</v>
      </c>
      <c r="I23" s="98">
        <v>0</v>
      </c>
      <c r="J23" s="23">
        <f t="shared" si="2"/>
        <v>0</v>
      </c>
      <c r="K23" s="98">
        <v>0</v>
      </c>
      <c r="L23" s="23">
        <f t="shared" si="2"/>
        <v>0</v>
      </c>
      <c r="M23" s="109">
        <v>0</v>
      </c>
      <c r="N23" s="105"/>
      <c r="O23" s="25"/>
      <c r="P23" s="24"/>
      <c r="Q23" s="37"/>
      <c r="R23" s="24"/>
      <c r="S23" s="37"/>
    </row>
    <row r="24" spans="1:19" x14ac:dyDescent="0.25">
      <c r="A24" s="18">
        <v>45921</v>
      </c>
      <c r="B24" s="50">
        <f t="shared" si="0"/>
        <v>0</v>
      </c>
      <c r="C24" s="49"/>
      <c r="D24" s="50">
        <f t="shared" si="1"/>
        <v>0</v>
      </c>
      <c r="E24" s="49"/>
      <c r="F24" s="51">
        <f t="shared" si="2"/>
        <v>0</v>
      </c>
      <c r="G24" s="49"/>
      <c r="H24" s="51">
        <f t="shared" si="2"/>
        <v>0</v>
      </c>
      <c r="I24" s="49"/>
      <c r="J24" s="51">
        <f t="shared" si="2"/>
        <v>0</v>
      </c>
      <c r="K24" s="49"/>
      <c r="L24" s="51">
        <f t="shared" si="2"/>
        <v>0</v>
      </c>
      <c r="M24" s="112"/>
      <c r="N24" s="108"/>
      <c r="O24" s="53"/>
      <c r="P24" s="54"/>
      <c r="Q24" s="55"/>
      <c r="R24" s="54"/>
      <c r="S24" s="55"/>
    </row>
    <row r="25" spans="1:19" x14ac:dyDescent="0.25">
      <c r="A25" s="18">
        <v>45922</v>
      </c>
      <c r="B25" s="35">
        <f t="shared" ref="B25:B31" si="3">C25/8</f>
        <v>8.1</v>
      </c>
      <c r="C25" s="27">
        <v>64.8</v>
      </c>
      <c r="D25" s="35">
        <f t="shared" ref="D25:D31" si="4">E25/8</f>
        <v>5.4</v>
      </c>
      <c r="E25" s="87">
        <v>43.2</v>
      </c>
      <c r="F25" s="23">
        <f t="shared" ref="F25:F31" si="5">G25/8</f>
        <v>0</v>
      </c>
      <c r="G25" s="98">
        <v>0</v>
      </c>
      <c r="H25" s="23">
        <f t="shared" ref="H25:H31" si="6">I25/8</f>
        <v>0</v>
      </c>
      <c r="I25" s="98">
        <v>0</v>
      </c>
      <c r="J25" s="23">
        <f t="shared" ref="J25:J31" si="7">K25/8</f>
        <v>0</v>
      </c>
      <c r="K25" s="98">
        <v>0</v>
      </c>
      <c r="L25" s="23">
        <f t="shared" ref="L25:L31" si="8">M25/8</f>
        <v>0</v>
      </c>
      <c r="M25" s="109">
        <v>0</v>
      </c>
      <c r="N25" s="105"/>
      <c r="O25" s="25"/>
      <c r="P25" s="24">
        <v>1</v>
      </c>
      <c r="Q25" s="37">
        <v>9</v>
      </c>
      <c r="R25" s="24"/>
      <c r="S25" s="37"/>
    </row>
    <row r="26" spans="1:19" x14ac:dyDescent="0.25">
      <c r="A26" s="18">
        <v>45923</v>
      </c>
      <c r="B26" s="35">
        <f t="shared" si="3"/>
        <v>7.4249999999999998</v>
      </c>
      <c r="C26" s="27">
        <v>59.4</v>
      </c>
      <c r="D26" s="35">
        <f t="shared" si="4"/>
        <v>4.95</v>
      </c>
      <c r="E26" s="87">
        <v>39.6</v>
      </c>
      <c r="F26" s="23">
        <f t="shared" si="5"/>
        <v>0</v>
      </c>
      <c r="G26" s="98">
        <v>0</v>
      </c>
      <c r="H26" s="23">
        <f t="shared" si="6"/>
        <v>0</v>
      </c>
      <c r="I26" s="98">
        <v>0</v>
      </c>
      <c r="J26" s="23">
        <f t="shared" si="7"/>
        <v>0</v>
      </c>
      <c r="K26" s="98">
        <v>0</v>
      </c>
      <c r="L26" s="23">
        <f t="shared" si="8"/>
        <v>0</v>
      </c>
      <c r="M26" s="109">
        <v>0</v>
      </c>
      <c r="N26" s="105"/>
      <c r="O26" s="25"/>
      <c r="P26" s="24">
        <v>1</v>
      </c>
      <c r="Q26" s="37">
        <v>9</v>
      </c>
      <c r="R26" s="24"/>
      <c r="S26" s="37"/>
    </row>
    <row r="27" spans="1:19" x14ac:dyDescent="0.25">
      <c r="A27" s="18">
        <v>45924</v>
      </c>
      <c r="B27" s="35">
        <f t="shared" si="3"/>
        <v>8.1</v>
      </c>
      <c r="C27" s="27">
        <v>64.8</v>
      </c>
      <c r="D27" s="35">
        <f t="shared" si="4"/>
        <v>5.4</v>
      </c>
      <c r="E27" s="87">
        <v>43.2</v>
      </c>
      <c r="F27" s="23">
        <f t="shared" si="5"/>
        <v>0</v>
      </c>
      <c r="G27" s="98">
        <v>0</v>
      </c>
      <c r="H27" s="23">
        <f t="shared" si="6"/>
        <v>0</v>
      </c>
      <c r="I27" s="98">
        <v>0</v>
      </c>
      <c r="J27" s="23">
        <f t="shared" si="7"/>
        <v>0</v>
      </c>
      <c r="K27" s="98">
        <v>0</v>
      </c>
      <c r="L27" s="23">
        <f t="shared" si="8"/>
        <v>0</v>
      </c>
      <c r="M27" s="109">
        <v>0</v>
      </c>
      <c r="N27" s="105"/>
      <c r="O27" s="25"/>
      <c r="P27" s="24">
        <v>1</v>
      </c>
      <c r="Q27" s="37">
        <v>9</v>
      </c>
      <c r="R27" s="24"/>
      <c r="S27" s="37"/>
    </row>
    <row r="28" spans="1:19" ht="15" customHeight="1" x14ac:dyDescent="0.25">
      <c r="A28" s="18">
        <v>45925</v>
      </c>
      <c r="B28" s="35">
        <f t="shared" si="3"/>
        <v>8.1</v>
      </c>
      <c r="C28" s="27">
        <v>64.8</v>
      </c>
      <c r="D28" s="35">
        <f t="shared" si="4"/>
        <v>5.4</v>
      </c>
      <c r="E28" s="87">
        <v>43.2</v>
      </c>
      <c r="F28" s="23">
        <f t="shared" si="5"/>
        <v>0</v>
      </c>
      <c r="G28" s="98">
        <v>0</v>
      </c>
      <c r="H28" s="23">
        <f t="shared" si="6"/>
        <v>0</v>
      </c>
      <c r="I28" s="98">
        <v>0</v>
      </c>
      <c r="J28" s="23">
        <f t="shared" si="7"/>
        <v>0</v>
      </c>
      <c r="K28" s="98">
        <v>0</v>
      </c>
      <c r="L28" s="23">
        <f t="shared" si="8"/>
        <v>0</v>
      </c>
      <c r="M28" s="109">
        <v>0</v>
      </c>
      <c r="N28" s="57"/>
      <c r="O28" s="24"/>
      <c r="P28" s="24">
        <v>1</v>
      </c>
      <c r="Q28" s="37">
        <v>9</v>
      </c>
      <c r="R28" s="24"/>
      <c r="S28" s="37"/>
    </row>
    <row r="29" spans="1:19" ht="15" customHeight="1" x14ac:dyDescent="0.25">
      <c r="A29" s="18">
        <v>45926</v>
      </c>
      <c r="B29" s="35">
        <f t="shared" si="3"/>
        <v>7.2749999999999995</v>
      </c>
      <c r="C29" s="27">
        <v>58.199999999999996</v>
      </c>
      <c r="D29" s="35">
        <f t="shared" si="4"/>
        <v>4.8500000000000005</v>
      </c>
      <c r="E29" s="87">
        <v>38.800000000000004</v>
      </c>
      <c r="F29" s="23">
        <f t="shared" si="5"/>
        <v>0</v>
      </c>
      <c r="G29" s="98">
        <v>0</v>
      </c>
      <c r="H29" s="23">
        <f t="shared" si="6"/>
        <v>0</v>
      </c>
      <c r="I29" s="98">
        <v>0</v>
      </c>
      <c r="J29" s="23">
        <f t="shared" si="7"/>
        <v>0</v>
      </c>
      <c r="K29" s="98">
        <v>0</v>
      </c>
      <c r="L29" s="23">
        <f t="shared" si="8"/>
        <v>0</v>
      </c>
      <c r="M29" s="109">
        <v>0</v>
      </c>
      <c r="N29" s="21"/>
      <c r="O29" s="24"/>
      <c r="P29" s="24">
        <v>1</v>
      </c>
      <c r="Q29" s="37">
        <v>8</v>
      </c>
      <c r="R29" s="24"/>
      <c r="S29" s="37"/>
    </row>
    <row r="30" spans="1:19" ht="15" customHeight="1" x14ac:dyDescent="0.25">
      <c r="A30" s="18">
        <v>45927</v>
      </c>
      <c r="B30" s="35">
        <f t="shared" si="3"/>
        <v>0</v>
      </c>
      <c r="C30" s="27">
        <v>0</v>
      </c>
      <c r="D30" s="35">
        <f t="shared" si="4"/>
        <v>0</v>
      </c>
      <c r="E30" s="27">
        <v>0</v>
      </c>
      <c r="F30" s="23">
        <f t="shared" si="5"/>
        <v>0</v>
      </c>
      <c r="G30" s="98">
        <v>0</v>
      </c>
      <c r="H30" s="23">
        <f t="shared" si="6"/>
        <v>0</v>
      </c>
      <c r="I30" s="98">
        <v>0</v>
      </c>
      <c r="J30" s="23">
        <f t="shared" si="7"/>
        <v>0</v>
      </c>
      <c r="K30" s="98">
        <v>0</v>
      </c>
      <c r="L30" s="23">
        <f t="shared" si="8"/>
        <v>0</v>
      </c>
      <c r="M30" s="109">
        <v>0</v>
      </c>
      <c r="N30" s="21"/>
      <c r="O30" s="24"/>
      <c r="P30" s="24"/>
      <c r="Q30" s="37"/>
      <c r="R30" s="24"/>
      <c r="S30" s="37"/>
    </row>
    <row r="31" spans="1:19" x14ac:dyDescent="0.25">
      <c r="A31" s="18">
        <v>45928</v>
      </c>
      <c r="B31" s="50">
        <f t="shared" si="3"/>
        <v>0</v>
      </c>
      <c r="C31" s="49"/>
      <c r="D31" s="50">
        <f t="shared" si="4"/>
        <v>0</v>
      </c>
      <c r="E31" s="49"/>
      <c r="F31" s="51">
        <f t="shared" si="5"/>
        <v>0</v>
      </c>
      <c r="G31" s="49"/>
      <c r="H31" s="51">
        <f t="shared" si="6"/>
        <v>0</v>
      </c>
      <c r="I31" s="49"/>
      <c r="J31" s="51">
        <f t="shared" si="7"/>
        <v>0</v>
      </c>
      <c r="K31" s="49"/>
      <c r="L31" s="51">
        <f t="shared" si="8"/>
        <v>0</v>
      </c>
      <c r="M31" s="112"/>
      <c r="N31" s="108"/>
      <c r="O31" s="53"/>
      <c r="P31" s="54"/>
      <c r="Q31" s="55"/>
      <c r="R31" s="54"/>
      <c r="S31" s="55"/>
    </row>
    <row r="32" spans="1:19" x14ac:dyDescent="0.25">
      <c r="A32" s="18">
        <v>45929</v>
      </c>
      <c r="B32" s="35">
        <f t="shared" si="0"/>
        <v>8.73</v>
      </c>
      <c r="C32" s="27">
        <v>69.84</v>
      </c>
      <c r="D32" s="35">
        <f t="shared" si="1"/>
        <v>5.82</v>
      </c>
      <c r="E32" s="87">
        <v>46.56</v>
      </c>
      <c r="F32" s="23">
        <f t="shared" si="2"/>
        <v>0</v>
      </c>
      <c r="G32" s="98">
        <v>0</v>
      </c>
      <c r="H32" s="23">
        <f t="shared" si="2"/>
        <v>0</v>
      </c>
      <c r="I32" s="98">
        <v>0</v>
      </c>
      <c r="J32" s="23">
        <f t="shared" si="2"/>
        <v>0</v>
      </c>
      <c r="K32" s="98">
        <v>0</v>
      </c>
      <c r="L32" s="23">
        <f t="shared" si="2"/>
        <v>0</v>
      </c>
      <c r="M32" s="109">
        <v>0</v>
      </c>
      <c r="N32" s="105"/>
      <c r="O32" s="25"/>
      <c r="P32" s="24">
        <v>1</v>
      </c>
      <c r="Q32" s="37">
        <v>9</v>
      </c>
      <c r="R32" s="24"/>
      <c r="S32" s="37"/>
    </row>
    <row r="33" spans="1:19" ht="15.75" thickBot="1" x14ac:dyDescent="0.3">
      <c r="A33" s="18">
        <v>45930</v>
      </c>
      <c r="B33" s="35">
        <f t="shared" si="0"/>
        <v>8</v>
      </c>
      <c r="C33" s="27">
        <v>64</v>
      </c>
      <c r="D33" s="35">
        <f t="shared" si="1"/>
        <v>5.875</v>
      </c>
      <c r="E33" s="87">
        <v>47</v>
      </c>
      <c r="F33" s="23">
        <f t="shared" si="2"/>
        <v>0</v>
      </c>
      <c r="G33" s="98">
        <v>0</v>
      </c>
      <c r="H33" s="23">
        <f t="shared" si="2"/>
        <v>0.8125</v>
      </c>
      <c r="I33" s="27">
        <v>6.5</v>
      </c>
      <c r="J33" s="23">
        <f t="shared" si="2"/>
        <v>0</v>
      </c>
      <c r="K33" s="98">
        <v>0</v>
      </c>
      <c r="L33" s="23">
        <f t="shared" si="2"/>
        <v>0</v>
      </c>
      <c r="M33" s="109">
        <v>0</v>
      </c>
      <c r="N33" s="105"/>
      <c r="O33" s="25"/>
      <c r="P33" s="24">
        <v>1</v>
      </c>
      <c r="Q33" s="37">
        <v>9</v>
      </c>
      <c r="R33" s="24"/>
      <c r="S33" s="37"/>
    </row>
    <row r="34" spans="1:19" ht="15.75" thickBot="1" x14ac:dyDescent="0.3">
      <c r="A34" s="58" t="s">
        <v>20</v>
      </c>
      <c r="B34" s="59">
        <f>IFERROR(AVERAGE(B4:B33),0)</f>
        <v>5.9497583333333326</v>
      </c>
      <c r="C34" s="60">
        <f>SUM(C4:C33)</f>
        <v>1427.9419999999998</v>
      </c>
      <c r="D34" s="59">
        <f>AVERAGE(D4:D33)</f>
        <v>4.040116666666667</v>
      </c>
      <c r="E34" s="61">
        <f>SUM(E4:E33)</f>
        <v>969.62800000000016</v>
      </c>
      <c r="F34" s="62">
        <f>AVERAGE(F4:F33)</f>
        <v>0</v>
      </c>
      <c r="G34" s="63">
        <f>SUM(G4:G33)</f>
        <v>0</v>
      </c>
      <c r="H34" s="62">
        <f>AVERAGE(H4:H33)</f>
        <v>0.11041666666666666</v>
      </c>
      <c r="I34" s="63">
        <f>SUM(I4:I33)</f>
        <v>26.5</v>
      </c>
      <c r="J34" s="62">
        <f>AVERAGE(J4:J33)</f>
        <v>0</v>
      </c>
      <c r="K34" s="63">
        <f>SUM(K4:K33)</f>
        <v>0</v>
      </c>
      <c r="L34" s="62">
        <f>AVERAGE(L4:L33)</f>
        <v>0</v>
      </c>
      <c r="M34" s="63">
        <f>SUM(M4:M33)</f>
        <v>0</v>
      </c>
      <c r="N34" s="64">
        <f>IFERROR(AVERAGE(N4:N33),0)</f>
        <v>0</v>
      </c>
      <c r="O34" s="65">
        <f>C34+I34+E34+G34+K34+M34</f>
        <v>2424.0699999999997</v>
      </c>
      <c r="P34" s="66">
        <f>IFERROR(AVERAGE(P4:P33),0)</f>
        <v>1</v>
      </c>
      <c r="Q34" s="17">
        <f>SUM(Q4:Q33)</f>
        <v>194</v>
      </c>
      <c r="R34" s="66">
        <f>IFERROR(AVERAGE(R4:R33),0)</f>
        <v>0</v>
      </c>
      <c r="S34" s="17">
        <f>SUM(S4:S33)</f>
        <v>0</v>
      </c>
    </row>
    <row r="35" spans="1:19" x14ac:dyDescent="0.25">
      <c r="G35" s="67"/>
      <c r="I35" s="68"/>
      <c r="O35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6"/>
  <sheetViews>
    <sheetView showGridLines="0" zoomScale="85" zoomScaleNormal="85" workbookViewId="0">
      <pane ySplit="3" topLeftCell="A4" activePane="bottomLeft" state="frozen"/>
      <selection pane="bottomLeft" activeCell="L40" sqref="L40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2025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x14ac:dyDescent="0.25">
      <c r="A4" s="18">
        <v>45931</v>
      </c>
      <c r="B4" s="35">
        <f t="shared" ref="B4:B34" si="0">C4/8</f>
        <v>6.15</v>
      </c>
      <c r="C4" s="27">
        <v>49.2</v>
      </c>
      <c r="D4" s="35">
        <f t="shared" ref="D4:D34" si="1">E4/8</f>
        <v>6.15</v>
      </c>
      <c r="E4" s="87">
        <v>49.2</v>
      </c>
      <c r="F4" s="23">
        <f t="shared" ref="F4:L34" si="2">G4/8</f>
        <v>0</v>
      </c>
      <c r="G4" s="98">
        <v>0</v>
      </c>
      <c r="H4" s="23">
        <f t="shared" si="2"/>
        <v>0</v>
      </c>
      <c r="I4" s="98">
        <v>0</v>
      </c>
      <c r="J4" s="23">
        <f t="shared" si="2"/>
        <v>0</v>
      </c>
      <c r="K4" s="98">
        <v>0</v>
      </c>
      <c r="L4" s="23">
        <f t="shared" si="2"/>
        <v>0</v>
      </c>
      <c r="M4" s="109">
        <v>0</v>
      </c>
      <c r="N4" s="105"/>
      <c r="O4" s="25"/>
      <c r="P4" s="24">
        <v>1</v>
      </c>
      <c r="Q4" s="37">
        <v>9</v>
      </c>
      <c r="R4" s="24"/>
      <c r="S4" s="37"/>
    </row>
    <row r="5" spans="1:19" x14ac:dyDescent="0.25">
      <c r="A5" s="18">
        <v>45932</v>
      </c>
      <c r="B5" s="35">
        <f t="shared" si="0"/>
        <v>8.625</v>
      </c>
      <c r="C5" s="27">
        <v>69</v>
      </c>
      <c r="D5" s="35">
        <f t="shared" si="1"/>
        <v>3.75</v>
      </c>
      <c r="E5" s="87">
        <v>30</v>
      </c>
      <c r="F5" s="23">
        <f t="shared" si="2"/>
        <v>0</v>
      </c>
      <c r="G5" s="98">
        <v>0</v>
      </c>
      <c r="H5" s="23">
        <f t="shared" si="2"/>
        <v>0</v>
      </c>
      <c r="I5" s="98">
        <v>0</v>
      </c>
      <c r="J5" s="23">
        <f t="shared" si="2"/>
        <v>0</v>
      </c>
      <c r="K5" s="98">
        <v>0</v>
      </c>
      <c r="L5" s="23">
        <f t="shared" si="2"/>
        <v>0</v>
      </c>
      <c r="M5" s="109">
        <v>0</v>
      </c>
      <c r="N5" s="105"/>
      <c r="O5" s="25"/>
      <c r="P5" s="24">
        <v>1</v>
      </c>
      <c r="Q5" s="37">
        <v>9</v>
      </c>
      <c r="R5" s="24"/>
      <c r="S5" s="37"/>
    </row>
    <row r="6" spans="1:19" x14ac:dyDescent="0.25">
      <c r="A6" s="18">
        <v>45933</v>
      </c>
      <c r="B6" s="35">
        <f t="shared" si="0"/>
        <v>7.8</v>
      </c>
      <c r="C6" s="27">
        <v>62.4</v>
      </c>
      <c r="D6" s="35">
        <f t="shared" si="1"/>
        <v>5.2</v>
      </c>
      <c r="E6" s="87">
        <v>41.6</v>
      </c>
      <c r="F6" s="23">
        <f t="shared" si="2"/>
        <v>0</v>
      </c>
      <c r="G6" s="98">
        <v>0</v>
      </c>
      <c r="H6" s="23">
        <f t="shared" si="2"/>
        <v>0</v>
      </c>
      <c r="I6" s="98">
        <v>0</v>
      </c>
      <c r="J6" s="23">
        <f t="shared" si="2"/>
        <v>0</v>
      </c>
      <c r="K6" s="98">
        <v>0</v>
      </c>
      <c r="L6" s="23">
        <f t="shared" si="2"/>
        <v>0</v>
      </c>
      <c r="M6" s="109">
        <v>0</v>
      </c>
      <c r="N6" s="105"/>
      <c r="O6" s="25"/>
      <c r="P6" s="24">
        <v>1</v>
      </c>
      <c r="Q6" s="37">
        <v>8</v>
      </c>
      <c r="R6" s="24"/>
      <c r="S6" s="37"/>
    </row>
    <row r="7" spans="1:19" x14ac:dyDescent="0.25">
      <c r="A7" s="18">
        <v>45934</v>
      </c>
      <c r="B7" s="114">
        <f t="shared" ref="B7" si="3">C7/8</f>
        <v>0</v>
      </c>
      <c r="C7" s="115"/>
      <c r="D7" s="114">
        <f t="shared" ref="D7" si="4">E7/8</f>
        <v>0</v>
      </c>
      <c r="E7" s="115"/>
      <c r="F7" s="116">
        <f t="shared" ref="F7" si="5">G7/8</f>
        <v>0</v>
      </c>
      <c r="G7" s="115"/>
      <c r="H7" s="116">
        <f t="shared" ref="H7" si="6">I7/8</f>
        <v>0</v>
      </c>
      <c r="I7" s="115"/>
      <c r="J7" s="116">
        <f t="shared" ref="J7" si="7">K7/8</f>
        <v>0</v>
      </c>
      <c r="K7" s="115"/>
      <c r="L7" s="116">
        <f t="shared" ref="L7" si="8">M7/8</f>
        <v>0</v>
      </c>
      <c r="M7" s="117"/>
      <c r="N7" s="118"/>
      <c r="O7" s="119"/>
      <c r="P7" s="120"/>
      <c r="Q7" s="121"/>
      <c r="R7" s="120"/>
      <c r="S7" s="121"/>
    </row>
    <row r="8" spans="1:19" x14ac:dyDescent="0.25">
      <c r="A8" s="18">
        <v>45935</v>
      </c>
      <c r="B8" s="114">
        <f t="shared" si="0"/>
        <v>0</v>
      </c>
      <c r="C8" s="115"/>
      <c r="D8" s="114">
        <f t="shared" si="1"/>
        <v>0</v>
      </c>
      <c r="E8" s="115"/>
      <c r="F8" s="116">
        <f t="shared" si="2"/>
        <v>0</v>
      </c>
      <c r="G8" s="115"/>
      <c r="H8" s="116">
        <f t="shared" si="2"/>
        <v>0</v>
      </c>
      <c r="I8" s="115"/>
      <c r="J8" s="116">
        <f t="shared" si="2"/>
        <v>0</v>
      </c>
      <c r="K8" s="115"/>
      <c r="L8" s="116">
        <f t="shared" si="2"/>
        <v>0</v>
      </c>
      <c r="M8" s="117"/>
      <c r="N8" s="118"/>
      <c r="O8" s="119"/>
      <c r="P8" s="120"/>
      <c r="Q8" s="121"/>
      <c r="R8" s="120"/>
      <c r="S8" s="121"/>
    </row>
    <row r="9" spans="1:19" x14ac:dyDescent="0.25">
      <c r="A9" s="18">
        <v>45936</v>
      </c>
      <c r="B9" s="35">
        <f>C9/8</f>
        <v>6.1875</v>
      </c>
      <c r="C9" s="27">
        <v>49.5</v>
      </c>
      <c r="D9" s="35">
        <f t="shared" si="1"/>
        <v>6.1875</v>
      </c>
      <c r="E9" s="87">
        <v>49.5</v>
      </c>
      <c r="F9" s="23">
        <f t="shared" si="2"/>
        <v>0</v>
      </c>
      <c r="G9" s="98">
        <v>0</v>
      </c>
      <c r="H9" s="23">
        <f t="shared" si="2"/>
        <v>0</v>
      </c>
      <c r="I9" s="98">
        <v>0</v>
      </c>
      <c r="J9" s="23">
        <f t="shared" si="2"/>
        <v>0</v>
      </c>
      <c r="K9" s="98">
        <v>0</v>
      </c>
      <c r="L9" s="23">
        <f t="shared" si="2"/>
        <v>0</v>
      </c>
      <c r="M9" s="109">
        <v>0</v>
      </c>
      <c r="N9" s="105"/>
      <c r="O9" s="25"/>
      <c r="P9" s="24">
        <v>1</v>
      </c>
      <c r="Q9" s="37">
        <v>9</v>
      </c>
      <c r="R9" s="24"/>
      <c r="S9" s="37"/>
    </row>
    <row r="10" spans="1:19" x14ac:dyDescent="0.25">
      <c r="A10" s="18">
        <v>45937</v>
      </c>
      <c r="B10" s="35">
        <f t="shared" si="0"/>
        <v>8.1</v>
      </c>
      <c r="C10" s="27">
        <v>64.8</v>
      </c>
      <c r="D10" s="35">
        <f t="shared" si="1"/>
        <v>5.4</v>
      </c>
      <c r="E10" s="87">
        <v>43.2</v>
      </c>
      <c r="F10" s="23">
        <f t="shared" si="2"/>
        <v>0</v>
      </c>
      <c r="G10" s="98">
        <v>0</v>
      </c>
      <c r="H10" s="23">
        <f t="shared" si="2"/>
        <v>0</v>
      </c>
      <c r="I10" s="98">
        <v>0</v>
      </c>
      <c r="J10" s="23">
        <f t="shared" si="2"/>
        <v>0</v>
      </c>
      <c r="K10" s="98">
        <v>0</v>
      </c>
      <c r="L10" s="23">
        <f t="shared" si="2"/>
        <v>0</v>
      </c>
      <c r="M10" s="109">
        <v>0</v>
      </c>
      <c r="N10" s="105"/>
      <c r="O10" s="25"/>
      <c r="P10" s="24">
        <v>1</v>
      </c>
      <c r="Q10" s="37">
        <v>9</v>
      </c>
      <c r="R10" s="24"/>
      <c r="S10" s="37"/>
    </row>
    <row r="11" spans="1:19" x14ac:dyDescent="0.25">
      <c r="A11" s="18">
        <v>45938</v>
      </c>
      <c r="B11" s="35">
        <f t="shared" si="0"/>
        <v>7.3125</v>
      </c>
      <c r="C11" s="27">
        <v>58.5</v>
      </c>
      <c r="D11" s="35">
        <f t="shared" si="1"/>
        <v>7.3125</v>
      </c>
      <c r="E11" s="87">
        <v>58.5</v>
      </c>
      <c r="F11" s="23">
        <f t="shared" si="2"/>
        <v>0</v>
      </c>
      <c r="G11" s="98">
        <v>0</v>
      </c>
      <c r="H11" s="23">
        <f t="shared" si="2"/>
        <v>0</v>
      </c>
      <c r="I11" s="98">
        <v>0</v>
      </c>
      <c r="J11" s="23">
        <f t="shared" si="2"/>
        <v>0</v>
      </c>
      <c r="K11" s="98">
        <v>0</v>
      </c>
      <c r="L11" s="23">
        <f t="shared" si="2"/>
        <v>0</v>
      </c>
      <c r="M11" s="109">
        <v>0</v>
      </c>
      <c r="N11" s="105"/>
      <c r="O11" s="25"/>
      <c r="P11" s="24">
        <v>1</v>
      </c>
      <c r="Q11" s="37">
        <v>9</v>
      </c>
      <c r="R11" s="24"/>
      <c r="S11" s="37"/>
    </row>
    <row r="12" spans="1:19" x14ac:dyDescent="0.25">
      <c r="A12" s="18">
        <v>45939</v>
      </c>
      <c r="B12" s="35">
        <f t="shared" si="0"/>
        <v>7.25</v>
      </c>
      <c r="C12" s="27">
        <v>58</v>
      </c>
      <c r="D12" s="35">
        <f t="shared" si="1"/>
        <v>7.2874999999999996</v>
      </c>
      <c r="E12" s="87">
        <v>58.3</v>
      </c>
      <c r="F12" s="23">
        <f t="shared" si="2"/>
        <v>0</v>
      </c>
      <c r="G12" s="98">
        <v>0</v>
      </c>
      <c r="H12" s="23">
        <f t="shared" si="2"/>
        <v>0</v>
      </c>
      <c r="I12" s="98">
        <v>0</v>
      </c>
      <c r="J12" s="23">
        <f t="shared" si="2"/>
        <v>0</v>
      </c>
      <c r="K12" s="98">
        <v>0</v>
      </c>
      <c r="L12" s="23">
        <f t="shared" si="2"/>
        <v>0</v>
      </c>
      <c r="M12" s="109">
        <v>0</v>
      </c>
      <c r="N12" s="105"/>
      <c r="O12" s="25"/>
      <c r="P12" s="24">
        <v>1</v>
      </c>
      <c r="Q12" s="37">
        <v>9</v>
      </c>
      <c r="R12" s="24"/>
      <c r="S12" s="37"/>
    </row>
    <row r="13" spans="1:19" x14ac:dyDescent="0.25">
      <c r="A13" s="18">
        <v>45940</v>
      </c>
      <c r="B13" s="35">
        <f t="shared" si="0"/>
        <v>6.5</v>
      </c>
      <c r="C13" s="27">
        <v>52</v>
      </c>
      <c r="D13" s="35">
        <f t="shared" si="1"/>
        <v>6.5</v>
      </c>
      <c r="E13" s="87">
        <v>52</v>
      </c>
      <c r="F13" s="23">
        <f t="shared" si="2"/>
        <v>0</v>
      </c>
      <c r="G13" s="98">
        <v>0</v>
      </c>
      <c r="H13" s="23">
        <f t="shared" si="2"/>
        <v>0</v>
      </c>
      <c r="I13" s="98">
        <v>0</v>
      </c>
      <c r="J13" s="23">
        <f t="shared" si="2"/>
        <v>0</v>
      </c>
      <c r="K13" s="98">
        <v>0</v>
      </c>
      <c r="L13" s="23">
        <f t="shared" si="2"/>
        <v>0</v>
      </c>
      <c r="M13" s="109">
        <v>0</v>
      </c>
      <c r="N13" s="105"/>
      <c r="O13" s="25"/>
      <c r="P13" s="24">
        <v>1</v>
      </c>
      <c r="Q13" s="37">
        <v>8</v>
      </c>
      <c r="R13" s="24"/>
      <c r="S13" s="37"/>
    </row>
    <row r="14" spans="1:19" x14ac:dyDescent="0.25">
      <c r="A14" s="18">
        <v>45941</v>
      </c>
      <c r="B14" s="114">
        <f t="shared" ref="B14" si="9">C14/8</f>
        <v>0</v>
      </c>
      <c r="C14" s="115"/>
      <c r="D14" s="114">
        <f t="shared" ref="D14" si="10">E14/8</f>
        <v>0</v>
      </c>
      <c r="E14" s="115"/>
      <c r="F14" s="116">
        <f t="shared" ref="F14" si="11">G14/8</f>
        <v>0</v>
      </c>
      <c r="G14" s="115"/>
      <c r="H14" s="116">
        <f t="shared" ref="H14" si="12">I14/8</f>
        <v>0</v>
      </c>
      <c r="I14" s="115"/>
      <c r="J14" s="116">
        <f t="shared" ref="J14" si="13">K14/8</f>
        <v>0</v>
      </c>
      <c r="K14" s="115"/>
      <c r="L14" s="116">
        <f t="shared" ref="L14" si="14">M14/8</f>
        <v>0</v>
      </c>
      <c r="M14" s="117"/>
      <c r="N14" s="118"/>
      <c r="O14" s="119"/>
      <c r="P14" s="120"/>
      <c r="Q14" s="121"/>
      <c r="R14" s="120"/>
      <c r="S14" s="121"/>
    </row>
    <row r="15" spans="1:19" x14ac:dyDescent="0.25">
      <c r="A15" s="18">
        <v>45942</v>
      </c>
      <c r="B15" s="114">
        <f t="shared" si="0"/>
        <v>0</v>
      </c>
      <c r="C15" s="115"/>
      <c r="D15" s="114">
        <f t="shared" si="1"/>
        <v>0</v>
      </c>
      <c r="E15" s="115"/>
      <c r="F15" s="116">
        <f t="shared" si="2"/>
        <v>0</v>
      </c>
      <c r="G15" s="115"/>
      <c r="H15" s="116">
        <f t="shared" si="2"/>
        <v>0</v>
      </c>
      <c r="I15" s="115"/>
      <c r="J15" s="116">
        <f t="shared" si="2"/>
        <v>0</v>
      </c>
      <c r="K15" s="115"/>
      <c r="L15" s="116">
        <f t="shared" si="2"/>
        <v>0</v>
      </c>
      <c r="M15" s="117"/>
      <c r="N15" s="118"/>
      <c r="O15" s="119"/>
      <c r="P15" s="120"/>
      <c r="Q15" s="121"/>
      <c r="R15" s="120"/>
      <c r="S15" s="121"/>
    </row>
    <row r="16" spans="1:19" x14ac:dyDescent="0.25">
      <c r="A16" s="18">
        <v>45943</v>
      </c>
      <c r="B16" s="35">
        <f t="shared" si="0"/>
        <v>6.75</v>
      </c>
      <c r="C16" s="27">
        <v>54</v>
      </c>
      <c r="D16" s="35">
        <f t="shared" si="1"/>
        <v>4.5</v>
      </c>
      <c r="E16" s="87">
        <v>36</v>
      </c>
      <c r="F16" s="23">
        <f t="shared" si="2"/>
        <v>0</v>
      </c>
      <c r="G16" s="98">
        <v>0</v>
      </c>
      <c r="H16" s="23">
        <f t="shared" si="2"/>
        <v>0</v>
      </c>
      <c r="I16" s="98">
        <v>0</v>
      </c>
      <c r="J16" s="23">
        <f t="shared" si="2"/>
        <v>0</v>
      </c>
      <c r="K16" s="98">
        <v>0</v>
      </c>
      <c r="L16" s="23">
        <f t="shared" si="2"/>
        <v>0</v>
      </c>
      <c r="M16" s="109">
        <v>0</v>
      </c>
      <c r="N16" s="105"/>
      <c r="O16" s="25"/>
      <c r="P16" s="24">
        <v>1</v>
      </c>
      <c r="Q16" s="37">
        <v>9</v>
      </c>
      <c r="R16" s="24"/>
      <c r="S16" s="37"/>
    </row>
    <row r="17" spans="1:19" x14ac:dyDescent="0.25">
      <c r="A17" s="18">
        <v>45944</v>
      </c>
      <c r="B17" s="35">
        <f t="shared" si="0"/>
        <v>6.9</v>
      </c>
      <c r="C17" s="27">
        <v>55.2</v>
      </c>
      <c r="D17" s="35">
        <f t="shared" si="1"/>
        <v>4.5999999999999996</v>
      </c>
      <c r="E17" s="87">
        <v>36.799999999999997</v>
      </c>
      <c r="F17" s="23">
        <f t="shared" si="2"/>
        <v>0</v>
      </c>
      <c r="G17" s="98">
        <v>0</v>
      </c>
      <c r="H17" s="23">
        <f t="shared" si="2"/>
        <v>0</v>
      </c>
      <c r="I17" s="98">
        <v>0</v>
      </c>
      <c r="J17" s="23">
        <f t="shared" si="2"/>
        <v>0</v>
      </c>
      <c r="K17" s="98">
        <v>0</v>
      </c>
      <c r="L17" s="23">
        <f t="shared" si="2"/>
        <v>0</v>
      </c>
      <c r="M17" s="109">
        <v>0</v>
      </c>
      <c r="N17" s="105"/>
      <c r="O17" s="25"/>
      <c r="P17" s="24">
        <v>1</v>
      </c>
      <c r="Q17" s="37">
        <v>9</v>
      </c>
      <c r="R17" s="24"/>
      <c r="S17" s="37"/>
    </row>
    <row r="18" spans="1:19" x14ac:dyDescent="0.25">
      <c r="A18" s="18">
        <v>45945</v>
      </c>
      <c r="B18" s="35">
        <f t="shared" si="0"/>
        <v>6.75</v>
      </c>
      <c r="C18" s="27">
        <v>54</v>
      </c>
      <c r="D18" s="35">
        <f t="shared" si="1"/>
        <v>4.5</v>
      </c>
      <c r="E18" s="87">
        <v>36</v>
      </c>
      <c r="F18" s="23">
        <f t="shared" si="2"/>
        <v>0</v>
      </c>
      <c r="G18" s="98">
        <v>0</v>
      </c>
      <c r="H18" s="23">
        <f t="shared" si="2"/>
        <v>0</v>
      </c>
      <c r="I18" s="98">
        <v>0</v>
      </c>
      <c r="J18" s="23">
        <f t="shared" si="2"/>
        <v>0</v>
      </c>
      <c r="K18" s="98">
        <v>0</v>
      </c>
      <c r="L18" s="23">
        <f t="shared" si="2"/>
        <v>0</v>
      </c>
      <c r="M18" s="109">
        <v>0</v>
      </c>
      <c r="N18" s="105"/>
      <c r="O18" s="25"/>
      <c r="P18" s="24">
        <v>1</v>
      </c>
      <c r="Q18" s="37">
        <v>9</v>
      </c>
      <c r="R18" s="24"/>
      <c r="S18" s="37"/>
    </row>
    <row r="19" spans="1:19" x14ac:dyDescent="0.25">
      <c r="A19" s="18">
        <v>45946</v>
      </c>
      <c r="B19" s="35">
        <f t="shared" si="0"/>
        <v>7.4249999999999998</v>
      </c>
      <c r="C19" s="27">
        <v>59.4</v>
      </c>
      <c r="D19" s="35">
        <f t="shared" si="1"/>
        <v>4.95</v>
      </c>
      <c r="E19" s="87">
        <v>39.6</v>
      </c>
      <c r="F19" s="23">
        <f t="shared" si="2"/>
        <v>0</v>
      </c>
      <c r="G19" s="98">
        <v>0</v>
      </c>
      <c r="H19" s="23">
        <f t="shared" si="2"/>
        <v>0</v>
      </c>
      <c r="I19" s="98">
        <v>0</v>
      </c>
      <c r="J19" s="23">
        <f t="shared" si="2"/>
        <v>0</v>
      </c>
      <c r="K19" s="98">
        <v>0</v>
      </c>
      <c r="L19" s="23">
        <f t="shared" si="2"/>
        <v>0</v>
      </c>
      <c r="M19" s="109">
        <v>0</v>
      </c>
      <c r="N19" s="105"/>
      <c r="O19" s="25"/>
      <c r="P19" s="24">
        <v>1</v>
      </c>
      <c r="Q19" s="37">
        <v>9</v>
      </c>
      <c r="R19" s="24"/>
      <c r="S19" s="37"/>
    </row>
    <row r="20" spans="1:19" x14ac:dyDescent="0.25">
      <c r="A20" s="18">
        <v>45947</v>
      </c>
      <c r="B20" s="35">
        <f t="shared" si="0"/>
        <v>6.6</v>
      </c>
      <c r="C20" s="27">
        <v>52.8</v>
      </c>
      <c r="D20" s="35">
        <f t="shared" si="1"/>
        <v>4.4000000000000004</v>
      </c>
      <c r="E20" s="87">
        <v>35.200000000000003</v>
      </c>
      <c r="F20" s="23">
        <f t="shared" si="2"/>
        <v>0</v>
      </c>
      <c r="G20" s="98">
        <v>0</v>
      </c>
      <c r="H20" s="23">
        <f t="shared" si="2"/>
        <v>0</v>
      </c>
      <c r="I20" s="98">
        <v>0</v>
      </c>
      <c r="J20" s="23">
        <f t="shared" si="2"/>
        <v>0</v>
      </c>
      <c r="K20" s="98">
        <v>0</v>
      </c>
      <c r="L20" s="23">
        <f t="shared" si="2"/>
        <v>0</v>
      </c>
      <c r="M20" s="109">
        <v>0</v>
      </c>
      <c r="N20" s="105"/>
      <c r="O20" s="25"/>
      <c r="P20" s="24">
        <v>1</v>
      </c>
      <c r="Q20" s="37">
        <v>8</v>
      </c>
      <c r="R20" s="24"/>
      <c r="S20" s="37"/>
    </row>
    <row r="21" spans="1:19" x14ac:dyDescent="0.25">
      <c r="A21" s="18">
        <v>45948</v>
      </c>
      <c r="B21" s="114">
        <f t="shared" ref="B21" si="15">C21/8</f>
        <v>0</v>
      </c>
      <c r="C21" s="115"/>
      <c r="D21" s="114">
        <f t="shared" ref="D21" si="16">E21/8</f>
        <v>0</v>
      </c>
      <c r="E21" s="115"/>
      <c r="F21" s="116">
        <f t="shared" ref="F21" si="17">G21/8</f>
        <v>0</v>
      </c>
      <c r="G21" s="115"/>
      <c r="H21" s="116">
        <f t="shared" ref="H21" si="18">I21/8</f>
        <v>0</v>
      </c>
      <c r="I21" s="115"/>
      <c r="J21" s="116">
        <f t="shared" ref="J21" si="19">K21/8</f>
        <v>0</v>
      </c>
      <c r="K21" s="115"/>
      <c r="L21" s="116">
        <f t="shared" ref="L21" si="20">M21/8</f>
        <v>0</v>
      </c>
      <c r="M21" s="117"/>
      <c r="N21" s="118"/>
      <c r="O21" s="119"/>
      <c r="P21" s="120"/>
      <c r="Q21" s="121"/>
      <c r="R21" s="120"/>
      <c r="S21" s="121"/>
    </row>
    <row r="22" spans="1:19" x14ac:dyDescent="0.25">
      <c r="A22" s="18">
        <v>45949</v>
      </c>
      <c r="B22" s="114">
        <f t="shared" si="0"/>
        <v>0</v>
      </c>
      <c r="C22" s="115"/>
      <c r="D22" s="114">
        <f t="shared" si="1"/>
        <v>0</v>
      </c>
      <c r="E22" s="115"/>
      <c r="F22" s="116">
        <f t="shared" si="2"/>
        <v>0</v>
      </c>
      <c r="G22" s="115"/>
      <c r="H22" s="116">
        <f t="shared" si="2"/>
        <v>0</v>
      </c>
      <c r="I22" s="115"/>
      <c r="J22" s="116">
        <f t="shared" si="2"/>
        <v>0</v>
      </c>
      <c r="K22" s="115"/>
      <c r="L22" s="116">
        <f t="shared" si="2"/>
        <v>0</v>
      </c>
      <c r="M22" s="117"/>
      <c r="N22" s="118"/>
      <c r="O22" s="119"/>
      <c r="P22" s="120"/>
      <c r="Q22" s="121"/>
      <c r="R22" s="120"/>
      <c r="S22" s="121"/>
    </row>
    <row r="23" spans="1:19" x14ac:dyDescent="0.25">
      <c r="A23" s="18">
        <v>45950</v>
      </c>
      <c r="B23" s="35">
        <f t="shared" si="0"/>
        <v>7.3012499999999996</v>
      </c>
      <c r="C23" s="27">
        <v>58.41</v>
      </c>
      <c r="D23" s="35">
        <f t="shared" si="1"/>
        <v>7.3012499999999996</v>
      </c>
      <c r="E23" s="87">
        <v>58.41</v>
      </c>
      <c r="F23" s="23">
        <f t="shared" si="2"/>
        <v>0</v>
      </c>
      <c r="G23" s="98">
        <v>0</v>
      </c>
      <c r="H23" s="23">
        <f t="shared" si="2"/>
        <v>0</v>
      </c>
      <c r="I23" s="98">
        <v>0</v>
      </c>
      <c r="J23" s="23">
        <f t="shared" si="2"/>
        <v>0</v>
      </c>
      <c r="K23" s="98">
        <v>0</v>
      </c>
      <c r="L23" s="23">
        <f t="shared" si="2"/>
        <v>0</v>
      </c>
      <c r="M23" s="109">
        <v>0</v>
      </c>
      <c r="N23" s="105"/>
      <c r="O23" s="25"/>
      <c r="P23" s="24">
        <v>1</v>
      </c>
      <c r="Q23" s="37">
        <v>9</v>
      </c>
      <c r="R23" s="24"/>
      <c r="S23" s="37"/>
    </row>
    <row r="24" spans="1:19" x14ac:dyDescent="0.25">
      <c r="A24" s="18">
        <v>45951</v>
      </c>
      <c r="B24" s="35">
        <f t="shared" si="0"/>
        <v>8.6999999999999993</v>
      </c>
      <c r="C24" s="27">
        <v>69.599999999999994</v>
      </c>
      <c r="D24" s="35">
        <f t="shared" si="1"/>
        <v>5.8</v>
      </c>
      <c r="E24" s="87">
        <v>46.4</v>
      </c>
      <c r="F24" s="23">
        <f t="shared" si="2"/>
        <v>0</v>
      </c>
      <c r="G24" s="98">
        <v>0</v>
      </c>
      <c r="H24" s="23">
        <f t="shared" si="2"/>
        <v>0</v>
      </c>
      <c r="I24" s="98">
        <v>0</v>
      </c>
      <c r="J24" s="23">
        <f t="shared" si="2"/>
        <v>0</v>
      </c>
      <c r="K24" s="98">
        <v>0</v>
      </c>
      <c r="L24" s="23">
        <f t="shared" si="2"/>
        <v>0</v>
      </c>
      <c r="M24" s="109">
        <v>0</v>
      </c>
      <c r="N24" s="105"/>
      <c r="O24" s="25"/>
      <c r="P24" s="24">
        <v>1</v>
      </c>
      <c r="Q24" s="37">
        <v>9</v>
      </c>
      <c r="R24" s="24"/>
      <c r="S24" s="37"/>
    </row>
    <row r="25" spans="1:19" x14ac:dyDescent="0.25">
      <c r="A25" s="18">
        <v>45952</v>
      </c>
      <c r="B25" s="35">
        <f t="shared" si="0"/>
        <v>8.2874999999999996</v>
      </c>
      <c r="C25" s="27">
        <v>66.3</v>
      </c>
      <c r="D25" s="35">
        <f t="shared" si="1"/>
        <v>4.4625000000000004</v>
      </c>
      <c r="E25" s="87">
        <v>35.700000000000003</v>
      </c>
      <c r="F25" s="23">
        <f t="shared" si="2"/>
        <v>0</v>
      </c>
      <c r="G25" s="98">
        <v>0</v>
      </c>
      <c r="H25" s="23">
        <f t="shared" si="2"/>
        <v>0.75</v>
      </c>
      <c r="I25" s="98">
        <v>6</v>
      </c>
      <c r="J25" s="23">
        <f t="shared" si="2"/>
        <v>0</v>
      </c>
      <c r="K25" s="98">
        <v>0</v>
      </c>
      <c r="L25" s="23">
        <f t="shared" si="2"/>
        <v>0</v>
      </c>
      <c r="M25" s="109">
        <v>0</v>
      </c>
      <c r="N25" s="105"/>
      <c r="O25" s="25"/>
      <c r="P25" s="24">
        <v>1</v>
      </c>
      <c r="Q25" s="37">
        <v>9</v>
      </c>
      <c r="R25" s="24"/>
      <c r="S25" s="37"/>
    </row>
    <row r="26" spans="1:19" ht="15" customHeight="1" x14ac:dyDescent="0.25">
      <c r="A26" s="18">
        <v>45953</v>
      </c>
      <c r="B26" s="35">
        <f t="shared" si="0"/>
        <v>4.05</v>
      </c>
      <c r="C26" s="27">
        <v>32.4</v>
      </c>
      <c r="D26" s="35">
        <f t="shared" si="1"/>
        <v>9.4499999999999993</v>
      </c>
      <c r="E26" s="87">
        <v>75.599999999999994</v>
      </c>
      <c r="F26" s="23">
        <f t="shared" si="2"/>
        <v>0</v>
      </c>
      <c r="G26" s="98">
        <v>0</v>
      </c>
      <c r="H26" s="23">
        <f t="shared" si="2"/>
        <v>0</v>
      </c>
      <c r="I26" s="98">
        <v>0</v>
      </c>
      <c r="J26" s="23">
        <f t="shared" si="2"/>
        <v>0</v>
      </c>
      <c r="K26" s="98">
        <v>0</v>
      </c>
      <c r="L26" s="23">
        <f t="shared" si="2"/>
        <v>0</v>
      </c>
      <c r="M26" s="109">
        <v>0</v>
      </c>
      <c r="N26" s="57"/>
      <c r="O26" s="24"/>
      <c r="P26" s="24">
        <v>1</v>
      </c>
      <c r="Q26" s="37">
        <v>9</v>
      </c>
      <c r="R26" s="24"/>
      <c r="S26" s="37"/>
    </row>
    <row r="27" spans="1:19" ht="15" customHeight="1" x14ac:dyDescent="0.25">
      <c r="A27" s="18">
        <v>45954</v>
      </c>
      <c r="B27" s="35">
        <f t="shared" si="0"/>
        <v>4.4000000000000004</v>
      </c>
      <c r="C27" s="27">
        <v>35.200000000000003</v>
      </c>
      <c r="D27" s="35">
        <f t="shared" si="1"/>
        <v>6.6</v>
      </c>
      <c r="E27" s="87">
        <v>52.8</v>
      </c>
      <c r="F27" s="23">
        <f t="shared" si="2"/>
        <v>0</v>
      </c>
      <c r="G27" s="98">
        <v>0</v>
      </c>
      <c r="H27" s="23">
        <f t="shared" si="2"/>
        <v>0</v>
      </c>
      <c r="I27" s="98">
        <v>0</v>
      </c>
      <c r="J27" s="23">
        <f t="shared" si="2"/>
        <v>0</v>
      </c>
      <c r="K27" s="98">
        <v>0</v>
      </c>
      <c r="L27" s="23">
        <f t="shared" si="2"/>
        <v>0</v>
      </c>
      <c r="M27" s="109">
        <v>0</v>
      </c>
      <c r="N27" s="21"/>
      <c r="O27" s="24"/>
      <c r="P27" s="24">
        <v>1</v>
      </c>
      <c r="Q27" s="37">
        <v>8</v>
      </c>
      <c r="R27" s="24"/>
      <c r="S27" s="37"/>
    </row>
    <row r="28" spans="1:19" ht="15" customHeight="1" x14ac:dyDescent="0.25">
      <c r="A28" s="18">
        <v>45955</v>
      </c>
      <c r="B28" s="114">
        <f t="shared" ref="B28" si="21">C28/8</f>
        <v>0</v>
      </c>
      <c r="C28" s="115"/>
      <c r="D28" s="114">
        <f t="shared" ref="D28" si="22">E28/8</f>
        <v>0</v>
      </c>
      <c r="E28" s="115"/>
      <c r="F28" s="116">
        <f t="shared" ref="F28" si="23">G28/8</f>
        <v>0</v>
      </c>
      <c r="G28" s="115"/>
      <c r="H28" s="116">
        <f t="shared" ref="H28" si="24">I28/8</f>
        <v>0</v>
      </c>
      <c r="I28" s="115"/>
      <c r="J28" s="116">
        <f t="shared" ref="J28" si="25">K28/8</f>
        <v>0</v>
      </c>
      <c r="K28" s="115"/>
      <c r="L28" s="116">
        <f t="shared" ref="L28" si="26">M28/8</f>
        <v>0</v>
      </c>
      <c r="M28" s="117"/>
      <c r="N28" s="118"/>
      <c r="O28" s="119"/>
      <c r="P28" s="120"/>
      <c r="Q28" s="121"/>
      <c r="R28" s="120"/>
      <c r="S28" s="121"/>
    </row>
    <row r="29" spans="1:19" x14ac:dyDescent="0.25">
      <c r="A29" s="18">
        <v>45956</v>
      </c>
      <c r="B29" s="114">
        <f t="shared" si="0"/>
        <v>0</v>
      </c>
      <c r="C29" s="115"/>
      <c r="D29" s="114">
        <f t="shared" si="1"/>
        <v>0</v>
      </c>
      <c r="E29" s="115"/>
      <c r="F29" s="116">
        <f t="shared" si="2"/>
        <v>0</v>
      </c>
      <c r="G29" s="115"/>
      <c r="H29" s="116">
        <f t="shared" si="2"/>
        <v>0</v>
      </c>
      <c r="I29" s="115"/>
      <c r="J29" s="116">
        <f t="shared" si="2"/>
        <v>0</v>
      </c>
      <c r="K29" s="115"/>
      <c r="L29" s="116">
        <f t="shared" si="2"/>
        <v>0</v>
      </c>
      <c r="M29" s="117"/>
      <c r="N29" s="118"/>
      <c r="O29" s="119"/>
      <c r="P29" s="120"/>
      <c r="Q29" s="121"/>
      <c r="R29" s="120"/>
      <c r="S29" s="121"/>
    </row>
    <row r="30" spans="1:19" x14ac:dyDescent="0.25">
      <c r="A30" s="18">
        <v>45957</v>
      </c>
      <c r="B30" s="35">
        <f t="shared" ref="B30:B33" si="27">C30/8</f>
        <v>4.95</v>
      </c>
      <c r="C30" s="27">
        <v>39.6</v>
      </c>
      <c r="D30" s="35">
        <f t="shared" ref="D30:D33" si="28">E30/8</f>
        <v>7.4249999999999998</v>
      </c>
      <c r="E30" s="87">
        <v>59.4</v>
      </c>
      <c r="F30" s="23">
        <f t="shared" ref="F30:F33" si="29">G30/8</f>
        <v>0</v>
      </c>
      <c r="G30" s="98">
        <v>0</v>
      </c>
      <c r="H30" s="23">
        <f t="shared" ref="H30:H33" si="30">I30/8</f>
        <v>0</v>
      </c>
      <c r="I30" s="98">
        <v>0</v>
      </c>
      <c r="J30" s="23">
        <f t="shared" ref="J30:J33" si="31">K30/8</f>
        <v>0</v>
      </c>
      <c r="K30" s="98">
        <v>0</v>
      </c>
      <c r="L30" s="23">
        <f t="shared" ref="L30:L33" si="32">M30/8</f>
        <v>0</v>
      </c>
      <c r="M30" s="109">
        <v>0</v>
      </c>
      <c r="N30" s="105"/>
      <c r="O30" s="25"/>
      <c r="P30" s="24">
        <v>1</v>
      </c>
      <c r="Q30" s="37">
        <v>9</v>
      </c>
      <c r="R30" s="24"/>
      <c r="S30" s="37"/>
    </row>
    <row r="31" spans="1:19" x14ac:dyDescent="0.25">
      <c r="A31" s="18">
        <v>45958</v>
      </c>
      <c r="B31" s="35">
        <f t="shared" si="27"/>
        <v>5.625</v>
      </c>
      <c r="C31" s="27">
        <v>45</v>
      </c>
      <c r="D31" s="35">
        <f t="shared" si="28"/>
        <v>5.625</v>
      </c>
      <c r="E31" s="87">
        <v>45</v>
      </c>
      <c r="F31" s="23">
        <f t="shared" si="29"/>
        <v>0</v>
      </c>
      <c r="G31" s="98">
        <v>0</v>
      </c>
      <c r="H31" s="23">
        <f t="shared" si="30"/>
        <v>0</v>
      </c>
      <c r="I31" s="98">
        <v>0</v>
      </c>
      <c r="J31" s="23">
        <f t="shared" si="31"/>
        <v>0</v>
      </c>
      <c r="K31" s="98">
        <v>0</v>
      </c>
      <c r="L31" s="23">
        <f t="shared" si="32"/>
        <v>0</v>
      </c>
      <c r="M31" s="109">
        <v>0</v>
      </c>
      <c r="N31" s="105"/>
      <c r="O31" s="25"/>
      <c r="P31" s="24">
        <v>1</v>
      </c>
      <c r="Q31" s="37">
        <v>9</v>
      </c>
      <c r="R31" s="24"/>
      <c r="S31" s="37"/>
    </row>
    <row r="32" spans="1:19" x14ac:dyDescent="0.25">
      <c r="A32" s="18">
        <v>45959</v>
      </c>
      <c r="B32" s="35">
        <f t="shared" si="27"/>
        <v>6.53125</v>
      </c>
      <c r="C32" s="27">
        <v>52.25</v>
      </c>
      <c r="D32" s="35">
        <f t="shared" si="28"/>
        <v>6.53125</v>
      </c>
      <c r="E32" s="87">
        <v>52.25</v>
      </c>
      <c r="F32" s="23">
        <f t="shared" si="29"/>
        <v>0</v>
      </c>
      <c r="G32" s="98">
        <v>0</v>
      </c>
      <c r="H32" s="23">
        <f t="shared" si="30"/>
        <v>0</v>
      </c>
      <c r="I32" s="98">
        <v>0</v>
      </c>
      <c r="J32" s="23">
        <f t="shared" si="31"/>
        <v>0</v>
      </c>
      <c r="K32" s="98">
        <v>0</v>
      </c>
      <c r="L32" s="23">
        <f t="shared" si="32"/>
        <v>0</v>
      </c>
      <c r="M32" s="109">
        <v>0</v>
      </c>
      <c r="N32" s="105"/>
      <c r="O32" s="25"/>
      <c r="P32" s="24">
        <v>1</v>
      </c>
      <c r="Q32" s="37">
        <v>9</v>
      </c>
      <c r="R32" s="24"/>
      <c r="S32" s="37"/>
    </row>
    <row r="33" spans="1:19" x14ac:dyDescent="0.25">
      <c r="A33" s="18">
        <v>45960</v>
      </c>
      <c r="B33" s="35">
        <f t="shared" si="27"/>
        <v>6.75</v>
      </c>
      <c r="C33" s="27">
        <v>54</v>
      </c>
      <c r="D33" s="35">
        <f t="shared" si="28"/>
        <v>6.75</v>
      </c>
      <c r="E33" s="87">
        <v>54</v>
      </c>
      <c r="F33" s="23">
        <f t="shared" si="29"/>
        <v>0</v>
      </c>
      <c r="G33" s="98">
        <v>0</v>
      </c>
      <c r="H33" s="23">
        <f t="shared" si="30"/>
        <v>0</v>
      </c>
      <c r="I33" s="98">
        <v>0</v>
      </c>
      <c r="J33" s="23">
        <f t="shared" si="31"/>
        <v>0</v>
      </c>
      <c r="K33" s="98">
        <v>0</v>
      </c>
      <c r="L33" s="23">
        <f t="shared" si="32"/>
        <v>0</v>
      </c>
      <c r="M33" s="109">
        <v>0</v>
      </c>
      <c r="N33" s="105"/>
      <c r="O33" s="25"/>
      <c r="P33" s="24">
        <v>1</v>
      </c>
      <c r="Q33" s="37">
        <v>9</v>
      </c>
      <c r="R33" s="24"/>
      <c r="S33" s="37"/>
    </row>
    <row r="34" spans="1:19" ht="15.75" thickBot="1" x14ac:dyDescent="0.3">
      <c r="A34" s="18">
        <v>45961</v>
      </c>
      <c r="B34" s="35">
        <f t="shared" si="0"/>
        <v>6.6687500000000002</v>
      </c>
      <c r="C34" s="27">
        <v>53.35</v>
      </c>
      <c r="D34" s="35">
        <f t="shared" si="1"/>
        <v>5.4562499999999998</v>
      </c>
      <c r="E34" s="87">
        <v>43.65</v>
      </c>
      <c r="F34" s="23">
        <f t="shared" si="2"/>
        <v>0</v>
      </c>
      <c r="G34" s="98">
        <v>0</v>
      </c>
      <c r="H34" s="23">
        <f t="shared" si="2"/>
        <v>0</v>
      </c>
      <c r="I34" s="98">
        <v>0</v>
      </c>
      <c r="J34" s="23">
        <f t="shared" si="2"/>
        <v>0</v>
      </c>
      <c r="K34" s="98">
        <v>0</v>
      </c>
      <c r="L34" s="23">
        <f t="shared" si="2"/>
        <v>0</v>
      </c>
      <c r="M34" s="109">
        <v>0</v>
      </c>
      <c r="N34" s="105"/>
      <c r="O34" s="25"/>
      <c r="P34" s="24">
        <v>1</v>
      </c>
      <c r="Q34" s="37">
        <v>8</v>
      </c>
      <c r="R34" s="24"/>
      <c r="S34" s="37"/>
    </row>
    <row r="35" spans="1:19" ht="15.75" thickBot="1" x14ac:dyDescent="0.3">
      <c r="A35" s="58" t="s">
        <v>20</v>
      </c>
      <c r="B35" s="59">
        <f>IFERROR(AVERAGE(B4:B34),0)</f>
        <v>5.019798387096774</v>
      </c>
      <c r="C35" s="60">
        <f>SUM(C4:C34)</f>
        <v>1244.9099999999999</v>
      </c>
      <c r="D35" s="59">
        <f>AVERAGE(D4:D34)</f>
        <v>4.3915725806451622</v>
      </c>
      <c r="E35" s="61">
        <f>SUM(E4:E34)</f>
        <v>1089.1100000000001</v>
      </c>
      <c r="F35" s="62">
        <f>AVERAGE(F4:F34)</f>
        <v>0</v>
      </c>
      <c r="G35" s="63">
        <f>SUM(G4:G34)</f>
        <v>0</v>
      </c>
      <c r="H35" s="62">
        <f>AVERAGE(H4:H34)</f>
        <v>2.4193548387096774E-2</v>
      </c>
      <c r="I35" s="63">
        <f>SUM(I4:I34)</f>
        <v>6</v>
      </c>
      <c r="J35" s="62">
        <f>AVERAGE(J4:J34)</f>
        <v>0</v>
      </c>
      <c r="K35" s="63">
        <f>SUM(K4:K34)</f>
        <v>0</v>
      </c>
      <c r="L35" s="62">
        <f>AVERAGE(L4:L34)</f>
        <v>0</v>
      </c>
      <c r="M35" s="63">
        <f>SUM(M4:M34)</f>
        <v>0</v>
      </c>
      <c r="N35" s="64">
        <f>IFERROR(AVERAGE(N4:N34),0)</f>
        <v>0</v>
      </c>
      <c r="O35" s="65">
        <f>C35+I35+E35+G35+K35+M35</f>
        <v>2340.02</v>
      </c>
      <c r="P35" s="66">
        <f>IFERROR(AVERAGE(P4:P34),0)</f>
        <v>1</v>
      </c>
      <c r="Q35" s="17">
        <f>SUM(Q4:Q34)</f>
        <v>202</v>
      </c>
      <c r="R35" s="66">
        <f>IFERROR(AVERAGE(R4:R34),0)</f>
        <v>0</v>
      </c>
      <c r="S35" s="17">
        <f>SUM(S4:S34)</f>
        <v>0</v>
      </c>
    </row>
    <row r="36" spans="1:19" x14ac:dyDescent="0.25">
      <c r="G36" s="67"/>
      <c r="I36" s="68"/>
      <c r="O36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5"/>
  <sheetViews>
    <sheetView showGridLines="0" zoomScale="85" zoomScaleNormal="85" workbookViewId="0">
      <pane ySplit="3" topLeftCell="A4" activePane="bottomLeft" state="frozen"/>
      <selection pane="bottomLeft" activeCell="O35" sqref="O35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2025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x14ac:dyDescent="0.25">
      <c r="A4" s="18">
        <v>45962</v>
      </c>
      <c r="B4" s="39"/>
      <c r="C4" s="38"/>
      <c r="D4" s="39"/>
      <c r="E4" s="38"/>
      <c r="F4" s="31"/>
      <c r="G4" s="38"/>
      <c r="H4" s="31"/>
      <c r="I4" s="38"/>
      <c r="J4" s="31"/>
      <c r="K4" s="38"/>
      <c r="L4" s="31"/>
      <c r="M4" s="110"/>
      <c r="N4" s="106"/>
      <c r="O4" s="33"/>
      <c r="P4" s="32"/>
      <c r="Q4" s="41"/>
      <c r="R4" s="32"/>
      <c r="S4" s="41"/>
    </row>
    <row r="5" spans="1:19" x14ac:dyDescent="0.25">
      <c r="A5" s="18">
        <v>45963</v>
      </c>
      <c r="B5" s="39"/>
      <c r="C5" s="38"/>
      <c r="D5" s="39"/>
      <c r="E5" s="38"/>
      <c r="F5" s="31"/>
      <c r="G5" s="38"/>
      <c r="H5" s="31"/>
      <c r="I5" s="38"/>
      <c r="J5" s="31"/>
      <c r="K5" s="38"/>
      <c r="L5" s="31"/>
      <c r="M5" s="110"/>
      <c r="N5" s="106"/>
      <c r="O5" s="33"/>
      <c r="P5" s="32"/>
      <c r="Q5" s="41"/>
      <c r="R5" s="32"/>
      <c r="S5" s="41"/>
    </row>
    <row r="6" spans="1:19" x14ac:dyDescent="0.25">
      <c r="A6" s="18">
        <v>45964</v>
      </c>
      <c r="B6" s="35">
        <f t="shared" ref="B6:B27" si="0">C6/8</f>
        <v>5.6187500000000004</v>
      </c>
      <c r="C6" s="27">
        <v>44.95</v>
      </c>
      <c r="D6" s="35">
        <f t="shared" ref="D6:D27" si="1">E6/8</f>
        <v>5.6187500000000004</v>
      </c>
      <c r="E6" s="87">
        <v>44.95</v>
      </c>
      <c r="F6" s="23">
        <f t="shared" ref="F6:L29" si="2">G6/8</f>
        <v>0</v>
      </c>
      <c r="G6" s="98">
        <v>0</v>
      </c>
      <c r="H6" s="23">
        <f t="shared" si="2"/>
        <v>0</v>
      </c>
      <c r="I6" s="98">
        <v>0</v>
      </c>
      <c r="J6" s="23">
        <f t="shared" si="2"/>
        <v>0</v>
      </c>
      <c r="K6" s="98">
        <v>0</v>
      </c>
      <c r="L6" s="23">
        <f t="shared" si="2"/>
        <v>0</v>
      </c>
      <c r="M6" s="109">
        <v>0</v>
      </c>
      <c r="N6" s="105"/>
      <c r="O6" s="25"/>
      <c r="P6" s="24">
        <v>1</v>
      </c>
      <c r="Q6" s="37">
        <v>9</v>
      </c>
      <c r="R6" s="24"/>
      <c r="S6" s="37"/>
    </row>
    <row r="7" spans="1:19" x14ac:dyDescent="0.25">
      <c r="A7" s="18">
        <v>45965</v>
      </c>
      <c r="B7" s="35">
        <f t="shared" si="0"/>
        <v>6.1875</v>
      </c>
      <c r="C7" s="27">
        <v>49.5</v>
      </c>
      <c r="D7" s="35">
        <f t="shared" si="1"/>
        <v>5.6712499999999997</v>
      </c>
      <c r="E7" s="87">
        <v>45.37</v>
      </c>
      <c r="F7" s="23">
        <f t="shared" si="2"/>
        <v>0</v>
      </c>
      <c r="G7" s="98">
        <v>0</v>
      </c>
      <c r="H7" s="23">
        <f t="shared" si="2"/>
        <v>0</v>
      </c>
      <c r="I7" s="98">
        <v>0</v>
      </c>
      <c r="J7" s="23">
        <f t="shared" si="2"/>
        <v>0</v>
      </c>
      <c r="K7" s="98">
        <v>0</v>
      </c>
      <c r="L7" s="23">
        <f t="shared" si="2"/>
        <v>0</v>
      </c>
      <c r="M7" s="109">
        <v>0</v>
      </c>
      <c r="N7" s="105"/>
      <c r="O7" s="25"/>
      <c r="P7" s="24">
        <v>1</v>
      </c>
      <c r="Q7" s="37">
        <v>9</v>
      </c>
      <c r="R7" s="24"/>
      <c r="S7" s="37"/>
    </row>
    <row r="8" spans="1:19" x14ac:dyDescent="0.25">
      <c r="A8" s="18">
        <v>45966</v>
      </c>
      <c r="B8" s="35">
        <f t="shared" si="0"/>
        <v>9.4499999999999993</v>
      </c>
      <c r="C8" s="27">
        <v>75.599999999999994</v>
      </c>
      <c r="D8" s="35">
        <f t="shared" si="1"/>
        <v>6.3</v>
      </c>
      <c r="E8" s="87">
        <v>50.4</v>
      </c>
      <c r="F8" s="23">
        <f t="shared" si="2"/>
        <v>0</v>
      </c>
      <c r="G8" s="98">
        <v>0</v>
      </c>
      <c r="H8" s="23">
        <f t="shared" si="2"/>
        <v>0</v>
      </c>
      <c r="I8" s="98">
        <v>0</v>
      </c>
      <c r="J8" s="23">
        <f t="shared" si="2"/>
        <v>0</v>
      </c>
      <c r="K8" s="98">
        <v>0</v>
      </c>
      <c r="L8" s="23">
        <f t="shared" si="2"/>
        <v>0</v>
      </c>
      <c r="M8" s="109">
        <v>0</v>
      </c>
      <c r="N8" s="105"/>
      <c r="O8" s="25"/>
      <c r="P8" s="24">
        <v>1</v>
      </c>
      <c r="Q8" s="37">
        <v>9</v>
      </c>
      <c r="R8" s="24"/>
      <c r="S8" s="37"/>
    </row>
    <row r="9" spans="1:19" x14ac:dyDescent="0.25">
      <c r="A9" s="18">
        <v>45967</v>
      </c>
      <c r="B9" s="35">
        <f t="shared" si="0"/>
        <v>8.9625000000000004</v>
      </c>
      <c r="C9" s="27">
        <v>71.7</v>
      </c>
      <c r="D9" s="35">
        <f t="shared" si="1"/>
        <v>5.9749999999999996</v>
      </c>
      <c r="E9" s="87">
        <v>47.8</v>
      </c>
      <c r="F9" s="23">
        <f t="shared" si="2"/>
        <v>0</v>
      </c>
      <c r="G9" s="98">
        <v>0</v>
      </c>
      <c r="H9" s="23">
        <f t="shared" si="2"/>
        <v>0</v>
      </c>
      <c r="I9" s="98">
        <v>0</v>
      </c>
      <c r="J9" s="23">
        <f t="shared" si="2"/>
        <v>0</v>
      </c>
      <c r="K9" s="98">
        <v>0</v>
      </c>
      <c r="L9" s="23">
        <f t="shared" si="2"/>
        <v>0</v>
      </c>
      <c r="M9" s="109">
        <v>0</v>
      </c>
      <c r="N9" s="105"/>
      <c r="O9" s="25"/>
      <c r="P9" s="24">
        <v>1</v>
      </c>
      <c r="Q9" s="37">
        <v>9</v>
      </c>
      <c r="R9" s="24"/>
      <c r="S9" s="37"/>
    </row>
    <row r="10" spans="1:19" x14ac:dyDescent="0.25">
      <c r="A10" s="18">
        <v>45968</v>
      </c>
      <c r="B10" s="35">
        <f t="shared" si="0"/>
        <v>5.6</v>
      </c>
      <c r="C10" s="27">
        <v>44.8</v>
      </c>
      <c r="D10" s="35">
        <f t="shared" si="1"/>
        <v>8.4</v>
      </c>
      <c r="E10" s="87">
        <v>67.2</v>
      </c>
      <c r="F10" s="23">
        <f t="shared" si="2"/>
        <v>0</v>
      </c>
      <c r="G10" s="98">
        <v>0</v>
      </c>
      <c r="H10" s="23">
        <f t="shared" si="2"/>
        <v>0</v>
      </c>
      <c r="I10" s="98">
        <v>0</v>
      </c>
      <c r="J10" s="23">
        <f t="shared" si="2"/>
        <v>0</v>
      </c>
      <c r="K10" s="98">
        <v>0</v>
      </c>
      <c r="L10" s="23">
        <f t="shared" si="2"/>
        <v>0</v>
      </c>
      <c r="M10" s="109">
        <v>0</v>
      </c>
      <c r="N10" s="105"/>
      <c r="O10" s="25"/>
      <c r="P10" s="24">
        <v>1</v>
      </c>
      <c r="Q10" s="37">
        <v>8</v>
      </c>
      <c r="R10" s="24"/>
      <c r="S10" s="37"/>
    </row>
    <row r="11" spans="1:19" x14ac:dyDescent="0.25">
      <c r="A11" s="18">
        <v>45969</v>
      </c>
      <c r="B11" s="114"/>
      <c r="C11" s="115"/>
      <c r="D11" s="114"/>
      <c r="E11" s="115"/>
      <c r="F11" s="116"/>
      <c r="G11" s="115"/>
      <c r="H11" s="116"/>
      <c r="I11" s="115"/>
      <c r="J11" s="116"/>
      <c r="K11" s="115"/>
      <c r="L11" s="116"/>
      <c r="M11" s="117"/>
      <c r="N11" s="118"/>
      <c r="O11" s="119"/>
      <c r="P11" s="120"/>
      <c r="Q11" s="121"/>
      <c r="R11" s="120"/>
      <c r="S11" s="121"/>
    </row>
    <row r="12" spans="1:19" x14ac:dyDescent="0.25">
      <c r="A12" s="18">
        <v>45970</v>
      </c>
      <c r="B12" s="114"/>
      <c r="C12" s="115"/>
      <c r="D12" s="114"/>
      <c r="E12" s="115"/>
      <c r="F12" s="116"/>
      <c r="G12" s="115"/>
      <c r="H12" s="116"/>
      <c r="I12" s="115"/>
      <c r="J12" s="116"/>
      <c r="K12" s="115"/>
      <c r="L12" s="116"/>
      <c r="M12" s="117"/>
      <c r="N12" s="118"/>
      <c r="O12" s="119"/>
      <c r="P12" s="120"/>
      <c r="Q12" s="121"/>
      <c r="R12" s="120"/>
      <c r="S12" s="121"/>
    </row>
    <row r="13" spans="1:19" x14ac:dyDescent="0.25">
      <c r="A13" s="18">
        <v>45971</v>
      </c>
      <c r="B13" s="35">
        <f t="shared" si="0"/>
        <v>8.7750000000000004</v>
      </c>
      <c r="C13" s="27">
        <v>70.2</v>
      </c>
      <c r="D13" s="35">
        <f t="shared" si="1"/>
        <v>5.85</v>
      </c>
      <c r="E13" s="87">
        <v>46.8</v>
      </c>
      <c r="F13" s="23">
        <f t="shared" si="2"/>
        <v>0</v>
      </c>
      <c r="G13" s="98">
        <v>0</v>
      </c>
      <c r="H13" s="23">
        <f t="shared" si="2"/>
        <v>0</v>
      </c>
      <c r="I13" s="98">
        <v>0</v>
      </c>
      <c r="J13" s="23">
        <f t="shared" si="2"/>
        <v>0</v>
      </c>
      <c r="K13" s="98">
        <v>0</v>
      </c>
      <c r="L13" s="23">
        <f t="shared" si="2"/>
        <v>0</v>
      </c>
      <c r="M13" s="109">
        <v>0</v>
      </c>
      <c r="N13" s="105"/>
      <c r="O13" s="25"/>
      <c r="P13" s="24">
        <v>1</v>
      </c>
      <c r="Q13" s="37">
        <v>9</v>
      </c>
      <c r="R13" s="24"/>
      <c r="S13" s="37"/>
    </row>
    <row r="14" spans="1:19" x14ac:dyDescent="0.25">
      <c r="A14" s="18">
        <v>45972</v>
      </c>
      <c r="B14" s="114"/>
      <c r="C14" s="115"/>
      <c r="D14" s="114"/>
      <c r="E14" s="115"/>
      <c r="F14" s="116"/>
      <c r="G14" s="115"/>
      <c r="H14" s="116"/>
      <c r="I14" s="115"/>
      <c r="J14" s="116"/>
      <c r="K14" s="115"/>
      <c r="L14" s="116"/>
      <c r="M14" s="117"/>
      <c r="N14" s="118"/>
      <c r="O14" s="119"/>
      <c r="P14" s="120"/>
      <c r="Q14" s="121"/>
      <c r="R14" s="120"/>
      <c r="S14" s="121"/>
    </row>
    <row r="15" spans="1:19" x14ac:dyDescent="0.25">
      <c r="A15" s="18">
        <v>45973</v>
      </c>
      <c r="B15" s="35">
        <f t="shared" si="0"/>
        <v>7.3125</v>
      </c>
      <c r="C15" s="27">
        <v>58.5</v>
      </c>
      <c r="D15" s="35">
        <f t="shared" si="1"/>
        <v>7.3125</v>
      </c>
      <c r="E15" s="87">
        <v>58.5</v>
      </c>
      <c r="F15" s="23">
        <f t="shared" si="2"/>
        <v>3</v>
      </c>
      <c r="G15" s="98">
        <v>24</v>
      </c>
      <c r="H15" s="23">
        <f t="shared" si="2"/>
        <v>0</v>
      </c>
      <c r="I15" s="98">
        <v>0</v>
      </c>
      <c r="J15" s="23">
        <f t="shared" si="2"/>
        <v>0</v>
      </c>
      <c r="K15" s="98">
        <v>0</v>
      </c>
      <c r="L15" s="23">
        <f t="shared" si="2"/>
        <v>0</v>
      </c>
      <c r="M15" s="109">
        <v>0</v>
      </c>
      <c r="N15" s="105"/>
      <c r="O15" s="25"/>
      <c r="P15" s="24">
        <v>1</v>
      </c>
      <c r="Q15" s="37">
        <v>9</v>
      </c>
      <c r="R15" s="24"/>
      <c r="S15" s="37"/>
    </row>
    <row r="16" spans="1:19" x14ac:dyDescent="0.25">
      <c r="A16" s="18">
        <v>45974</v>
      </c>
      <c r="B16" s="35">
        <f t="shared" si="0"/>
        <v>8.7750000000000004</v>
      </c>
      <c r="C16" s="27">
        <v>70.2</v>
      </c>
      <c r="D16" s="35">
        <f t="shared" si="1"/>
        <v>5.85</v>
      </c>
      <c r="E16" s="87">
        <v>46.8</v>
      </c>
      <c r="F16" s="23">
        <f t="shared" si="2"/>
        <v>2.96875</v>
      </c>
      <c r="G16" s="21">
        <v>23.75</v>
      </c>
      <c r="H16" s="23">
        <f t="shared" si="2"/>
        <v>0</v>
      </c>
      <c r="I16" s="21">
        <v>0</v>
      </c>
      <c r="J16" s="23">
        <f t="shared" si="2"/>
        <v>0</v>
      </c>
      <c r="K16" s="21">
        <v>0</v>
      </c>
      <c r="L16" s="23">
        <f t="shared" si="2"/>
        <v>0</v>
      </c>
      <c r="M16" s="109">
        <v>0</v>
      </c>
      <c r="N16" s="105"/>
      <c r="O16" s="25"/>
      <c r="P16" s="24">
        <v>1</v>
      </c>
      <c r="Q16" s="37">
        <v>9</v>
      </c>
      <c r="R16" s="24"/>
      <c r="S16" s="37"/>
    </row>
    <row r="17" spans="1:19" x14ac:dyDescent="0.25">
      <c r="A17" s="18">
        <v>45975</v>
      </c>
      <c r="B17" s="35">
        <f t="shared" si="0"/>
        <v>6.5</v>
      </c>
      <c r="C17" s="27">
        <v>52</v>
      </c>
      <c r="D17" s="35">
        <f t="shared" si="1"/>
        <v>6.5</v>
      </c>
      <c r="E17" s="87">
        <v>52</v>
      </c>
      <c r="F17" s="23">
        <f t="shared" si="2"/>
        <v>2</v>
      </c>
      <c r="G17" s="98">
        <v>16</v>
      </c>
      <c r="H17" s="23">
        <f t="shared" si="2"/>
        <v>0</v>
      </c>
      <c r="I17" s="98">
        <v>0</v>
      </c>
      <c r="J17" s="23">
        <f t="shared" si="2"/>
        <v>0</v>
      </c>
      <c r="K17" s="98">
        <v>0</v>
      </c>
      <c r="L17" s="23">
        <f t="shared" si="2"/>
        <v>0</v>
      </c>
      <c r="M17" s="109">
        <v>0</v>
      </c>
      <c r="N17" s="105"/>
      <c r="O17" s="25"/>
      <c r="P17" s="24">
        <v>1</v>
      </c>
      <c r="Q17" s="37">
        <v>8</v>
      </c>
      <c r="R17" s="24"/>
      <c r="S17" s="37"/>
    </row>
    <row r="18" spans="1:19" x14ac:dyDescent="0.25">
      <c r="A18" s="18">
        <v>45976</v>
      </c>
      <c r="B18" s="114"/>
      <c r="C18" s="115"/>
      <c r="D18" s="114"/>
      <c r="E18" s="115"/>
      <c r="F18" s="116"/>
      <c r="G18" s="115"/>
      <c r="H18" s="116"/>
      <c r="I18" s="115"/>
      <c r="J18" s="116"/>
      <c r="K18" s="115"/>
      <c r="L18" s="116"/>
      <c r="M18" s="117"/>
      <c r="N18" s="118"/>
      <c r="O18" s="119"/>
      <c r="P18" s="120"/>
      <c r="Q18" s="121"/>
      <c r="R18" s="120"/>
      <c r="S18" s="121"/>
    </row>
    <row r="19" spans="1:19" x14ac:dyDescent="0.25">
      <c r="A19" s="18">
        <v>45977</v>
      </c>
      <c r="B19" s="114"/>
      <c r="C19" s="115"/>
      <c r="D19" s="114"/>
      <c r="E19" s="115"/>
      <c r="F19" s="116"/>
      <c r="G19" s="115"/>
      <c r="H19" s="116"/>
      <c r="I19" s="115"/>
      <c r="J19" s="116"/>
      <c r="K19" s="115"/>
      <c r="L19" s="116"/>
      <c r="M19" s="117"/>
      <c r="N19" s="118"/>
      <c r="O19" s="119"/>
      <c r="P19" s="120"/>
      <c r="Q19" s="121"/>
      <c r="R19" s="120"/>
      <c r="S19" s="121"/>
    </row>
    <row r="20" spans="1:19" x14ac:dyDescent="0.25">
      <c r="A20" s="18">
        <v>45978</v>
      </c>
      <c r="B20" s="35">
        <f t="shared" si="0"/>
        <v>9.4499999999999993</v>
      </c>
      <c r="C20" s="27">
        <v>75.599999999999994</v>
      </c>
      <c r="D20" s="35">
        <f t="shared" si="1"/>
        <v>6.3</v>
      </c>
      <c r="E20" s="87">
        <v>50.4</v>
      </c>
      <c r="F20" s="23">
        <f t="shared" si="2"/>
        <v>2</v>
      </c>
      <c r="G20" s="98">
        <v>16</v>
      </c>
      <c r="H20" s="23">
        <f t="shared" si="2"/>
        <v>0</v>
      </c>
      <c r="I20" s="98">
        <v>0</v>
      </c>
      <c r="J20" s="23">
        <f t="shared" si="2"/>
        <v>0</v>
      </c>
      <c r="K20" s="98">
        <v>0</v>
      </c>
      <c r="L20" s="23">
        <f t="shared" si="2"/>
        <v>0</v>
      </c>
      <c r="M20" s="109">
        <v>0</v>
      </c>
      <c r="N20" s="105"/>
      <c r="O20" s="25"/>
      <c r="P20" s="24">
        <v>1</v>
      </c>
      <c r="Q20" s="37">
        <v>9</v>
      </c>
      <c r="R20" s="24"/>
      <c r="S20" s="37"/>
    </row>
    <row r="21" spans="1:19" x14ac:dyDescent="0.25">
      <c r="A21" s="18">
        <v>45979</v>
      </c>
      <c r="B21" s="35">
        <f t="shared" si="0"/>
        <v>7.625</v>
      </c>
      <c r="C21" s="27">
        <v>61</v>
      </c>
      <c r="D21" s="35">
        <f t="shared" si="1"/>
        <v>7.78125</v>
      </c>
      <c r="E21" s="87">
        <v>62.25</v>
      </c>
      <c r="F21" s="23">
        <f t="shared" si="2"/>
        <v>2</v>
      </c>
      <c r="G21" s="98">
        <v>16</v>
      </c>
      <c r="H21" s="23">
        <f t="shared" si="2"/>
        <v>0</v>
      </c>
      <c r="I21" s="98">
        <v>0</v>
      </c>
      <c r="J21" s="23">
        <f t="shared" si="2"/>
        <v>0</v>
      </c>
      <c r="K21" s="98">
        <v>0</v>
      </c>
      <c r="L21" s="23">
        <f t="shared" si="2"/>
        <v>0</v>
      </c>
      <c r="M21" s="109">
        <v>0</v>
      </c>
      <c r="N21" s="105"/>
      <c r="O21" s="25"/>
      <c r="P21" s="24">
        <v>1</v>
      </c>
      <c r="Q21" s="37">
        <v>9</v>
      </c>
      <c r="R21" s="24"/>
      <c r="S21" s="37"/>
    </row>
    <row r="22" spans="1:19" x14ac:dyDescent="0.25">
      <c r="A22" s="18">
        <v>45980</v>
      </c>
      <c r="B22" s="35">
        <f t="shared" si="0"/>
        <v>7.875</v>
      </c>
      <c r="C22" s="27">
        <v>63</v>
      </c>
      <c r="D22" s="35">
        <f t="shared" si="1"/>
        <v>7.875</v>
      </c>
      <c r="E22" s="87">
        <v>63</v>
      </c>
      <c r="F22" s="23">
        <f t="shared" si="2"/>
        <v>2</v>
      </c>
      <c r="G22" s="98">
        <v>16</v>
      </c>
      <c r="H22" s="23">
        <f t="shared" si="2"/>
        <v>0</v>
      </c>
      <c r="I22" s="98">
        <v>0</v>
      </c>
      <c r="J22" s="23">
        <f t="shared" si="2"/>
        <v>0</v>
      </c>
      <c r="K22" s="98">
        <v>0</v>
      </c>
      <c r="L22" s="23">
        <f t="shared" si="2"/>
        <v>0</v>
      </c>
      <c r="M22" s="109">
        <v>0</v>
      </c>
      <c r="N22" s="105"/>
      <c r="O22" s="25"/>
      <c r="P22" s="24">
        <v>1</v>
      </c>
      <c r="Q22" s="37">
        <v>9</v>
      </c>
      <c r="R22" s="24"/>
      <c r="S22" s="37"/>
    </row>
    <row r="23" spans="1:19" ht="15" customHeight="1" x14ac:dyDescent="0.25">
      <c r="A23" s="18">
        <v>45981</v>
      </c>
      <c r="B23" s="35">
        <f t="shared" si="0"/>
        <v>9.4499999999999993</v>
      </c>
      <c r="C23" s="27">
        <v>75.599999999999994</v>
      </c>
      <c r="D23" s="35">
        <f t="shared" si="1"/>
        <v>6.3</v>
      </c>
      <c r="E23" s="87">
        <v>50.4</v>
      </c>
      <c r="F23" s="23">
        <f t="shared" si="2"/>
        <v>1</v>
      </c>
      <c r="G23" s="98">
        <v>8</v>
      </c>
      <c r="H23" s="23">
        <f t="shared" si="2"/>
        <v>0</v>
      </c>
      <c r="I23" s="98">
        <v>0</v>
      </c>
      <c r="J23" s="23">
        <f t="shared" si="2"/>
        <v>0</v>
      </c>
      <c r="K23" s="98">
        <v>0</v>
      </c>
      <c r="L23" s="23">
        <f t="shared" si="2"/>
        <v>0</v>
      </c>
      <c r="M23" s="109">
        <v>0</v>
      </c>
      <c r="N23" s="57"/>
      <c r="O23" s="24"/>
      <c r="P23" s="24">
        <v>1</v>
      </c>
      <c r="Q23" s="37">
        <v>9</v>
      </c>
      <c r="R23" s="24"/>
      <c r="S23" s="37"/>
    </row>
    <row r="24" spans="1:19" ht="15" customHeight="1" x14ac:dyDescent="0.25">
      <c r="A24" s="18">
        <v>45982</v>
      </c>
      <c r="B24" s="35">
        <f t="shared" si="0"/>
        <v>7</v>
      </c>
      <c r="C24" s="27">
        <v>56</v>
      </c>
      <c r="D24" s="35">
        <f t="shared" si="1"/>
        <v>7</v>
      </c>
      <c r="E24" s="87">
        <v>56</v>
      </c>
      <c r="F24" s="23">
        <f t="shared" si="2"/>
        <v>1</v>
      </c>
      <c r="G24" s="98">
        <v>8</v>
      </c>
      <c r="H24" s="23">
        <f t="shared" si="2"/>
        <v>0</v>
      </c>
      <c r="I24" s="98">
        <v>0</v>
      </c>
      <c r="J24" s="23">
        <f t="shared" si="2"/>
        <v>0</v>
      </c>
      <c r="K24" s="98">
        <v>0</v>
      </c>
      <c r="L24" s="23">
        <f t="shared" si="2"/>
        <v>0</v>
      </c>
      <c r="M24" s="109">
        <v>0</v>
      </c>
      <c r="N24" s="21"/>
      <c r="O24" s="24"/>
      <c r="P24" s="24">
        <v>1</v>
      </c>
      <c r="Q24" s="37">
        <v>8</v>
      </c>
      <c r="R24" s="24"/>
      <c r="S24" s="37"/>
    </row>
    <row r="25" spans="1:19" ht="15" customHeight="1" x14ac:dyDescent="0.25">
      <c r="A25" s="18">
        <v>45983</v>
      </c>
      <c r="B25" s="114"/>
      <c r="C25" s="115"/>
      <c r="D25" s="114"/>
      <c r="E25" s="115"/>
      <c r="F25" s="116"/>
      <c r="G25" s="115"/>
      <c r="H25" s="116"/>
      <c r="I25" s="115"/>
      <c r="J25" s="116"/>
      <c r="K25" s="115"/>
      <c r="L25" s="116"/>
      <c r="M25" s="117"/>
      <c r="N25" s="118"/>
      <c r="O25" s="119"/>
      <c r="P25" s="120"/>
      <c r="Q25" s="121"/>
      <c r="R25" s="120"/>
      <c r="S25" s="121"/>
    </row>
    <row r="26" spans="1:19" x14ac:dyDescent="0.25">
      <c r="A26" s="18">
        <v>45984</v>
      </c>
      <c r="B26" s="114"/>
      <c r="C26" s="115"/>
      <c r="D26" s="114"/>
      <c r="E26" s="115"/>
      <c r="F26" s="116"/>
      <c r="G26" s="115"/>
      <c r="H26" s="116"/>
      <c r="I26" s="115"/>
      <c r="J26" s="116"/>
      <c r="K26" s="115"/>
      <c r="L26" s="116"/>
      <c r="M26" s="117"/>
      <c r="N26" s="118"/>
      <c r="O26" s="119"/>
      <c r="P26" s="120"/>
      <c r="Q26" s="121"/>
      <c r="R26" s="120"/>
      <c r="S26" s="121"/>
    </row>
    <row r="27" spans="1:19" x14ac:dyDescent="0.25">
      <c r="A27" s="18">
        <v>45985</v>
      </c>
      <c r="B27" s="35">
        <f t="shared" si="0"/>
        <v>6.0750000000000002</v>
      </c>
      <c r="C27" s="27">
        <v>48.6</v>
      </c>
      <c r="D27" s="35">
        <f t="shared" si="1"/>
        <v>9.1125000000000007</v>
      </c>
      <c r="E27" s="87">
        <v>72.900000000000006</v>
      </c>
      <c r="F27" s="23">
        <f t="shared" si="2"/>
        <v>1</v>
      </c>
      <c r="G27" s="98">
        <v>8</v>
      </c>
      <c r="H27" s="23">
        <f t="shared" si="2"/>
        <v>0</v>
      </c>
      <c r="I27" s="98">
        <v>0</v>
      </c>
      <c r="J27" s="23">
        <f t="shared" si="2"/>
        <v>0</v>
      </c>
      <c r="K27" s="98">
        <v>0</v>
      </c>
      <c r="L27" s="23">
        <f t="shared" si="2"/>
        <v>0</v>
      </c>
      <c r="M27" s="109">
        <v>0</v>
      </c>
      <c r="N27" s="105"/>
      <c r="O27" s="25"/>
      <c r="P27" s="24">
        <v>1</v>
      </c>
      <c r="Q27" s="37">
        <v>9</v>
      </c>
      <c r="R27" s="24"/>
      <c r="S27" s="37"/>
    </row>
    <row r="28" spans="1:19" x14ac:dyDescent="0.25">
      <c r="A28" s="18">
        <v>45986</v>
      </c>
      <c r="B28" s="35">
        <f t="shared" ref="B28:B31" si="3">C28/8</f>
        <v>7.3125</v>
      </c>
      <c r="C28" s="27">
        <v>58.5</v>
      </c>
      <c r="D28" s="35">
        <f t="shared" ref="D28:D31" si="4">E28/8</f>
        <v>7.3125</v>
      </c>
      <c r="E28" s="87">
        <v>58.5</v>
      </c>
      <c r="F28" s="23">
        <f t="shared" ref="F28" si="5">G28/8</f>
        <v>2</v>
      </c>
      <c r="G28" s="98">
        <v>16</v>
      </c>
      <c r="H28" s="23">
        <f t="shared" ref="H28:H31" si="6">I28/8</f>
        <v>0</v>
      </c>
      <c r="I28" s="98">
        <v>0</v>
      </c>
      <c r="J28" s="23">
        <f t="shared" ref="J28:J31" si="7">K28/8</f>
        <v>0</v>
      </c>
      <c r="K28" s="98">
        <v>0</v>
      </c>
      <c r="L28" s="23">
        <f t="shared" ref="L28:L31" si="8">M28/8</f>
        <v>0</v>
      </c>
      <c r="M28" s="109">
        <v>0</v>
      </c>
      <c r="N28" s="105"/>
      <c r="O28" s="25"/>
      <c r="P28" s="24">
        <v>1</v>
      </c>
      <c r="Q28" s="37">
        <v>9</v>
      </c>
      <c r="R28" s="24"/>
      <c r="S28" s="37"/>
    </row>
    <row r="29" spans="1:19" x14ac:dyDescent="0.25">
      <c r="A29" s="18">
        <v>45987</v>
      </c>
      <c r="B29" s="35">
        <f t="shared" si="3"/>
        <v>10.487500000000001</v>
      </c>
      <c r="C29" s="27">
        <v>83.9</v>
      </c>
      <c r="D29" s="35">
        <f t="shared" si="4"/>
        <v>6.9812500000000002</v>
      </c>
      <c r="E29" s="87">
        <v>55.85</v>
      </c>
      <c r="F29" s="23">
        <f t="shared" si="2"/>
        <v>0</v>
      </c>
      <c r="G29" s="98">
        <v>0</v>
      </c>
      <c r="H29" s="23">
        <f t="shared" si="6"/>
        <v>0</v>
      </c>
      <c r="I29" s="98">
        <v>0</v>
      </c>
      <c r="J29" s="23">
        <f t="shared" si="7"/>
        <v>0</v>
      </c>
      <c r="K29" s="98">
        <v>0</v>
      </c>
      <c r="L29" s="23">
        <f t="shared" si="8"/>
        <v>0</v>
      </c>
      <c r="M29" s="109">
        <v>0</v>
      </c>
      <c r="N29" s="105"/>
      <c r="O29" s="25"/>
      <c r="P29" s="24">
        <v>1</v>
      </c>
      <c r="Q29" s="37">
        <v>9</v>
      </c>
      <c r="R29" s="24"/>
      <c r="S29" s="37"/>
    </row>
    <row r="30" spans="1:19" x14ac:dyDescent="0.25">
      <c r="A30" s="18">
        <v>45988</v>
      </c>
      <c r="B30" s="35">
        <f t="shared" si="3"/>
        <v>8.15625</v>
      </c>
      <c r="C30" s="27">
        <v>65.25</v>
      </c>
      <c r="D30" s="35">
        <f t="shared" si="4"/>
        <v>8.15625</v>
      </c>
      <c r="E30" s="87">
        <v>65.25</v>
      </c>
      <c r="F30" s="23">
        <f t="shared" ref="F30:F31" si="9">G30/8</f>
        <v>0</v>
      </c>
      <c r="G30" s="98">
        <v>0</v>
      </c>
      <c r="H30" s="23">
        <f t="shared" si="6"/>
        <v>0</v>
      </c>
      <c r="I30" s="98">
        <v>0</v>
      </c>
      <c r="J30" s="23">
        <f t="shared" si="7"/>
        <v>0</v>
      </c>
      <c r="K30" s="98">
        <v>0</v>
      </c>
      <c r="L30" s="23">
        <f t="shared" si="8"/>
        <v>0</v>
      </c>
      <c r="M30" s="109">
        <v>0</v>
      </c>
      <c r="N30" s="105"/>
      <c r="O30" s="25"/>
      <c r="P30" s="24">
        <v>1</v>
      </c>
      <c r="Q30" s="37">
        <v>9</v>
      </c>
      <c r="R30" s="24"/>
      <c r="S30" s="37"/>
    </row>
    <row r="31" spans="1:19" x14ac:dyDescent="0.25">
      <c r="A31" s="18">
        <v>45989</v>
      </c>
      <c r="B31" s="35">
        <f t="shared" si="3"/>
        <v>5.8162500000000001</v>
      </c>
      <c r="C31" s="27">
        <v>46.53</v>
      </c>
      <c r="D31" s="35">
        <f t="shared" si="4"/>
        <v>8.7249999999999996</v>
      </c>
      <c r="E31" s="87">
        <v>69.8</v>
      </c>
      <c r="F31" s="23">
        <f t="shared" si="9"/>
        <v>0</v>
      </c>
      <c r="G31" s="98">
        <v>0</v>
      </c>
      <c r="H31" s="23">
        <f t="shared" si="6"/>
        <v>0</v>
      </c>
      <c r="I31" s="98">
        <v>0</v>
      </c>
      <c r="J31" s="23">
        <f t="shared" si="7"/>
        <v>0</v>
      </c>
      <c r="K31" s="98">
        <v>0</v>
      </c>
      <c r="L31" s="23">
        <f t="shared" si="8"/>
        <v>0</v>
      </c>
      <c r="M31" s="109">
        <v>0</v>
      </c>
      <c r="N31" s="105"/>
      <c r="O31" s="25"/>
      <c r="P31" s="24">
        <v>1</v>
      </c>
      <c r="Q31" s="37">
        <v>8</v>
      </c>
      <c r="R31" s="24"/>
      <c r="S31" s="37"/>
    </row>
    <row r="32" spans="1:19" x14ac:dyDescent="0.25">
      <c r="A32" s="18">
        <v>45990</v>
      </c>
      <c r="B32" s="114"/>
      <c r="C32" s="115"/>
      <c r="D32" s="114"/>
      <c r="E32" s="115"/>
      <c r="F32" s="116"/>
      <c r="G32" s="115"/>
      <c r="H32" s="116"/>
      <c r="I32" s="115"/>
      <c r="J32" s="116"/>
      <c r="K32" s="115"/>
      <c r="L32" s="116"/>
      <c r="M32" s="117"/>
      <c r="N32" s="118"/>
      <c r="O32" s="119"/>
      <c r="P32" s="120"/>
      <c r="Q32" s="121"/>
      <c r="R32" s="120"/>
      <c r="S32" s="121"/>
    </row>
    <row r="33" spans="1:19" ht="15.75" thickBot="1" x14ac:dyDescent="0.3">
      <c r="A33" s="18">
        <v>45991</v>
      </c>
      <c r="B33" s="114"/>
      <c r="C33" s="115"/>
      <c r="D33" s="114"/>
      <c r="E33" s="115"/>
      <c r="F33" s="116"/>
      <c r="G33" s="115"/>
      <c r="H33" s="116"/>
      <c r="I33" s="115"/>
      <c r="J33" s="116"/>
      <c r="K33" s="115"/>
      <c r="L33" s="116"/>
      <c r="M33" s="117"/>
      <c r="N33" s="118"/>
      <c r="O33" s="119"/>
      <c r="P33" s="120"/>
      <c r="Q33" s="121"/>
      <c r="R33" s="120"/>
      <c r="S33" s="121"/>
    </row>
    <row r="34" spans="1:19" ht="15.75" thickBot="1" x14ac:dyDescent="0.3">
      <c r="A34" s="58" t="s">
        <v>20</v>
      </c>
      <c r="B34" s="59">
        <f>IFERROR(AVERAGE(B4:B33),0)</f>
        <v>7.7067763157894742</v>
      </c>
      <c r="C34" s="60">
        <f>SUM(C4:C33)</f>
        <v>1171.43</v>
      </c>
      <c r="D34" s="59">
        <f>AVERAGE(D4:D33)</f>
        <v>7.0011184210526318</v>
      </c>
      <c r="E34" s="61">
        <f>SUM(E4:E33)</f>
        <v>1064.17</v>
      </c>
      <c r="F34" s="62">
        <f>AVERAGE(F4:F33)</f>
        <v>0.99835526315789469</v>
      </c>
      <c r="G34" s="63">
        <f>SUM(G4:G33)</f>
        <v>151.75</v>
      </c>
      <c r="H34" s="62">
        <f>AVERAGE(H4:H33)</f>
        <v>0</v>
      </c>
      <c r="I34" s="63">
        <f>SUM(I4:I33)</f>
        <v>0</v>
      </c>
      <c r="J34" s="62">
        <f>AVERAGE(J4:J33)</f>
        <v>0</v>
      </c>
      <c r="K34" s="63">
        <f>SUM(K4:K33)</f>
        <v>0</v>
      </c>
      <c r="L34" s="62">
        <f>AVERAGE(L4:L33)</f>
        <v>0</v>
      </c>
      <c r="M34" s="63">
        <f>SUM(M4:M33)</f>
        <v>0</v>
      </c>
      <c r="N34" s="64">
        <f>IFERROR(AVERAGE(N4:N33),0)</f>
        <v>0</v>
      </c>
      <c r="O34" s="65">
        <f>+C34+I34+E34+G34+K34+M34</f>
        <v>2387.3500000000004</v>
      </c>
      <c r="P34" s="66">
        <f>IFERROR(AVERAGE(P4:P33),0)</f>
        <v>1</v>
      </c>
      <c r="Q34" s="154">
        <f>SUM(Q4:Q33)</f>
        <v>167</v>
      </c>
      <c r="R34" s="66">
        <f>IFERROR(AVERAGE(R4:R33),0)</f>
        <v>0</v>
      </c>
      <c r="S34" s="17">
        <f>SUM(S4:S33)</f>
        <v>0</v>
      </c>
    </row>
    <row r="35" spans="1:19" x14ac:dyDescent="0.25">
      <c r="G35" s="67"/>
      <c r="I35" s="68"/>
      <c r="O35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6"/>
  <sheetViews>
    <sheetView showGridLines="0" zoomScale="82" zoomScaleNormal="82" workbookViewId="0">
      <pane ySplit="3" topLeftCell="A13" activePane="bottomLeft" state="frozen"/>
      <selection pane="bottomLeft" activeCell="O35" sqref="O35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2025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x14ac:dyDescent="0.25">
      <c r="A4" s="18">
        <v>45992</v>
      </c>
      <c r="B4" s="35">
        <f t="shared" ref="B4:B29" si="0">C4/8</f>
        <v>9.3125</v>
      </c>
      <c r="C4" s="27">
        <v>74.5</v>
      </c>
      <c r="D4" s="35">
        <f t="shared" ref="D4:D29" si="1">E4/8</f>
        <v>5.85</v>
      </c>
      <c r="E4" s="87">
        <v>46.8</v>
      </c>
      <c r="F4" s="23">
        <f t="shared" ref="F4:L29" si="2">G4/8</f>
        <v>0</v>
      </c>
      <c r="G4" s="98">
        <v>0</v>
      </c>
      <c r="H4" s="23">
        <f t="shared" si="2"/>
        <v>0</v>
      </c>
      <c r="I4" s="98">
        <v>0</v>
      </c>
      <c r="J4" s="23">
        <f t="shared" si="2"/>
        <v>0</v>
      </c>
      <c r="K4" s="98">
        <v>0</v>
      </c>
      <c r="L4" s="23">
        <f t="shared" si="2"/>
        <v>0</v>
      </c>
      <c r="M4" s="109">
        <v>0</v>
      </c>
      <c r="N4" s="105"/>
      <c r="O4" s="25"/>
      <c r="P4" s="24">
        <v>1</v>
      </c>
      <c r="Q4" s="37">
        <v>9</v>
      </c>
      <c r="R4" s="24"/>
      <c r="S4" s="37"/>
    </row>
    <row r="5" spans="1:19" x14ac:dyDescent="0.25">
      <c r="A5" s="18">
        <v>45993</v>
      </c>
      <c r="B5" s="35">
        <f t="shared" si="0"/>
        <v>10.125</v>
      </c>
      <c r="C5" s="27">
        <v>81</v>
      </c>
      <c r="D5" s="35">
        <f t="shared" si="1"/>
        <v>6.75</v>
      </c>
      <c r="E5" s="87">
        <v>54</v>
      </c>
      <c r="F5" s="23">
        <f t="shared" si="2"/>
        <v>0</v>
      </c>
      <c r="G5" s="98">
        <v>0</v>
      </c>
      <c r="H5" s="23">
        <f t="shared" si="2"/>
        <v>0</v>
      </c>
      <c r="I5" s="98">
        <v>0</v>
      </c>
      <c r="J5" s="23">
        <f t="shared" si="2"/>
        <v>0</v>
      </c>
      <c r="K5" s="98">
        <v>0</v>
      </c>
      <c r="L5" s="23">
        <f t="shared" si="2"/>
        <v>0</v>
      </c>
      <c r="M5" s="109">
        <v>0</v>
      </c>
      <c r="N5" s="105"/>
      <c r="O5" s="25"/>
      <c r="P5" s="24">
        <v>1</v>
      </c>
      <c r="Q5" s="37">
        <v>9</v>
      </c>
      <c r="R5" s="24"/>
      <c r="S5" s="37"/>
    </row>
    <row r="6" spans="1:19" x14ac:dyDescent="0.25">
      <c r="A6" s="18">
        <v>45994</v>
      </c>
      <c r="B6" s="35">
        <f t="shared" si="0"/>
        <v>6.75</v>
      </c>
      <c r="C6" s="27">
        <v>54</v>
      </c>
      <c r="D6" s="35">
        <f t="shared" si="1"/>
        <v>10.125</v>
      </c>
      <c r="E6" s="87">
        <v>81</v>
      </c>
      <c r="F6" s="23">
        <f t="shared" si="2"/>
        <v>0</v>
      </c>
      <c r="G6" s="98">
        <v>0</v>
      </c>
      <c r="H6" s="23">
        <f t="shared" si="2"/>
        <v>0</v>
      </c>
      <c r="I6" s="98">
        <v>0</v>
      </c>
      <c r="J6" s="23">
        <f t="shared" si="2"/>
        <v>0</v>
      </c>
      <c r="K6" s="98">
        <v>0</v>
      </c>
      <c r="L6" s="23">
        <f t="shared" si="2"/>
        <v>0</v>
      </c>
      <c r="M6" s="109">
        <v>0</v>
      </c>
      <c r="N6" s="105"/>
      <c r="O6" s="25"/>
      <c r="P6" s="24">
        <v>1</v>
      </c>
      <c r="Q6" s="37">
        <v>9</v>
      </c>
      <c r="R6" s="24"/>
      <c r="S6" s="37"/>
    </row>
    <row r="7" spans="1:19" x14ac:dyDescent="0.25">
      <c r="A7" s="18">
        <v>45995</v>
      </c>
      <c r="B7" s="35">
        <f t="shared" si="0"/>
        <v>6.05</v>
      </c>
      <c r="C7" s="27">
        <v>48.4</v>
      </c>
      <c r="D7" s="35">
        <f t="shared" si="1"/>
        <v>9.0749999999999993</v>
      </c>
      <c r="E7" s="87">
        <v>72.599999999999994</v>
      </c>
      <c r="F7" s="23">
        <f t="shared" si="2"/>
        <v>0</v>
      </c>
      <c r="G7" s="98">
        <v>0</v>
      </c>
      <c r="H7" s="23">
        <f t="shared" si="2"/>
        <v>0</v>
      </c>
      <c r="I7" s="98">
        <v>0</v>
      </c>
      <c r="J7" s="23">
        <f t="shared" si="2"/>
        <v>0</v>
      </c>
      <c r="K7" s="98">
        <v>0</v>
      </c>
      <c r="L7" s="23">
        <f t="shared" si="2"/>
        <v>0</v>
      </c>
      <c r="M7" s="109">
        <v>0</v>
      </c>
      <c r="N7" s="105"/>
      <c r="O7" s="25"/>
      <c r="P7" s="24">
        <v>1</v>
      </c>
      <c r="Q7" s="37">
        <v>9</v>
      </c>
      <c r="R7" s="24"/>
      <c r="S7" s="37"/>
    </row>
    <row r="8" spans="1:19" x14ac:dyDescent="0.25">
      <c r="A8" s="18">
        <v>45996</v>
      </c>
      <c r="B8" s="35">
        <f t="shared" si="0"/>
        <v>5.2</v>
      </c>
      <c r="C8" s="27">
        <v>41.6</v>
      </c>
      <c r="D8" s="35">
        <f t="shared" si="1"/>
        <v>7.8</v>
      </c>
      <c r="E8" s="87">
        <v>62.4</v>
      </c>
      <c r="F8" s="23">
        <f t="shared" si="2"/>
        <v>0</v>
      </c>
      <c r="G8" s="98">
        <v>0</v>
      </c>
      <c r="H8" s="23">
        <f t="shared" si="2"/>
        <v>0</v>
      </c>
      <c r="I8" s="98">
        <v>0</v>
      </c>
      <c r="J8" s="23">
        <f t="shared" si="2"/>
        <v>0</v>
      </c>
      <c r="K8" s="98">
        <v>0</v>
      </c>
      <c r="L8" s="23">
        <f t="shared" si="2"/>
        <v>0</v>
      </c>
      <c r="M8" s="109">
        <v>0</v>
      </c>
      <c r="N8" s="105"/>
      <c r="O8" s="25"/>
      <c r="P8" s="24">
        <v>1</v>
      </c>
      <c r="Q8" s="37">
        <v>8</v>
      </c>
      <c r="R8" s="24"/>
      <c r="S8" s="37"/>
    </row>
    <row r="9" spans="1:19" x14ac:dyDescent="0.25">
      <c r="A9" s="18">
        <v>45997</v>
      </c>
      <c r="B9" s="114"/>
      <c r="C9" s="115"/>
      <c r="D9" s="114"/>
      <c r="E9" s="115"/>
      <c r="F9" s="116"/>
      <c r="G9" s="115"/>
      <c r="H9" s="116"/>
      <c r="I9" s="115"/>
      <c r="J9" s="116"/>
      <c r="K9" s="115"/>
      <c r="L9" s="116"/>
      <c r="M9" s="117"/>
      <c r="N9" s="118"/>
      <c r="O9" s="119"/>
      <c r="P9" s="120"/>
      <c r="Q9" s="121"/>
      <c r="R9" s="120"/>
      <c r="S9" s="121"/>
    </row>
    <row r="10" spans="1:19" x14ac:dyDescent="0.25">
      <c r="A10" s="18">
        <v>45998</v>
      </c>
      <c r="B10" s="114"/>
      <c r="C10" s="115"/>
      <c r="D10" s="114"/>
      <c r="E10" s="115"/>
      <c r="F10" s="116"/>
      <c r="G10" s="115"/>
      <c r="H10" s="116"/>
      <c r="I10" s="115"/>
      <c r="J10" s="116"/>
      <c r="K10" s="115"/>
      <c r="L10" s="116"/>
      <c r="M10" s="117"/>
      <c r="N10" s="118"/>
      <c r="O10" s="119"/>
      <c r="P10" s="120"/>
      <c r="Q10" s="121"/>
      <c r="R10" s="120"/>
      <c r="S10" s="121"/>
    </row>
    <row r="11" spans="1:19" x14ac:dyDescent="0.25">
      <c r="A11" s="18">
        <v>45999</v>
      </c>
      <c r="B11" s="35">
        <f t="shared" si="0"/>
        <v>6.3</v>
      </c>
      <c r="C11" s="27">
        <v>50.4</v>
      </c>
      <c r="D11" s="35">
        <f t="shared" si="1"/>
        <v>9.4499999999999993</v>
      </c>
      <c r="E11" s="87">
        <v>75.599999999999994</v>
      </c>
      <c r="F11" s="23">
        <f t="shared" si="2"/>
        <v>0</v>
      </c>
      <c r="G11" s="98">
        <v>0</v>
      </c>
      <c r="H11" s="23">
        <f t="shared" si="2"/>
        <v>0</v>
      </c>
      <c r="I11" s="98">
        <v>0</v>
      </c>
      <c r="J11" s="23">
        <f t="shared" si="2"/>
        <v>0</v>
      </c>
      <c r="K11" s="98">
        <v>0</v>
      </c>
      <c r="L11" s="23">
        <f t="shared" si="2"/>
        <v>0</v>
      </c>
      <c r="M11" s="109">
        <v>0</v>
      </c>
      <c r="N11" s="105"/>
      <c r="O11" s="25"/>
      <c r="P11" s="24">
        <v>1</v>
      </c>
      <c r="Q11" s="37">
        <v>9</v>
      </c>
      <c r="R11" s="24"/>
      <c r="S11" s="37"/>
    </row>
    <row r="12" spans="1:19" x14ac:dyDescent="0.25">
      <c r="A12" s="18">
        <v>46000</v>
      </c>
      <c r="B12" s="35">
        <f t="shared" si="0"/>
        <v>6.75</v>
      </c>
      <c r="C12" s="27">
        <v>54</v>
      </c>
      <c r="D12" s="35">
        <f t="shared" si="1"/>
        <v>6.75</v>
      </c>
      <c r="E12" s="87">
        <v>54</v>
      </c>
      <c r="F12" s="23">
        <f t="shared" si="2"/>
        <v>0</v>
      </c>
      <c r="G12" s="98">
        <v>0</v>
      </c>
      <c r="H12" s="23">
        <f t="shared" si="2"/>
        <v>0</v>
      </c>
      <c r="I12" s="98">
        <v>0</v>
      </c>
      <c r="J12" s="23">
        <f t="shared" si="2"/>
        <v>0</v>
      </c>
      <c r="K12" s="98">
        <v>0</v>
      </c>
      <c r="L12" s="23">
        <f t="shared" si="2"/>
        <v>0</v>
      </c>
      <c r="M12" s="109">
        <v>0</v>
      </c>
      <c r="N12" s="105"/>
      <c r="O12" s="25"/>
      <c r="P12" s="24">
        <v>1</v>
      </c>
      <c r="Q12" s="37">
        <v>9</v>
      </c>
      <c r="R12" s="24"/>
      <c r="S12" s="37"/>
    </row>
    <row r="13" spans="1:19" x14ac:dyDescent="0.25">
      <c r="A13" s="18">
        <v>46001</v>
      </c>
      <c r="B13" s="35">
        <f t="shared" si="0"/>
        <v>5.4</v>
      </c>
      <c r="C13" s="27">
        <v>43.2</v>
      </c>
      <c r="D13" s="35">
        <f t="shared" si="1"/>
        <v>8.1</v>
      </c>
      <c r="E13" s="87">
        <v>64.8</v>
      </c>
      <c r="F13" s="23">
        <f t="shared" si="2"/>
        <v>0</v>
      </c>
      <c r="G13" s="98">
        <v>0</v>
      </c>
      <c r="H13" s="23">
        <f t="shared" si="2"/>
        <v>0</v>
      </c>
      <c r="I13" s="98">
        <v>0</v>
      </c>
      <c r="J13" s="23">
        <f t="shared" si="2"/>
        <v>0</v>
      </c>
      <c r="K13" s="98">
        <v>0</v>
      </c>
      <c r="L13" s="23">
        <f t="shared" si="2"/>
        <v>0</v>
      </c>
      <c r="M13" s="109">
        <v>0</v>
      </c>
      <c r="N13" s="105"/>
      <c r="O13" s="25"/>
      <c r="P13" s="24">
        <v>1</v>
      </c>
      <c r="Q13" s="37">
        <v>9</v>
      </c>
      <c r="R13" s="24"/>
      <c r="S13" s="37"/>
    </row>
    <row r="14" spans="1:19" x14ac:dyDescent="0.25">
      <c r="A14" s="18">
        <v>46002</v>
      </c>
      <c r="B14" s="35">
        <f t="shared" si="0"/>
        <v>6.75</v>
      </c>
      <c r="C14" s="27">
        <v>54</v>
      </c>
      <c r="D14" s="35">
        <f t="shared" si="1"/>
        <v>6.75</v>
      </c>
      <c r="E14" s="87">
        <v>54</v>
      </c>
      <c r="F14" s="23">
        <f t="shared" si="2"/>
        <v>0</v>
      </c>
      <c r="G14" s="98">
        <v>0</v>
      </c>
      <c r="H14" s="23">
        <f t="shared" si="2"/>
        <v>0</v>
      </c>
      <c r="I14" s="98">
        <v>0</v>
      </c>
      <c r="J14" s="23">
        <f t="shared" si="2"/>
        <v>0</v>
      </c>
      <c r="K14" s="98">
        <v>0</v>
      </c>
      <c r="L14" s="23">
        <f t="shared" si="2"/>
        <v>0</v>
      </c>
      <c r="M14" s="109">
        <v>0</v>
      </c>
      <c r="N14" s="105"/>
      <c r="O14" s="25"/>
      <c r="P14" s="24">
        <v>1</v>
      </c>
      <c r="Q14" s="37">
        <v>9</v>
      </c>
      <c r="R14" s="24"/>
      <c r="S14" s="37"/>
    </row>
    <row r="15" spans="1:19" x14ac:dyDescent="0.25">
      <c r="A15" s="18">
        <v>46003</v>
      </c>
      <c r="B15" s="35">
        <f t="shared" si="0"/>
        <v>5.2</v>
      </c>
      <c r="C15" s="27">
        <v>41.6</v>
      </c>
      <c r="D15" s="35">
        <f t="shared" si="1"/>
        <v>7.8</v>
      </c>
      <c r="E15" s="87">
        <v>62.4</v>
      </c>
      <c r="F15" s="23">
        <f t="shared" si="2"/>
        <v>0</v>
      </c>
      <c r="G15" s="98">
        <v>0</v>
      </c>
      <c r="H15" s="23">
        <f t="shared" si="2"/>
        <v>0</v>
      </c>
      <c r="I15" s="98">
        <v>0</v>
      </c>
      <c r="J15" s="23">
        <f t="shared" si="2"/>
        <v>0</v>
      </c>
      <c r="K15" s="98">
        <v>0</v>
      </c>
      <c r="L15" s="23">
        <f t="shared" si="2"/>
        <v>0</v>
      </c>
      <c r="M15" s="109">
        <v>0</v>
      </c>
      <c r="N15" s="105"/>
      <c r="O15" s="25"/>
      <c r="P15" s="24">
        <v>1</v>
      </c>
      <c r="Q15" s="37">
        <v>8</v>
      </c>
      <c r="R15" s="24"/>
      <c r="S15" s="37"/>
    </row>
    <row r="16" spans="1:19" x14ac:dyDescent="0.25">
      <c r="A16" s="18">
        <v>46004</v>
      </c>
      <c r="B16" s="114"/>
      <c r="C16" s="115"/>
      <c r="D16" s="114"/>
      <c r="E16" s="115"/>
      <c r="F16" s="116"/>
      <c r="G16" s="115"/>
      <c r="H16" s="116"/>
      <c r="I16" s="115"/>
      <c r="J16" s="116"/>
      <c r="K16" s="115"/>
      <c r="L16" s="116"/>
      <c r="M16" s="117"/>
      <c r="N16" s="118"/>
      <c r="O16" s="119"/>
      <c r="P16" s="120"/>
      <c r="Q16" s="121"/>
      <c r="R16" s="120"/>
      <c r="S16" s="121"/>
    </row>
    <row r="17" spans="1:19" x14ac:dyDescent="0.25">
      <c r="A17" s="18">
        <v>46005</v>
      </c>
      <c r="B17" s="114"/>
      <c r="C17" s="115"/>
      <c r="D17" s="114"/>
      <c r="E17" s="115"/>
      <c r="F17" s="116"/>
      <c r="G17" s="115"/>
      <c r="H17" s="116"/>
      <c r="I17" s="115"/>
      <c r="J17" s="116"/>
      <c r="K17" s="115"/>
      <c r="L17" s="116"/>
      <c r="M17" s="117"/>
      <c r="N17" s="118"/>
      <c r="O17" s="119"/>
      <c r="P17" s="120"/>
      <c r="Q17" s="121"/>
      <c r="R17" s="120"/>
      <c r="S17" s="121"/>
    </row>
    <row r="18" spans="1:19" x14ac:dyDescent="0.25">
      <c r="A18" s="18">
        <v>46006</v>
      </c>
      <c r="B18" s="35">
        <f t="shared" si="0"/>
        <v>4.7249999999999996</v>
      </c>
      <c r="C18" s="27">
        <v>37.799999999999997</v>
      </c>
      <c r="D18" s="35">
        <f t="shared" si="1"/>
        <v>11.025</v>
      </c>
      <c r="E18" s="87">
        <v>88.2</v>
      </c>
      <c r="F18" s="23">
        <f t="shared" si="2"/>
        <v>0</v>
      </c>
      <c r="G18" s="98">
        <v>0</v>
      </c>
      <c r="H18" s="23">
        <f t="shared" si="2"/>
        <v>0</v>
      </c>
      <c r="I18" s="98">
        <v>0</v>
      </c>
      <c r="J18" s="23">
        <f t="shared" si="2"/>
        <v>0</v>
      </c>
      <c r="K18" s="98">
        <v>0</v>
      </c>
      <c r="L18" s="23">
        <f t="shared" si="2"/>
        <v>0</v>
      </c>
      <c r="M18" s="109">
        <v>0</v>
      </c>
      <c r="N18" s="105"/>
      <c r="O18" s="25"/>
      <c r="P18" s="24">
        <v>1</v>
      </c>
      <c r="Q18" s="37">
        <v>9</v>
      </c>
      <c r="R18" s="24"/>
      <c r="S18" s="37"/>
    </row>
    <row r="19" spans="1:19" x14ac:dyDescent="0.25">
      <c r="A19" s="18">
        <v>46007</v>
      </c>
      <c r="B19" s="35">
        <f t="shared" si="0"/>
        <v>5.49</v>
      </c>
      <c r="C19" s="27">
        <v>43.92</v>
      </c>
      <c r="D19" s="35">
        <f t="shared" si="1"/>
        <v>8.2375000000000007</v>
      </c>
      <c r="E19" s="87">
        <v>65.900000000000006</v>
      </c>
      <c r="F19" s="23">
        <f t="shared" si="2"/>
        <v>0</v>
      </c>
      <c r="G19" s="98">
        <v>0</v>
      </c>
      <c r="H19" s="23">
        <f t="shared" si="2"/>
        <v>0</v>
      </c>
      <c r="I19" s="98">
        <v>0</v>
      </c>
      <c r="J19" s="23">
        <f t="shared" si="2"/>
        <v>0</v>
      </c>
      <c r="K19" s="98">
        <v>0</v>
      </c>
      <c r="L19" s="23">
        <f t="shared" si="2"/>
        <v>0</v>
      </c>
      <c r="M19" s="109">
        <v>0</v>
      </c>
      <c r="N19" s="105"/>
      <c r="O19" s="25"/>
      <c r="P19" s="24">
        <v>1</v>
      </c>
      <c r="Q19" s="37">
        <v>9</v>
      </c>
      <c r="R19" s="24"/>
      <c r="S19" s="37"/>
    </row>
    <row r="20" spans="1:19" x14ac:dyDescent="0.25">
      <c r="A20" s="18">
        <v>46008</v>
      </c>
      <c r="B20" s="35">
        <f t="shared" si="0"/>
        <v>5.85</v>
      </c>
      <c r="C20" s="27">
        <v>46.8</v>
      </c>
      <c r="D20" s="35">
        <f t="shared" si="1"/>
        <v>8.7750000000000004</v>
      </c>
      <c r="E20" s="87">
        <v>70.2</v>
      </c>
      <c r="F20" s="23">
        <f t="shared" si="2"/>
        <v>0</v>
      </c>
      <c r="G20" s="98">
        <v>0</v>
      </c>
      <c r="H20" s="23">
        <f t="shared" si="2"/>
        <v>0</v>
      </c>
      <c r="I20" s="98">
        <v>0</v>
      </c>
      <c r="J20" s="23">
        <f t="shared" si="2"/>
        <v>0</v>
      </c>
      <c r="K20" s="98">
        <v>0</v>
      </c>
      <c r="L20" s="23">
        <f t="shared" si="2"/>
        <v>0</v>
      </c>
      <c r="M20" s="109">
        <v>0</v>
      </c>
      <c r="N20" s="105"/>
      <c r="O20" s="25"/>
      <c r="P20" s="24">
        <v>1</v>
      </c>
      <c r="Q20" s="37">
        <v>9</v>
      </c>
      <c r="R20" s="24"/>
      <c r="S20" s="37"/>
    </row>
    <row r="21" spans="1:19" ht="15" customHeight="1" x14ac:dyDescent="0.25">
      <c r="A21" s="18">
        <v>46009</v>
      </c>
      <c r="B21" s="35">
        <f t="shared" si="0"/>
        <v>6.75</v>
      </c>
      <c r="C21" s="27">
        <v>54</v>
      </c>
      <c r="D21" s="35">
        <f t="shared" si="1"/>
        <v>5</v>
      </c>
      <c r="E21" s="87">
        <v>40</v>
      </c>
      <c r="F21" s="23">
        <f t="shared" si="2"/>
        <v>0</v>
      </c>
      <c r="G21" s="98">
        <v>0</v>
      </c>
      <c r="H21" s="23">
        <f t="shared" si="2"/>
        <v>1.75</v>
      </c>
      <c r="I21" s="98">
        <v>14</v>
      </c>
      <c r="J21" s="23">
        <f t="shared" si="2"/>
        <v>0</v>
      </c>
      <c r="K21" s="98">
        <v>0</v>
      </c>
      <c r="L21" s="23">
        <f t="shared" si="2"/>
        <v>0</v>
      </c>
      <c r="M21" s="109">
        <v>0</v>
      </c>
      <c r="N21" s="57"/>
      <c r="O21" s="24"/>
      <c r="P21" s="24">
        <v>1</v>
      </c>
      <c r="Q21" s="37">
        <v>9</v>
      </c>
      <c r="R21" s="24"/>
      <c r="S21" s="37"/>
    </row>
    <row r="22" spans="1:19" ht="15" customHeight="1" x14ac:dyDescent="0.25">
      <c r="A22" s="18">
        <v>46010</v>
      </c>
      <c r="B22" s="35">
        <f t="shared" si="0"/>
        <v>6.5</v>
      </c>
      <c r="C22" s="27">
        <v>52</v>
      </c>
      <c r="D22" s="35">
        <f t="shared" si="1"/>
        <v>6.5</v>
      </c>
      <c r="E22" s="87">
        <v>52</v>
      </c>
      <c r="F22" s="23">
        <f t="shared" si="2"/>
        <v>0</v>
      </c>
      <c r="G22" s="98">
        <v>0</v>
      </c>
      <c r="H22" s="23">
        <f t="shared" si="2"/>
        <v>0</v>
      </c>
      <c r="I22" s="98">
        <v>0</v>
      </c>
      <c r="J22" s="23">
        <f t="shared" si="2"/>
        <v>0</v>
      </c>
      <c r="K22" s="98">
        <v>0</v>
      </c>
      <c r="L22" s="23">
        <f t="shared" si="2"/>
        <v>0</v>
      </c>
      <c r="M22" s="109">
        <v>0</v>
      </c>
      <c r="N22" s="21"/>
      <c r="O22" s="24"/>
      <c r="P22" s="24">
        <v>1</v>
      </c>
      <c r="Q22" s="37">
        <v>8</v>
      </c>
      <c r="R22" s="24"/>
      <c r="S22" s="37"/>
    </row>
    <row r="23" spans="1:19" ht="15" customHeight="1" x14ac:dyDescent="0.25">
      <c r="A23" s="18">
        <v>46011</v>
      </c>
      <c r="B23" s="114"/>
      <c r="C23" s="115"/>
      <c r="D23" s="114"/>
      <c r="E23" s="115"/>
      <c r="F23" s="116"/>
      <c r="G23" s="115"/>
      <c r="H23" s="116"/>
      <c r="I23" s="115"/>
      <c r="J23" s="116"/>
      <c r="K23" s="115"/>
      <c r="L23" s="116"/>
      <c r="M23" s="117"/>
      <c r="N23" s="118"/>
      <c r="O23" s="119"/>
      <c r="P23" s="120"/>
      <c r="Q23" s="121"/>
      <c r="R23" s="120"/>
      <c r="S23" s="121"/>
    </row>
    <row r="24" spans="1:19" x14ac:dyDescent="0.25">
      <c r="A24" s="18">
        <v>46012</v>
      </c>
      <c r="B24" s="114"/>
      <c r="C24" s="115"/>
      <c r="D24" s="114"/>
      <c r="E24" s="115"/>
      <c r="F24" s="116"/>
      <c r="G24" s="115"/>
      <c r="H24" s="116"/>
      <c r="I24" s="115"/>
      <c r="J24" s="116"/>
      <c r="K24" s="115"/>
      <c r="L24" s="116"/>
      <c r="M24" s="117"/>
      <c r="N24" s="118"/>
      <c r="O24" s="119"/>
      <c r="P24" s="120"/>
      <c r="Q24" s="121"/>
      <c r="R24" s="120"/>
      <c r="S24" s="121"/>
    </row>
    <row r="25" spans="1:19" x14ac:dyDescent="0.25">
      <c r="A25" s="18">
        <v>46013</v>
      </c>
      <c r="B25" s="35">
        <f t="shared" si="0"/>
        <v>10.71875</v>
      </c>
      <c r="C25" s="27">
        <v>85.75</v>
      </c>
      <c r="D25" s="35">
        <f t="shared" si="1"/>
        <v>4.59375</v>
      </c>
      <c r="E25" s="87">
        <v>36.75</v>
      </c>
      <c r="F25" s="23">
        <f t="shared" si="2"/>
        <v>0</v>
      </c>
      <c r="G25" s="98">
        <v>0</v>
      </c>
      <c r="H25" s="23">
        <f t="shared" si="2"/>
        <v>0</v>
      </c>
      <c r="I25" s="98">
        <v>0</v>
      </c>
      <c r="J25" s="23">
        <f t="shared" si="2"/>
        <v>0</v>
      </c>
      <c r="K25" s="98">
        <v>0</v>
      </c>
      <c r="L25" s="23">
        <f t="shared" si="2"/>
        <v>0</v>
      </c>
      <c r="M25" s="109">
        <v>0</v>
      </c>
      <c r="N25" s="105"/>
      <c r="O25" s="25"/>
      <c r="P25" s="24">
        <v>1</v>
      </c>
      <c r="Q25" s="37">
        <v>9</v>
      </c>
      <c r="R25" s="24"/>
      <c r="S25" s="37"/>
    </row>
    <row r="26" spans="1:19" x14ac:dyDescent="0.25">
      <c r="A26" s="18">
        <v>46014</v>
      </c>
      <c r="B26" s="35">
        <f t="shared" si="0"/>
        <v>11.025</v>
      </c>
      <c r="C26" s="27">
        <v>88.2</v>
      </c>
      <c r="D26" s="35">
        <f t="shared" si="1"/>
        <v>4.7249999999999996</v>
      </c>
      <c r="E26" s="87">
        <v>37.799999999999997</v>
      </c>
      <c r="F26" s="23">
        <f t="shared" si="2"/>
        <v>0</v>
      </c>
      <c r="G26" s="98">
        <v>0</v>
      </c>
      <c r="H26" s="23">
        <f t="shared" si="2"/>
        <v>0</v>
      </c>
      <c r="I26" s="98">
        <v>0</v>
      </c>
      <c r="J26" s="23">
        <f t="shared" si="2"/>
        <v>0</v>
      </c>
      <c r="K26" s="98">
        <v>0</v>
      </c>
      <c r="L26" s="23">
        <f t="shared" si="2"/>
        <v>0</v>
      </c>
      <c r="M26" s="109">
        <v>0</v>
      </c>
      <c r="N26" s="105"/>
      <c r="O26" s="25"/>
      <c r="P26" s="24">
        <v>1</v>
      </c>
      <c r="Q26" s="37">
        <v>9</v>
      </c>
      <c r="R26" s="24"/>
      <c r="S26" s="37"/>
    </row>
    <row r="27" spans="1:19" x14ac:dyDescent="0.25">
      <c r="A27" s="18">
        <v>46015</v>
      </c>
      <c r="B27" s="35">
        <f t="shared" si="0"/>
        <v>8.7750000000000004</v>
      </c>
      <c r="C27" s="27">
        <v>70.2</v>
      </c>
      <c r="D27" s="35">
        <f t="shared" si="1"/>
        <v>5.85</v>
      </c>
      <c r="E27" s="87">
        <v>46.8</v>
      </c>
      <c r="F27" s="23">
        <f t="shared" si="2"/>
        <v>0</v>
      </c>
      <c r="G27" s="98">
        <v>0</v>
      </c>
      <c r="H27" s="23">
        <f t="shared" si="2"/>
        <v>0</v>
      </c>
      <c r="I27" s="98">
        <v>0</v>
      </c>
      <c r="J27" s="23">
        <f t="shared" si="2"/>
        <v>0</v>
      </c>
      <c r="K27" s="98">
        <v>0</v>
      </c>
      <c r="L27" s="23">
        <f t="shared" si="2"/>
        <v>0</v>
      </c>
      <c r="M27" s="109">
        <v>0</v>
      </c>
      <c r="N27" s="105"/>
      <c r="O27" s="25"/>
      <c r="P27" s="24">
        <v>1</v>
      </c>
      <c r="Q27" s="37">
        <v>9</v>
      </c>
      <c r="R27" s="24"/>
      <c r="S27" s="37"/>
    </row>
    <row r="28" spans="1:19" x14ac:dyDescent="0.25">
      <c r="A28" s="18">
        <v>46016</v>
      </c>
      <c r="B28" s="114"/>
      <c r="C28" s="115"/>
      <c r="D28" s="114"/>
      <c r="E28" s="115"/>
      <c r="F28" s="116"/>
      <c r="G28" s="115"/>
      <c r="H28" s="116"/>
      <c r="I28" s="115"/>
      <c r="J28" s="116"/>
      <c r="K28" s="115"/>
      <c r="L28" s="116"/>
      <c r="M28" s="117"/>
      <c r="N28" s="118"/>
      <c r="O28" s="119"/>
      <c r="P28" s="120"/>
      <c r="Q28" s="121"/>
      <c r="R28" s="120"/>
      <c r="S28" s="121"/>
    </row>
    <row r="29" spans="1:19" x14ac:dyDescent="0.25">
      <c r="A29" s="18">
        <v>46017</v>
      </c>
      <c r="B29" s="35">
        <f t="shared" si="0"/>
        <v>6.5</v>
      </c>
      <c r="C29" s="27">
        <v>52</v>
      </c>
      <c r="D29" s="35">
        <f t="shared" si="1"/>
        <v>6.5</v>
      </c>
      <c r="E29" s="87">
        <v>52</v>
      </c>
      <c r="F29" s="23">
        <f t="shared" si="2"/>
        <v>0</v>
      </c>
      <c r="G29" s="98">
        <v>0</v>
      </c>
      <c r="H29" s="23">
        <f t="shared" si="2"/>
        <v>0</v>
      </c>
      <c r="I29" s="98">
        <v>0</v>
      </c>
      <c r="J29" s="23">
        <f t="shared" si="2"/>
        <v>0</v>
      </c>
      <c r="K29" s="98">
        <v>0</v>
      </c>
      <c r="L29" s="23">
        <f t="shared" si="2"/>
        <v>0</v>
      </c>
      <c r="M29" s="109">
        <v>0</v>
      </c>
      <c r="N29" s="105"/>
      <c r="O29" s="25"/>
      <c r="P29" s="24">
        <v>1</v>
      </c>
      <c r="Q29" s="37">
        <v>0</v>
      </c>
      <c r="R29" s="24"/>
      <c r="S29" s="37"/>
    </row>
    <row r="30" spans="1:19" x14ac:dyDescent="0.25">
      <c r="A30" s="18">
        <v>46018</v>
      </c>
      <c r="B30" s="114"/>
      <c r="C30" s="115"/>
      <c r="D30" s="114"/>
      <c r="E30" s="115"/>
      <c r="F30" s="116"/>
      <c r="G30" s="115"/>
      <c r="H30" s="116"/>
      <c r="I30" s="115"/>
      <c r="J30" s="116"/>
      <c r="K30" s="115"/>
      <c r="L30" s="116"/>
      <c r="M30" s="117"/>
      <c r="N30" s="118"/>
      <c r="O30" s="119"/>
      <c r="P30" s="120"/>
      <c r="Q30" s="121"/>
      <c r="R30" s="120"/>
      <c r="S30" s="121"/>
    </row>
    <row r="31" spans="1:19" x14ac:dyDescent="0.25">
      <c r="A31" s="18">
        <v>46019</v>
      </c>
      <c r="B31" s="114"/>
      <c r="C31" s="115"/>
      <c r="D31" s="114"/>
      <c r="E31" s="115"/>
      <c r="F31" s="116"/>
      <c r="G31" s="115"/>
      <c r="H31" s="116"/>
      <c r="I31" s="115"/>
      <c r="J31" s="116"/>
      <c r="K31" s="115"/>
      <c r="L31" s="116"/>
      <c r="M31" s="117"/>
      <c r="N31" s="118"/>
      <c r="O31" s="119"/>
      <c r="P31" s="120"/>
      <c r="Q31" s="121"/>
      <c r="R31" s="120"/>
      <c r="S31" s="121"/>
    </row>
    <row r="32" spans="1:19" x14ac:dyDescent="0.25">
      <c r="A32" s="18">
        <v>46020</v>
      </c>
      <c r="B32" s="35">
        <f t="shared" ref="B32:B34" si="3">C32/8</f>
        <v>6.7062499999999998</v>
      </c>
      <c r="C32" s="27">
        <v>53.65</v>
      </c>
      <c r="D32" s="35">
        <f t="shared" ref="D32:D34" si="4">E32/8</f>
        <v>6.7062499999999998</v>
      </c>
      <c r="E32" s="87">
        <v>53.65</v>
      </c>
      <c r="F32" s="23">
        <f t="shared" ref="F32:F34" si="5">G32/8</f>
        <v>0</v>
      </c>
      <c r="G32" s="98">
        <v>0</v>
      </c>
      <c r="H32" s="23">
        <f t="shared" ref="H32:H34" si="6">I32/8</f>
        <v>0</v>
      </c>
      <c r="I32" s="98">
        <v>0</v>
      </c>
      <c r="J32" s="23">
        <f t="shared" ref="J32:J34" si="7">K32/8</f>
        <v>0</v>
      </c>
      <c r="K32" s="98">
        <v>0</v>
      </c>
      <c r="L32" s="23">
        <f t="shared" ref="L32:L34" si="8">M32/8</f>
        <v>0</v>
      </c>
      <c r="M32" s="109">
        <v>0</v>
      </c>
      <c r="N32" s="105"/>
      <c r="O32" s="25"/>
      <c r="P32" s="24">
        <v>1</v>
      </c>
      <c r="Q32" s="37">
        <v>9</v>
      </c>
      <c r="R32" s="24"/>
      <c r="S32" s="37"/>
    </row>
    <row r="33" spans="1:19" x14ac:dyDescent="0.25">
      <c r="A33" s="18">
        <v>46021</v>
      </c>
      <c r="B33" s="35">
        <f t="shared" si="3"/>
        <v>7.875</v>
      </c>
      <c r="C33" s="27">
        <v>63</v>
      </c>
      <c r="D33" s="35">
        <f t="shared" si="4"/>
        <v>7.875</v>
      </c>
      <c r="E33" s="87">
        <v>63</v>
      </c>
      <c r="F33" s="23">
        <f t="shared" si="5"/>
        <v>0</v>
      </c>
      <c r="G33" s="98">
        <v>0</v>
      </c>
      <c r="H33" s="23">
        <f t="shared" si="6"/>
        <v>0</v>
      </c>
      <c r="I33" s="98">
        <v>0</v>
      </c>
      <c r="J33" s="23">
        <f t="shared" si="7"/>
        <v>0</v>
      </c>
      <c r="K33" s="98">
        <v>0</v>
      </c>
      <c r="L33" s="23">
        <f t="shared" si="8"/>
        <v>0</v>
      </c>
      <c r="M33" s="109">
        <v>0</v>
      </c>
      <c r="N33" s="105"/>
      <c r="O33" s="25"/>
      <c r="P33" s="24">
        <v>1</v>
      </c>
      <c r="Q33" s="37">
        <v>9</v>
      </c>
      <c r="R33" s="24"/>
      <c r="S33" s="37"/>
    </row>
    <row r="34" spans="1:19" ht="15.75" thickBot="1" x14ac:dyDescent="0.3">
      <c r="A34" s="18">
        <v>46022</v>
      </c>
      <c r="B34" s="35">
        <f t="shared" si="3"/>
        <v>6.7125000000000004</v>
      </c>
      <c r="C34" s="27">
        <v>53.7</v>
      </c>
      <c r="D34" s="35">
        <f t="shared" si="4"/>
        <v>6.7125000000000004</v>
      </c>
      <c r="E34" s="27">
        <v>53.7</v>
      </c>
      <c r="F34" s="23">
        <f t="shared" si="5"/>
        <v>0</v>
      </c>
      <c r="G34" s="98">
        <v>0</v>
      </c>
      <c r="H34" s="23">
        <f t="shared" si="6"/>
        <v>0</v>
      </c>
      <c r="I34" s="98">
        <v>0</v>
      </c>
      <c r="J34" s="23">
        <f t="shared" si="7"/>
        <v>0</v>
      </c>
      <c r="K34" s="98">
        <v>0</v>
      </c>
      <c r="L34" s="23">
        <f t="shared" si="8"/>
        <v>0</v>
      </c>
      <c r="M34" s="109">
        <v>0</v>
      </c>
      <c r="N34" s="105"/>
      <c r="O34" s="25"/>
      <c r="P34" s="24">
        <v>1</v>
      </c>
      <c r="Q34" s="37">
        <v>9</v>
      </c>
      <c r="R34" s="24"/>
      <c r="S34" s="37"/>
    </row>
    <row r="35" spans="1:19" ht="15.75" thickBot="1" x14ac:dyDescent="0.3">
      <c r="A35" s="58" t="s">
        <v>20</v>
      </c>
      <c r="B35" s="59">
        <f>IFERROR(AVERAGE(B4:B31),0)</f>
        <v>7.0616447368421049</v>
      </c>
      <c r="C35" s="60">
        <f>SUM(C4:C34)</f>
        <v>1243.72</v>
      </c>
      <c r="D35" s="59">
        <f>AVERAGE(D4:D31)</f>
        <v>7.3503289473684212</v>
      </c>
      <c r="E35" s="61">
        <f>SUM(E4:E34)</f>
        <v>1287.6000000000001</v>
      </c>
      <c r="F35" s="62">
        <f>AVERAGE(F4:F31)</f>
        <v>0</v>
      </c>
      <c r="G35" s="63">
        <f>SUM(G4:G34)</f>
        <v>0</v>
      </c>
      <c r="H35" s="62">
        <f>AVERAGE(H4:H31)</f>
        <v>9.2105263157894732E-2</v>
      </c>
      <c r="I35" s="63">
        <f>SUM(I4:I34)</f>
        <v>14</v>
      </c>
      <c r="J35" s="62">
        <f>AVERAGE(J4:J31)</f>
        <v>0</v>
      </c>
      <c r="K35" s="63">
        <f>SUM(K4:K34)</f>
        <v>0</v>
      </c>
      <c r="L35" s="62">
        <f>AVERAGE(L4:L31)</f>
        <v>0</v>
      </c>
      <c r="M35" s="63">
        <f>SUM(M4:M34)</f>
        <v>0</v>
      </c>
      <c r="N35" s="64">
        <f>IFERROR(AVERAGE(N4:N31),0)</f>
        <v>0</v>
      </c>
      <c r="O35" s="65">
        <f>C35+I35+E35+G35+K35+M35</f>
        <v>2545.3200000000002</v>
      </c>
      <c r="P35" s="66">
        <f>IFERROR(AVERAGE(P4:P31),0)</f>
        <v>1</v>
      </c>
      <c r="Q35" s="154">
        <f>SUM(Q4:Q34)</f>
        <v>186</v>
      </c>
      <c r="R35" s="66">
        <f>IFERROR(AVERAGE(R4:R31),0)</f>
        <v>0</v>
      </c>
      <c r="S35" s="17">
        <f>SUM(S4:S31)</f>
        <v>0</v>
      </c>
    </row>
    <row r="36" spans="1:19" x14ac:dyDescent="0.25">
      <c r="G36" s="67"/>
      <c r="I36" s="68"/>
      <c r="O36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6"/>
  <sheetViews>
    <sheetView showGridLines="0" zoomScale="85" zoomScaleNormal="85" workbookViewId="0">
      <pane ySplit="3" topLeftCell="A4" activePane="bottomLeft" state="frozen"/>
      <selection pane="bottomLeft" activeCell="K35" sqref="K35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2026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x14ac:dyDescent="0.25">
      <c r="A4" s="127">
        <v>46023</v>
      </c>
      <c r="B4" s="114"/>
      <c r="C4" s="115"/>
      <c r="D4" s="114"/>
      <c r="E4" s="115"/>
      <c r="F4" s="116"/>
      <c r="G4" s="115"/>
      <c r="H4" s="116"/>
      <c r="I4" s="115"/>
      <c r="J4" s="116"/>
      <c r="K4" s="115"/>
      <c r="L4" s="116"/>
      <c r="M4" s="117"/>
      <c r="N4" s="118"/>
      <c r="O4" s="119"/>
      <c r="P4" s="120"/>
      <c r="Q4" s="121"/>
      <c r="R4" s="120"/>
      <c r="S4" s="121"/>
    </row>
    <row r="5" spans="1:19" x14ac:dyDescent="0.25">
      <c r="A5" s="127">
        <v>46024</v>
      </c>
      <c r="B5" s="35">
        <f t="shared" ref="B5:B26" si="0">C5/8</f>
        <v>5</v>
      </c>
      <c r="C5" s="27">
        <v>40</v>
      </c>
      <c r="D5" s="35">
        <f t="shared" ref="D5:D26" si="1">E5/8</f>
        <v>7.5</v>
      </c>
      <c r="E5" s="87">
        <v>60</v>
      </c>
      <c r="F5" s="23">
        <f t="shared" ref="F5:L26" si="2">G5/8</f>
        <v>0</v>
      </c>
      <c r="G5" s="98">
        <v>0</v>
      </c>
      <c r="H5" s="23">
        <f t="shared" si="2"/>
        <v>0</v>
      </c>
      <c r="I5" s="98">
        <v>0</v>
      </c>
      <c r="J5" s="23">
        <f t="shared" si="2"/>
        <v>0</v>
      </c>
      <c r="K5" s="98">
        <v>0</v>
      </c>
      <c r="L5" s="23">
        <f t="shared" si="2"/>
        <v>0</v>
      </c>
      <c r="M5" s="109">
        <v>0</v>
      </c>
      <c r="N5" s="105"/>
      <c r="O5" s="25"/>
      <c r="P5" s="24">
        <v>1</v>
      </c>
      <c r="Q5" s="37">
        <v>8</v>
      </c>
      <c r="R5" s="24"/>
      <c r="S5" s="37"/>
    </row>
    <row r="6" spans="1:19" x14ac:dyDescent="0.25">
      <c r="A6" s="127">
        <v>46025</v>
      </c>
      <c r="B6" s="114"/>
      <c r="C6" s="115"/>
      <c r="D6" s="114"/>
      <c r="E6" s="115"/>
      <c r="F6" s="116"/>
      <c r="G6" s="115"/>
      <c r="H6" s="116"/>
      <c r="I6" s="115"/>
      <c r="J6" s="116"/>
      <c r="K6" s="115"/>
      <c r="L6" s="116"/>
      <c r="M6" s="117"/>
      <c r="N6" s="118"/>
      <c r="O6" s="119"/>
      <c r="P6" s="120"/>
      <c r="Q6" s="121"/>
      <c r="R6" s="120"/>
      <c r="S6" s="121"/>
    </row>
    <row r="7" spans="1:19" x14ac:dyDescent="0.25">
      <c r="A7" s="127">
        <v>46026</v>
      </c>
      <c r="B7" s="114"/>
      <c r="C7" s="115"/>
      <c r="D7" s="114"/>
      <c r="E7" s="115"/>
      <c r="F7" s="116"/>
      <c r="G7" s="115"/>
      <c r="H7" s="116"/>
      <c r="I7" s="115"/>
      <c r="J7" s="116"/>
      <c r="K7" s="115"/>
      <c r="L7" s="116"/>
      <c r="M7" s="117"/>
      <c r="N7" s="118"/>
      <c r="O7" s="119"/>
      <c r="P7" s="120"/>
      <c r="Q7" s="121"/>
      <c r="R7" s="120"/>
      <c r="S7" s="121"/>
    </row>
    <row r="8" spans="1:19" x14ac:dyDescent="0.25">
      <c r="A8" s="127">
        <v>46027</v>
      </c>
      <c r="B8" s="35">
        <f t="shared" si="0"/>
        <v>4.75</v>
      </c>
      <c r="C8" s="27">
        <v>38</v>
      </c>
      <c r="D8" s="35">
        <f t="shared" si="1"/>
        <v>7.125</v>
      </c>
      <c r="E8" s="87">
        <v>57</v>
      </c>
      <c r="F8" s="23">
        <f t="shared" si="2"/>
        <v>0</v>
      </c>
      <c r="G8" s="98">
        <v>0</v>
      </c>
      <c r="H8" s="23">
        <f t="shared" si="2"/>
        <v>0</v>
      </c>
      <c r="I8" s="98">
        <v>0</v>
      </c>
      <c r="J8" s="23">
        <f t="shared" si="2"/>
        <v>0</v>
      </c>
      <c r="K8" s="98">
        <v>0</v>
      </c>
      <c r="L8" s="23">
        <f t="shared" si="2"/>
        <v>0</v>
      </c>
      <c r="M8" s="109">
        <v>0</v>
      </c>
      <c r="N8" s="105"/>
      <c r="O8" s="25"/>
      <c r="P8" s="24">
        <v>1</v>
      </c>
      <c r="Q8" s="37">
        <v>9</v>
      </c>
      <c r="R8" s="24"/>
      <c r="S8" s="37"/>
    </row>
    <row r="9" spans="1:19" x14ac:dyDescent="0.25">
      <c r="A9" s="127">
        <v>46028</v>
      </c>
      <c r="B9" s="35">
        <f t="shared" si="0"/>
        <v>5.875</v>
      </c>
      <c r="C9" s="27">
        <v>47</v>
      </c>
      <c r="D9" s="35">
        <f t="shared" si="1"/>
        <v>8.75</v>
      </c>
      <c r="E9" s="87">
        <v>70</v>
      </c>
      <c r="F9" s="23">
        <f t="shared" si="2"/>
        <v>0</v>
      </c>
      <c r="G9" s="98">
        <v>0</v>
      </c>
      <c r="H9" s="23">
        <f t="shared" si="2"/>
        <v>0</v>
      </c>
      <c r="I9" s="98">
        <v>0</v>
      </c>
      <c r="J9" s="23">
        <f t="shared" si="2"/>
        <v>0</v>
      </c>
      <c r="K9" s="98">
        <v>0</v>
      </c>
      <c r="L9" s="23">
        <f t="shared" si="2"/>
        <v>0</v>
      </c>
      <c r="M9" s="109">
        <v>0</v>
      </c>
      <c r="N9" s="105"/>
      <c r="O9" s="25"/>
      <c r="P9" s="24">
        <v>1</v>
      </c>
      <c r="Q9" s="37">
        <v>9</v>
      </c>
      <c r="R9" s="24"/>
      <c r="S9" s="37"/>
    </row>
    <row r="10" spans="1:19" x14ac:dyDescent="0.25">
      <c r="A10" s="127">
        <v>46029</v>
      </c>
      <c r="B10" s="35">
        <f t="shared" si="0"/>
        <v>5.875</v>
      </c>
      <c r="C10" s="27">
        <v>47</v>
      </c>
      <c r="D10" s="35">
        <f t="shared" si="1"/>
        <v>8.75</v>
      </c>
      <c r="E10" s="87">
        <v>70</v>
      </c>
      <c r="F10" s="23">
        <f t="shared" si="2"/>
        <v>0</v>
      </c>
      <c r="G10" s="98">
        <v>0</v>
      </c>
      <c r="H10" s="23">
        <f t="shared" si="2"/>
        <v>0</v>
      </c>
      <c r="I10" s="98">
        <v>0</v>
      </c>
      <c r="J10" s="23">
        <f t="shared" si="2"/>
        <v>0</v>
      </c>
      <c r="K10" s="98">
        <v>0</v>
      </c>
      <c r="L10" s="23">
        <f t="shared" si="2"/>
        <v>0</v>
      </c>
      <c r="M10" s="109">
        <v>0</v>
      </c>
      <c r="N10" s="105"/>
      <c r="O10" s="25"/>
      <c r="P10" s="24">
        <v>1</v>
      </c>
      <c r="Q10" s="37">
        <v>9</v>
      </c>
      <c r="R10" s="24"/>
      <c r="S10" s="37"/>
    </row>
    <row r="11" spans="1:19" x14ac:dyDescent="0.25">
      <c r="A11" s="127">
        <v>46030</v>
      </c>
      <c r="B11" s="35">
        <f t="shared" si="0"/>
        <v>5.5</v>
      </c>
      <c r="C11" s="27">
        <v>44</v>
      </c>
      <c r="D11" s="35">
        <f t="shared" si="1"/>
        <v>8</v>
      </c>
      <c r="E11" s="87">
        <v>64</v>
      </c>
      <c r="F11" s="23">
        <f t="shared" si="2"/>
        <v>0</v>
      </c>
      <c r="G11" s="98">
        <v>0</v>
      </c>
      <c r="H11" s="23">
        <f t="shared" si="2"/>
        <v>0</v>
      </c>
      <c r="I11" s="98">
        <v>0</v>
      </c>
      <c r="J11" s="23">
        <f t="shared" si="2"/>
        <v>0</v>
      </c>
      <c r="K11" s="98">
        <v>0</v>
      </c>
      <c r="L11" s="23">
        <f t="shared" si="2"/>
        <v>0</v>
      </c>
      <c r="M11" s="109">
        <v>0</v>
      </c>
      <c r="N11" s="105"/>
      <c r="O11" s="25"/>
      <c r="P11" s="24">
        <v>1</v>
      </c>
      <c r="Q11" s="37">
        <v>9</v>
      </c>
      <c r="R11" s="24"/>
      <c r="S11" s="37"/>
    </row>
    <row r="12" spans="1:19" x14ac:dyDescent="0.25">
      <c r="A12" s="127">
        <v>46031</v>
      </c>
      <c r="B12" s="35">
        <f t="shared" si="0"/>
        <v>5.5</v>
      </c>
      <c r="C12" s="27">
        <v>44</v>
      </c>
      <c r="D12" s="35">
        <f t="shared" si="1"/>
        <v>5.5</v>
      </c>
      <c r="E12" s="87">
        <v>44</v>
      </c>
      <c r="F12" s="23">
        <f t="shared" si="2"/>
        <v>0</v>
      </c>
      <c r="G12" s="98">
        <v>0</v>
      </c>
      <c r="H12" s="23">
        <f t="shared" si="2"/>
        <v>0</v>
      </c>
      <c r="I12" s="98">
        <v>0</v>
      </c>
      <c r="J12" s="23">
        <f t="shared" si="2"/>
        <v>0</v>
      </c>
      <c r="K12" s="98">
        <v>0</v>
      </c>
      <c r="L12" s="23">
        <f t="shared" si="2"/>
        <v>0</v>
      </c>
      <c r="M12" s="109">
        <v>0</v>
      </c>
      <c r="N12" s="105"/>
      <c r="O12" s="25"/>
      <c r="P12" s="24">
        <v>1</v>
      </c>
      <c r="Q12" s="37">
        <v>8</v>
      </c>
      <c r="R12" s="24"/>
      <c r="S12" s="37"/>
    </row>
    <row r="13" spans="1:19" x14ac:dyDescent="0.25">
      <c r="A13" s="127">
        <v>46032</v>
      </c>
      <c r="B13" s="114"/>
      <c r="C13" s="115"/>
      <c r="D13" s="114"/>
      <c r="E13" s="115"/>
      <c r="F13" s="116"/>
      <c r="G13" s="115"/>
      <c r="H13" s="116"/>
      <c r="I13" s="115"/>
      <c r="J13" s="116"/>
      <c r="K13" s="115"/>
      <c r="L13" s="116"/>
      <c r="M13" s="117"/>
      <c r="N13" s="118"/>
      <c r="O13" s="119"/>
      <c r="P13" s="120"/>
      <c r="Q13" s="121"/>
      <c r="R13" s="120"/>
      <c r="S13" s="121"/>
    </row>
    <row r="14" spans="1:19" x14ac:dyDescent="0.25">
      <c r="A14" s="127">
        <v>46033</v>
      </c>
      <c r="B14" s="114"/>
      <c r="C14" s="115"/>
      <c r="D14" s="114"/>
      <c r="E14" s="115"/>
      <c r="F14" s="116"/>
      <c r="G14" s="115"/>
      <c r="H14" s="116"/>
      <c r="I14" s="115"/>
      <c r="J14" s="116"/>
      <c r="K14" s="115"/>
      <c r="L14" s="116"/>
      <c r="M14" s="117"/>
      <c r="N14" s="118"/>
      <c r="O14" s="119"/>
      <c r="P14" s="120"/>
      <c r="Q14" s="121"/>
      <c r="R14" s="120"/>
      <c r="S14" s="121"/>
    </row>
    <row r="15" spans="1:19" x14ac:dyDescent="0.25">
      <c r="A15" s="127">
        <v>46034</v>
      </c>
      <c r="B15" s="35">
        <f t="shared" si="0"/>
        <v>4.375</v>
      </c>
      <c r="C15" s="27">
        <v>35</v>
      </c>
      <c r="D15" s="35">
        <f t="shared" si="1"/>
        <v>10.25</v>
      </c>
      <c r="E15" s="87">
        <v>82</v>
      </c>
      <c r="F15" s="23">
        <f t="shared" si="2"/>
        <v>0</v>
      </c>
      <c r="G15" s="98">
        <v>0</v>
      </c>
      <c r="H15" s="23">
        <f t="shared" si="2"/>
        <v>0</v>
      </c>
      <c r="I15" s="98">
        <v>0</v>
      </c>
      <c r="J15" s="23">
        <f t="shared" si="2"/>
        <v>0</v>
      </c>
      <c r="K15" s="98">
        <v>0</v>
      </c>
      <c r="L15" s="23">
        <f t="shared" si="2"/>
        <v>0</v>
      </c>
      <c r="M15" s="109">
        <v>0</v>
      </c>
      <c r="N15" s="105"/>
      <c r="O15" s="25"/>
      <c r="P15" s="24">
        <v>1</v>
      </c>
      <c r="Q15" s="37">
        <v>9</v>
      </c>
      <c r="R15" s="24"/>
      <c r="S15" s="37"/>
    </row>
    <row r="16" spans="1:19" x14ac:dyDescent="0.25">
      <c r="A16" s="127">
        <v>46035</v>
      </c>
      <c r="B16" s="35">
        <f t="shared" si="0"/>
        <v>8.75</v>
      </c>
      <c r="C16" s="87">
        <v>70</v>
      </c>
      <c r="D16" s="35">
        <f t="shared" si="1"/>
        <v>5.875</v>
      </c>
      <c r="E16" s="27">
        <v>47</v>
      </c>
      <c r="F16" s="23">
        <f t="shared" si="2"/>
        <v>0</v>
      </c>
      <c r="G16" s="98">
        <v>0</v>
      </c>
      <c r="H16" s="23">
        <f t="shared" si="2"/>
        <v>0</v>
      </c>
      <c r="I16" s="98">
        <v>0</v>
      </c>
      <c r="J16" s="23">
        <f t="shared" si="2"/>
        <v>0</v>
      </c>
      <c r="K16" s="98">
        <v>0</v>
      </c>
      <c r="L16" s="23">
        <f t="shared" si="2"/>
        <v>0</v>
      </c>
      <c r="M16" s="109">
        <v>0</v>
      </c>
      <c r="N16" s="105"/>
      <c r="O16" s="25"/>
      <c r="P16" s="24">
        <v>1</v>
      </c>
      <c r="Q16" s="37">
        <v>9</v>
      </c>
      <c r="R16" s="24"/>
      <c r="S16" s="37"/>
    </row>
    <row r="17" spans="1:19" x14ac:dyDescent="0.25">
      <c r="A17" s="127">
        <v>46036</v>
      </c>
      <c r="B17" s="35">
        <f t="shared" si="0"/>
        <v>7.25</v>
      </c>
      <c r="C17" s="27">
        <v>58</v>
      </c>
      <c r="D17" s="35">
        <f t="shared" si="1"/>
        <v>7.375</v>
      </c>
      <c r="E17" s="87">
        <v>59</v>
      </c>
      <c r="F17" s="23">
        <f t="shared" si="2"/>
        <v>0</v>
      </c>
      <c r="G17" s="98">
        <v>0</v>
      </c>
      <c r="H17" s="23">
        <f t="shared" si="2"/>
        <v>0</v>
      </c>
      <c r="I17" s="98">
        <v>0</v>
      </c>
      <c r="J17" s="23">
        <f t="shared" si="2"/>
        <v>0</v>
      </c>
      <c r="K17" s="98">
        <v>0</v>
      </c>
      <c r="L17" s="23">
        <f t="shared" si="2"/>
        <v>0</v>
      </c>
      <c r="M17" s="109">
        <v>0</v>
      </c>
      <c r="N17" s="105"/>
      <c r="O17" s="25"/>
      <c r="P17" s="24">
        <v>1</v>
      </c>
      <c r="Q17" s="37">
        <v>9</v>
      </c>
      <c r="R17" s="24"/>
      <c r="S17" s="37"/>
    </row>
    <row r="18" spans="1:19" ht="15" customHeight="1" x14ac:dyDescent="0.25">
      <c r="A18" s="127">
        <v>46037</v>
      </c>
      <c r="B18" s="35">
        <f t="shared" si="0"/>
        <v>7.25</v>
      </c>
      <c r="C18" s="27">
        <v>58</v>
      </c>
      <c r="D18" s="35">
        <f t="shared" si="1"/>
        <v>7.375</v>
      </c>
      <c r="E18" s="87">
        <v>59</v>
      </c>
      <c r="F18" s="23">
        <f t="shared" si="2"/>
        <v>0</v>
      </c>
      <c r="G18" s="98">
        <v>0</v>
      </c>
      <c r="H18" s="23">
        <f t="shared" si="2"/>
        <v>0</v>
      </c>
      <c r="I18" s="98">
        <v>0</v>
      </c>
      <c r="J18" s="23">
        <f t="shared" si="2"/>
        <v>0</v>
      </c>
      <c r="K18" s="98">
        <v>0</v>
      </c>
      <c r="L18" s="23">
        <f t="shared" si="2"/>
        <v>0</v>
      </c>
      <c r="M18" s="109">
        <v>0</v>
      </c>
      <c r="N18" s="57"/>
      <c r="O18" s="24"/>
      <c r="P18" s="24">
        <v>1</v>
      </c>
      <c r="Q18" s="37">
        <v>9</v>
      </c>
      <c r="R18" s="24"/>
      <c r="S18" s="37"/>
    </row>
    <row r="19" spans="1:19" ht="15" customHeight="1" x14ac:dyDescent="0.25">
      <c r="A19" s="127">
        <v>46038</v>
      </c>
      <c r="B19" s="35">
        <f t="shared" si="0"/>
        <v>6</v>
      </c>
      <c r="C19" s="27">
        <v>48</v>
      </c>
      <c r="D19" s="35">
        <f t="shared" si="1"/>
        <v>6</v>
      </c>
      <c r="E19" s="87">
        <v>48</v>
      </c>
      <c r="F19" s="23">
        <f t="shared" si="2"/>
        <v>0</v>
      </c>
      <c r="G19" s="98">
        <v>0</v>
      </c>
      <c r="H19" s="23">
        <f t="shared" si="2"/>
        <v>0</v>
      </c>
      <c r="I19" s="98">
        <v>0</v>
      </c>
      <c r="J19" s="23">
        <f t="shared" si="2"/>
        <v>0</v>
      </c>
      <c r="K19" s="98">
        <v>0</v>
      </c>
      <c r="L19" s="23">
        <f t="shared" si="2"/>
        <v>0</v>
      </c>
      <c r="M19" s="109">
        <v>0</v>
      </c>
      <c r="N19" s="21"/>
      <c r="O19" s="24"/>
      <c r="P19" s="24">
        <v>1</v>
      </c>
      <c r="Q19" s="37">
        <v>8</v>
      </c>
      <c r="R19" s="24"/>
      <c r="S19" s="37"/>
    </row>
    <row r="20" spans="1:19" ht="15" customHeight="1" x14ac:dyDescent="0.25">
      <c r="A20" s="127">
        <v>46039</v>
      </c>
      <c r="B20" s="114"/>
      <c r="C20" s="115"/>
      <c r="D20" s="114"/>
      <c r="E20" s="115"/>
      <c r="F20" s="116"/>
      <c r="G20" s="115"/>
      <c r="H20" s="116"/>
      <c r="I20" s="115"/>
      <c r="J20" s="116"/>
      <c r="K20" s="115"/>
      <c r="L20" s="116"/>
      <c r="M20" s="117"/>
      <c r="N20" s="118"/>
      <c r="O20" s="119"/>
      <c r="P20" s="120"/>
      <c r="Q20" s="121"/>
      <c r="R20" s="120"/>
      <c r="S20" s="121"/>
    </row>
    <row r="21" spans="1:19" x14ac:dyDescent="0.25">
      <c r="A21" s="127">
        <v>46040</v>
      </c>
      <c r="B21" s="114"/>
      <c r="C21" s="115"/>
      <c r="D21" s="114"/>
      <c r="E21" s="115"/>
      <c r="F21" s="116"/>
      <c r="G21" s="115"/>
      <c r="H21" s="116"/>
      <c r="I21" s="115"/>
      <c r="J21" s="116"/>
      <c r="K21" s="115"/>
      <c r="L21" s="116"/>
      <c r="M21" s="117"/>
      <c r="N21" s="118"/>
      <c r="O21" s="119"/>
      <c r="P21" s="120"/>
      <c r="Q21" s="121"/>
      <c r="R21" s="120"/>
      <c r="S21" s="121"/>
    </row>
    <row r="22" spans="1:19" x14ac:dyDescent="0.25">
      <c r="A22" s="127">
        <v>46041</v>
      </c>
      <c r="B22" s="35">
        <f t="shared" si="0"/>
        <v>6.0737500000000004</v>
      </c>
      <c r="C22" s="27">
        <v>48.59</v>
      </c>
      <c r="D22" s="35">
        <f t="shared" si="1"/>
        <v>6.0737500000000004</v>
      </c>
      <c r="E22" s="87">
        <v>48.59</v>
      </c>
      <c r="F22" s="23">
        <f t="shared" si="2"/>
        <v>8.875</v>
      </c>
      <c r="G22" s="98">
        <v>71</v>
      </c>
      <c r="H22" s="23">
        <f t="shared" si="2"/>
        <v>0</v>
      </c>
      <c r="I22" s="98">
        <v>0</v>
      </c>
      <c r="J22" s="23">
        <f t="shared" si="2"/>
        <v>0</v>
      </c>
      <c r="K22" s="98">
        <v>0</v>
      </c>
      <c r="L22" s="23">
        <f t="shared" si="2"/>
        <v>0</v>
      </c>
      <c r="M22" s="109">
        <v>0</v>
      </c>
      <c r="N22" s="105"/>
      <c r="O22" s="25"/>
      <c r="P22" s="24">
        <v>1</v>
      </c>
      <c r="Q22" s="37">
        <v>9</v>
      </c>
      <c r="R22" s="24"/>
      <c r="S22" s="37"/>
    </row>
    <row r="23" spans="1:19" x14ac:dyDescent="0.25">
      <c r="A23" s="127">
        <v>46042</v>
      </c>
      <c r="B23" s="35">
        <f t="shared" si="0"/>
        <v>8.125</v>
      </c>
      <c r="C23" s="27">
        <v>65</v>
      </c>
      <c r="D23" s="35">
        <f t="shared" si="1"/>
        <v>5.375</v>
      </c>
      <c r="E23" s="87">
        <v>43</v>
      </c>
      <c r="F23" s="23">
        <f t="shared" si="2"/>
        <v>9</v>
      </c>
      <c r="G23" s="98">
        <v>72</v>
      </c>
      <c r="H23" s="23">
        <f t="shared" si="2"/>
        <v>0</v>
      </c>
      <c r="I23" s="98">
        <v>0</v>
      </c>
      <c r="J23" s="23">
        <f t="shared" si="2"/>
        <v>0</v>
      </c>
      <c r="K23" s="98">
        <v>0</v>
      </c>
      <c r="L23" s="23">
        <f t="shared" si="2"/>
        <v>0</v>
      </c>
      <c r="M23" s="109">
        <v>0</v>
      </c>
      <c r="N23" s="105"/>
      <c r="O23" s="25"/>
      <c r="P23" s="24">
        <v>1</v>
      </c>
      <c r="Q23" s="37">
        <v>9</v>
      </c>
      <c r="R23" s="24"/>
      <c r="S23" s="37"/>
    </row>
    <row r="24" spans="1:19" x14ac:dyDescent="0.25">
      <c r="A24" s="127">
        <v>46043</v>
      </c>
      <c r="B24" s="35">
        <f t="shared" si="0"/>
        <v>8.75</v>
      </c>
      <c r="C24" s="87">
        <v>70</v>
      </c>
      <c r="D24" s="35">
        <f t="shared" si="1"/>
        <v>5.875</v>
      </c>
      <c r="E24" s="27">
        <v>47</v>
      </c>
      <c r="F24" s="23">
        <f t="shared" si="2"/>
        <v>9</v>
      </c>
      <c r="G24" s="98">
        <v>72</v>
      </c>
      <c r="H24" s="23">
        <f t="shared" si="2"/>
        <v>0</v>
      </c>
      <c r="I24" s="98">
        <v>0</v>
      </c>
      <c r="J24" s="23">
        <f t="shared" si="2"/>
        <v>0</v>
      </c>
      <c r="K24" s="98">
        <v>0</v>
      </c>
      <c r="L24" s="23">
        <f t="shared" si="2"/>
        <v>0</v>
      </c>
      <c r="M24" s="109">
        <v>0</v>
      </c>
      <c r="N24" s="105"/>
      <c r="O24" s="25"/>
      <c r="P24" s="24">
        <v>1</v>
      </c>
      <c r="Q24" s="37">
        <v>9</v>
      </c>
      <c r="R24" s="24"/>
      <c r="S24" s="37"/>
    </row>
    <row r="25" spans="1:19" x14ac:dyDescent="0.25">
      <c r="A25" s="127">
        <v>46044</v>
      </c>
      <c r="B25" s="35">
        <f t="shared" ref="B25" si="3">C25/8</f>
        <v>7.25</v>
      </c>
      <c r="C25" s="27">
        <v>58</v>
      </c>
      <c r="D25" s="35">
        <f t="shared" ref="D25" si="4">E25/8</f>
        <v>7.375</v>
      </c>
      <c r="E25" s="87">
        <v>59</v>
      </c>
      <c r="F25" s="23">
        <f t="shared" ref="F25" si="5">G25/8</f>
        <v>8.375</v>
      </c>
      <c r="G25" s="98">
        <v>67</v>
      </c>
      <c r="H25" s="23">
        <f t="shared" ref="H25" si="6">I25/8</f>
        <v>0</v>
      </c>
      <c r="I25" s="98">
        <v>0</v>
      </c>
      <c r="J25" s="23">
        <f t="shared" ref="J25" si="7">K25/8</f>
        <v>0</v>
      </c>
      <c r="K25" s="98">
        <v>0</v>
      </c>
      <c r="L25" s="23">
        <f t="shared" ref="L25" si="8">M25/8</f>
        <v>0</v>
      </c>
      <c r="M25" s="109">
        <v>0</v>
      </c>
      <c r="N25" s="105"/>
      <c r="O25" s="25"/>
      <c r="P25" s="24">
        <v>1</v>
      </c>
      <c r="Q25" s="37">
        <v>9</v>
      </c>
      <c r="R25" s="24"/>
      <c r="S25" s="37"/>
    </row>
    <row r="26" spans="1:19" x14ac:dyDescent="0.25">
      <c r="A26" s="127">
        <v>46045</v>
      </c>
      <c r="B26" s="35">
        <f t="shared" si="0"/>
        <v>6.5</v>
      </c>
      <c r="C26" s="27">
        <v>52</v>
      </c>
      <c r="D26" s="35">
        <f t="shared" si="1"/>
        <v>6.5</v>
      </c>
      <c r="E26" s="87">
        <v>52</v>
      </c>
      <c r="F26" s="23">
        <f t="shared" si="2"/>
        <v>8</v>
      </c>
      <c r="G26" s="98">
        <v>64</v>
      </c>
      <c r="H26" s="23">
        <f t="shared" si="2"/>
        <v>0</v>
      </c>
      <c r="I26" s="98">
        <v>0</v>
      </c>
      <c r="J26" s="23">
        <f t="shared" si="2"/>
        <v>0</v>
      </c>
      <c r="K26" s="98">
        <v>0</v>
      </c>
      <c r="L26" s="23">
        <f t="shared" si="2"/>
        <v>0</v>
      </c>
      <c r="M26" s="109">
        <v>0</v>
      </c>
      <c r="N26" s="105"/>
      <c r="O26" s="25"/>
      <c r="P26" s="24">
        <v>1</v>
      </c>
      <c r="Q26" s="37">
        <v>8</v>
      </c>
      <c r="R26" s="24"/>
      <c r="S26" s="37"/>
    </row>
    <row r="27" spans="1:19" x14ac:dyDescent="0.25">
      <c r="A27" s="127">
        <v>46046</v>
      </c>
      <c r="B27" s="114"/>
      <c r="C27" s="115"/>
      <c r="D27" s="114"/>
      <c r="E27" s="115"/>
      <c r="F27" s="116"/>
      <c r="G27" s="115"/>
      <c r="H27" s="116"/>
      <c r="I27" s="115"/>
      <c r="J27" s="116"/>
      <c r="K27" s="115"/>
      <c r="L27" s="116"/>
      <c r="M27" s="117"/>
      <c r="N27" s="118"/>
      <c r="O27" s="119"/>
      <c r="P27" s="120"/>
      <c r="Q27" s="121"/>
      <c r="R27" s="120"/>
      <c r="S27" s="121"/>
    </row>
    <row r="28" spans="1:19" x14ac:dyDescent="0.25">
      <c r="A28" s="127">
        <v>46047</v>
      </c>
      <c r="B28" s="114"/>
      <c r="C28" s="115"/>
      <c r="D28" s="114"/>
      <c r="E28" s="115"/>
      <c r="F28" s="116"/>
      <c r="G28" s="115"/>
      <c r="H28" s="116"/>
      <c r="I28" s="115"/>
      <c r="J28" s="116"/>
      <c r="K28" s="115"/>
      <c r="L28" s="116"/>
      <c r="M28" s="117"/>
      <c r="N28" s="118"/>
      <c r="O28" s="119"/>
      <c r="P28" s="120"/>
      <c r="Q28" s="121"/>
      <c r="R28" s="120"/>
      <c r="S28" s="121"/>
    </row>
    <row r="29" spans="1:19" x14ac:dyDescent="0.25">
      <c r="A29" s="127">
        <v>46048</v>
      </c>
      <c r="B29" s="35">
        <f t="shared" ref="B29:B31" si="9">C29/8</f>
        <v>5.875</v>
      </c>
      <c r="C29" s="27">
        <v>47</v>
      </c>
      <c r="D29" s="35">
        <f t="shared" ref="D29:D31" si="10">E29/8</f>
        <v>8.75</v>
      </c>
      <c r="E29" s="87">
        <v>70</v>
      </c>
      <c r="F29" s="23">
        <f t="shared" ref="F29:F31" si="11">G29/8</f>
        <v>8</v>
      </c>
      <c r="G29" s="98">
        <v>64</v>
      </c>
      <c r="H29" s="23">
        <f t="shared" ref="H29:H31" si="12">I29/8</f>
        <v>0</v>
      </c>
      <c r="I29" s="98">
        <v>0</v>
      </c>
      <c r="J29" s="23">
        <f t="shared" ref="J29:J31" si="13">K29/8</f>
        <v>0</v>
      </c>
      <c r="K29" s="98">
        <v>0</v>
      </c>
      <c r="L29" s="23">
        <f t="shared" ref="L29:L31" si="14">M29/8</f>
        <v>0</v>
      </c>
      <c r="M29" s="109">
        <v>0</v>
      </c>
      <c r="N29" s="105"/>
      <c r="O29" s="25"/>
      <c r="P29" s="24">
        <v>1</v>
      </c>
      <c r="Q29" s="37">
        <v>9</v>
      </c>
      <c r="R29" s="24"/>
      <c r="S29" s="37"/>
    </row>
    <row r="30" spans="1:19" x14ac:dyDescent="0.25">
      <c r="A30" s="127">
        <v>46049</v>
      </c>
      <c r="B30" s="35">
        <f t="shared" si="9"/>
        <v>5.375</v>
      </c>
      <c r="C30" s="27">
        <v>43</v>
      </c>
      <c r="D30" s="35">
        <f t="shared" si="10"/>
        <v>8.125</v>
      </c>
      <c r="E30" s="87">
        <v>65</v>
      </c>
      <c r="F30" s="23">
        <f t="shared" si="11"/>
        <v>7.375</v>
      </c>
      <c r="G30" s="98">
        <v>59</v>
      </c>
      <c r="H30" s="23">
        <f t="shared" si="12"/>
        <v>0</v>
      </c>
      <c r="I30" s="98">
        <v>0</v>
      </c>
      <c r="J30" s="23">
        <f t="shared" si="13"/>
        <v>0</v>
      </c>
      <c r="K30" s="98">
        <v>0</v>
      </c>
      <c r="L30" s="23">
        <f t="shared" si="14"/>
        <v>0</v>
      </c>
      <c r="M30" s="109">
        <v>0</v>
      </c>
      <c r="N30" s="105"/>
      <c r="O30" s="25"/>
      <c r="P30" s="24">
        <v>1</v>
      </c>
      <c r="Q30" s="37">
        <v>9</v>
      </c>
      <c r="R30" s="24"/>
      <c r="S30" s="37"/>
    </row>
    <row r="31" spans="1:19" x14ac:dyDescent="0.25">
      <c r="A31" s="127">
        <v>46050</v>
      </c>
      <c r="B31" s="35">
        <f t="shared" si="9"/>
        <v>5.875</v>
      </c>
      <c r="C31" s="27">
        <v>47</v>
      </c>
      <c r="D31" s="35">
        <f t="shared" si="10"/>
        <v>8.75</v>
      </c>
      <c r="E31" s="87">
        <v>70</v>
      </c>
      <c r="F31" s="23">
        <f t="shared" si="11"/>
        <v>8</v>
      </c>
      <c r="G31" s="98">
        <v>64</v>
      </c>
      <c r="H31" s="23">
        <f t="shared" si="12"/>
        <v>0</v>
      </c>
      <c r="I31" s="98">
        <v>0</v>
      </c>
      <c r="J31" s="23">
        <f t="shared" si="13"/>
        <v>0</v>
      </c>
      <c r="K31" s="98">
        <v>0</v>
      </c>
      <c r="L31" s="23">
        <f t="shared" si="14"/>
        <v>0</v>
      </c>
      <c r="M31" s="109">
        <v>0</v>
      </c>
      <c r="N31" s="105"/>
      <c r="O31" s="25"/>
      <c r="P31" s="24">
        <v>1</v>
      </c>
      <c r="Q31" s="37">
        <v>9</v>
      </c>
      <c r="R31" s="24"/>
      <c r="S31" s="37"/>
    </row>
    <row r="32" spans="1:19" x14ac:dyDescent="0.25">
      <c r="A32" s="127">
        <v>46051</v>
      </c>
      <c r="B32" s="35">
        <f t="shared" ref="B32:B33" si="15">C32/8</f>
        <v>5.875</v>
      </c>
      <c r="C32" s="27">
        <v>47</v>
      </c>
      <c r="D32" s="35">
        <f t="shared" ref="D32:D33" si="16">E32/8</f>
        <v>8.75</v>
      </c>
      <c r="E32" s="87">
        <v>70</v>
      </c>
      <c r="F32" s="23">
        <f t="shared" ref="F32:F33" si="17">G32/8</f>
        <v>0</v>
      </c>
      <c r="G32" s="98">
        <v>0</v>
      </c>
      <c r="H32" s="23">
        <f t="shared" ref="H32:H33" si="18">I32/8</f>
        <v>0</v>
      </c>
      <c r="I32" s="98">
        <v>0</v>
      </c>
      <c r="J32" s="23">
        <f t="shared" ref="J32:J33" si="19">K32/8</f>
        <v>8</v>
      </c>
      <c r="K32" s="98">
        <v>64</v>
      </c>
      <c r="L32" s="23">
        <f t="shared" ref="L32:L33" si="20">M32/8</f>
        <v>0</v>
      </c>
      <c r="M32" s="109">
        <v>0</v>
      </c>
      <c r="N32" s="105"/>
      <c r="O32" s="25"/>
      <c r="P32" s="24">
        <v>1</v>
      </c>
      <c r="Q32" s="37">
        <v>9</v>
      </c>
      <c r="R32" s="24"/>
      <c r="S32" s="37"/>
    </row>
    <row r="33" spans="1:19" x14ac:dyDescent="0.25">
      <c r="A33" s="127">
        <v>46052</v>
      </c>
      <c r="B33" s="35">
        <f t="shared" si="15"/>
        <v>4.375</v>
      </c>
      <c r="C33" s="27">
        <v>35</v>
      </c>
      <c r="D33" s="35">
        <f t="shared" si="16"/>
        <v>6.625</v>
      </c>
      <c r="E33" s="87">
        <v>53</v>
      </c>
      <c r="F33" s="23">
        <f t="shared" si="17"/>
        <v>3.375</v>
      </c>
      <c r="G33" s="98">
        <v>27</v>
      </c>
      <c r="H33" s="23">
        <f t="shared" si="18"/>
        <v>0</v>
      </c>
      <c r="I33" s="98">
        <v>0</v>
      </c>
      <c r="J33" s="23">
        <f t="shared" si="19"/>
        <v>3.4375</v>
      </c>
      <c r="K33" s="98">
        <v>27.5</v>
      </c>
      <c r="L33" s="23">
        <f t="shared" si="20"/>
        <v>0</v>
      </c>
      <c r="M33" s="109">
        <v>0</v>
      </c>
      <c r="N33" s="105"/>
      <c r="O33" s="25"/>
      <c r="P33" s="24">
        <v>1</v>
      </c>
      <c r="Q33" s="37">
        <v>8</v>
      </c>
      <c r="R33" s="24"/>
      <c r="S33" s="37"/>
    </row>
    <row r="34" spans="1:19" ht="15.75" thickBot="1" x14ac:dyDescent="0.3">
      <c r="A34" s="127">
        <v>46053</v>
      </c>
      <c r="B34" s="114"/>
      <c r="C34" s="115"/>
      <c r="D34" s="114"/>
      <c r="E34" s="115"/>
      <c r="F34" s="116"/>
      <c r="G34" s="115"/>
      <c r="H34" s="116"/>
      <c r="I34" s="115"/>
      <c r="J34" s="116"/>
      <c r="K34" s="115"/>
      <c r="L34" s="116"/>
      <c r="M34" s="117"/>
      <c r="N34" s="118"/>
      <c r="O34" s="119"/>
      <c r="P34" s="120"/>
      <c r="Q34" s="121"/>
      <c r="R34" s="120"/>
      <c r="S34" s="121"/>
    </row>
    <row r="35" spans="1:19" ht="15.75" thickBot="1" x14ac:dyDescent="0.3">
      <c r="A35" s="58" t="s">
        <v>20</v>
      </c>
      <c r="B35" s="59">
        <f>IFERROR(AVERAGE(B4:B28),0)</f>
        <v>6.4264843750000002</v>
      </c>
      <c r="C35" s="60">
        <f>SUM(C4:C33)</f>
        <v>1041.5900000000001</v>
      </c>
      <c r="D35" s="59">
        <f>AVERAGE(D4:D28)</f>
        <v>7.1061718750000002</v>
      </c>
      <c r="E35" s="61">
        <f>SUM(E4:E34)</f>
        <v>1237.5900000000001</v>
      </c>
      <c r="F35" s="62">
        <f>AVERAGE(F4:F28)</f>
        <v>2.703125</v>
      </c>
      <c r="G35" s="63">
        <f>SUM(G4:G34)</f>
        <v>560</v>
      </c>
      <c r="H35" s="62">
        <f>AVERAGE(H4:H28)</f>
        <v>0</v>
      </c>
      <c r="I35" s="63">
        <f>SUM(I4:I34)</f>
        <v>0</v>
      </c>
      <c r="J35" s="62">
        <f>AVERAGE(J4:J28)</f>
        <v>0</v>
      </c>
      <c r="K35" s="63">
        <f>SUM(K4:K34)</f>
        <v>91.5</v>
      </c>
      <c r="L35" s="62">
        <f>AVERAGE(L4:L28)</f>
        <v>0</v>
      </c>
      <c r="M35" s="63">
        <f>SUM(M4:M34)</f>
        <v>0</v>
      </c>
      <c r="N35" s="64">
        <f>IFERROR(AVERAGE(N4:N28),0)</f>
        <v>0</v>
      </c>
      <c r="O35" s="65">
        <f>C35+I35+E35+G35+K35+M35</f>
        <v>2930.6800000000003</v>
      </c>
      <c r="P35" s="66">
        <f>IFERROR(AVERAGE(P4:P28),0)</f>
        <v>1</v>
      </c>
      <c r="Q35" s="154">
        <f>SUM(Q4:Q34)</f>
        <v>184</v>
      </c>
      <c r="R35" s="66">
        <f>IFERROR(AVERAGE(R4:R28),0)</f>
        <v>0</v>
      </c>
      <c r="S35" s="17">
        <f>SUM(S4:S28)</f>
        <v>0</v>
      </c>
    </row>
    <row r="36" spans="1:19" x14ac:dyDescent="0.25">
      <c r="G36" s="67"/>
      <c r="I36" s="68"/>
      <c r="O36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3"/>
  <sheetViews>
    <sheetView showGridLines="0" zoomScale="85" zoomScaleNormal="85" workbookViewId="0">
      <pane ySplit="3" topLeftCell="A4" activePane="bottomLeft" state="frozen"/>
      <selection pane="bottomLeft" activeCell="E36" sqref="E36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2026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x14ac:dyDescent="0.25">
      <c r="A4" s="127">
        <v>46054</v>
      </c>
      <c r="B4" s="114"/>
      <c r="C4" s="115"/>
      <c r="D4" s="114"/>
      <c r="E4" s="115"/>
      <c r="F4" s="116"/>
      <c r="G4" s="115"/>
      <c r="H4" s="116"/>
      <c r="I4" s="115"/>
      <c r="J4" s="116"/>
      <c r="K4" s="115"/>
      <c r="L4" s="116"/>
      <c r="M4" s="117"/>
      <c r="N4" s="118"/>
      <c r="O4" s="119"/>
      <c r="P4" s="120"/>
      <c r="Q4" s="121"/>
      <c r="R4" s="120"/>
      <c r="S4" s="121"/>
    </row>
    <row r="5" spans="1:19" x14ac:dyDescent="0.25">
      <c r="A5" s="127">
        <v>46055</v>
      </c>
      <c r="B5" s="35">
        <f t="shared" ref="B5:B23" si="0">C5/8</f>
        <v>10.125</v>
      </c>
      <c r="C5" s="27">
        <v>81</v>
      </c>
      <c r="D5" s="35">
        <f t="shared" ref="D5:D23" si="1">E5/8</f>
        <v>13.5</v>
      </c>
      <c r="E5" s="87">
        <v>108</v>
      </c>
      <c r="F5" s="23">
        <f t="shared" ref="F5:L23" si="2">G5/8</f>
        <v>9</v>
      </c>
      <c r="G5" s="98">
        <v>72</v>
      </c>
      <c r="H5" s="23">
        <f t="shared" si="2"/>
        <v>0</v>
      </c>
      <c r="I5" s="98">
        <v>0</v>
      </c>
      <c r="J5" s="23">
        <f t="shared" si="2"/>
        <v>0</v>
      </c>
      <c r="K5" s="98">
        <v>0</v>
      </c>
      <c r="L5" s="23">
        <f t="shared" si="2"/>
        <v>0</v>
      </c>
      <c r="M5" s="109">
        <v>0</v>
      </c>
      <c r="N5" s="105"/>
      <c r="O5" s="25"/>
      <c r="P5" s="24">
        <v>1</v>
      </c>
      <c r="Q5" s="37">
        <v>9</v>
      </c>
      <c r="R5" s="24"/>
      <c r="S5" s="37"/>
    </row>
    <row r="6" spans="1:19" x14ac:dyDescent="0.25">
      <c r="A6" s="127">
        <v>46056</v>
      </c>
      <c r="B6" s="35">
        <f t="shared" si="0"/>
        <v>11.875</v>
      </c>
      <c r="C6" s="27">
        <v>95</v>
      </c>
      <c r="D6" s="35">
        <f t="shared" si="1"/>
        <v>11.75</v>
      </c>
      <c r="E6" s="87">
        <v>94</v>
      </c>
      <c r="F6" s="23">
        <f t="shared" si="2"/>
        <v>9</v>
      </c>
      <c r="G6" s="98">
        <v>72</v>
      </c>
      <c r="H6" s="23">
        <f t="shared" si="2"/>
        <v>0</v>
      </c>
      <c r="I6" s="98">
        <v>0</v>
      </c>
      <c r="J6" s="23">
        <f t="shared" si="2"/>
        <v>0</v>
      </c>
      <c r="K6" s="98">
        <v>0</v>
      </c>
      <c r="L6" s="23">
        <f t="shared" si="2"/>
        <v>0</v>
      </c>
      <c r="M6" s="109">
        <v>0</v>
      </c>
      <c r="N6" s="105"/>
      <c r="O6" s="25"/>
      <c r="P6" s="24">
        <v>1</v>
      </c>
      <c r="Q6" s="37">
        <v>9</v>
      </c>
      <c r="R6" s="24"/>
      <c r="S6" s="37"/>
    </row>
    <row r="7" spans="1:19" x14ac:dyDescent="0.25">
      <c r="A7" s="127">
        <v>46057</v>
      </c>
      <c r="B7" s="35">
        <f t="shared" si="0"/>
        <v>11.25</v>
      </c>
      <c r="C7" s="27">
        <v>90</v>
      </c>
      <c r="D7" s="35">
        <f t="shared" si="1"/>
        <v>11.25</v>
      </c>
      <c r="E7" s="87">
        <v>90</v>
      </c>
      <c r="F7" s="23">
        <f t="shared" si="2"/>
        <v>9</v>
      </c>
      <c r="G7" s="98">
        <v>72</v>
      </c>
      <c r="H7" s="23">
        <f t="shared" si="2"/>
        <v>0</v>
      </c>
      <c r="I7" s="98">
        <v>0</v>
      </c>
      <c r="J7" s="23">
        <f t="shared" si="2"/>
        <v>0</v>
      </c>
      <c r="K7" s="98">
        <v>0</v>
      </c>
      <c r="L7" s="23">
        <f t="shared" si="2"/>
        <v>0</v>
      </c>
      <c r="M7" s="109">
        <v>0</v>
      </c>
      <c r="N7" s="105"/>
      <c r="O7" s="25"/>
      <c r="P7" s="24">
        <v>1</v>
      </c>
      <c r="Q7" s="37">
        <v>9</v>
      </c>
      <c r="R7" s="24"/>
      <c r="S7" s="37"/>
    </row>
    <row r="8" spans="1:19" x14ac:dyDescent="0.25">
      <c r="A8" s="127">
        <v>46058</v>
      </c>
      <c r="B8" s="35">
        <f t="shared" si="0"/>
        <v>6.75</v>
      </c>
      <c r="C8" s="27">
        <v>54</v>
      </c>
      <c r="D8" s="35">
        <f t="shared" si="1"/>
        <v>15.75</v>
      </c>
      <c r="E8" s="87">
        <v>126</v>
      </c>
      <c r="F8" s="23">
        <f t="shared" si="2"/>
        <v>9</v>
      </c>
      <c r="G8" s="98">
        <v>72</v>
      </c>
      <c r="H8" s="23">
        <f t="shared" si="2"/>
        <v>0</v>
      </c>
      <c r="I8" s="98">
        <v>0</v>
      </c>
      <c r="J8" s="23">
        <f t="shared" si="2"/>
        <v>0</v>
      </c>
      <c r="K8" s="98">
        <v>0</v>
      </c>
      <c r="L8" s="23">
        <f t="shared" si="2"/>
        <v>0</v>
      </c>
      <c r="M8" s="109">
        <v>0</v>
      </c>
      <c r="N8" s="105"/>
      <c r="O8" s="25"/>
      <c r="P8" s="24">
        <v>1</v>
      </c>
      <c r="Q8" s="37">
        <v>9</v>
      </c>
      <c r="R8" s="24"/>
      <c r="S8" s="37"/>
    </row>
    <row r="9" spans="1:19" x14ac:dyDescent="0.25">
      <c r="A9" s="127">
        <v>46059</v>
      </c>
      <c r="B9" s="35">
        <f t="shared" si="0"/>
        <v>8.375</v>
      </c>
      <c r="C9" s="27">
        <v>67</v>
      </c>
      <c r="D9" s="35">
        <f t="shared" si="1"/>
        <v>12.625</v>
      </c>
      <c r="E9" s="87">
        <v>101</v>
      </c>
      <c r="F9" s="23">
        <f t="shared" si="2"/>
        <v>8</v>
      </c>
      <c r="G9" s="98">
        <v>64</v>
      </c>
      <c r="H9" s="23">
        <f t="shared" si="2"/>
        <v>0</v>
      </c>
      <c r="I9" s="98">
        <v>0</v>
      </c>
      <c r="J9" s="23">
        <f t="shared" si="2"/>
        <v>0</v>
      </c>
      <c r="K9" s="98">
        <v>0</v>
      </c>
      <c r="L9" s="23">
        <f t="shared" si="2"/>
        <v>0</v>
      </c>
      <c r="M9" s="109">
        <v>0</v>
      </c>
      <c r="N9" s="105"/>
      <c r="O9" s="25"/>
      <c r="P9" s="24">
        <v>1</v>
      </c>
      <c r="Q9" s="37">
        <v>8</v>
      </c>
      <c r="R9" s="24"/>
      <c r="S9" s="37"/>
    </row>
    <row r="10" spans="1:19" x14ac:dyDescent="0.25">
      <c r="A10" s="127">
        <v>46060</v>
      </c>
      <c r="B10" s="114"/>
      <c r="C10" s="115"/>
      <c r="D10" s="114"/>
      <c r="E10" s="115"/>
      <c r="F10" s="116"/>
      <c r="G10" s="115"/>
      <c r="H10" s="116"/>
      <c r="I10" s="115"/>
      <c r="J10" s="116"/>
      <c r="K10" s="115"/>
      <c r="L10" s="116"/>
      <c r="M10" s="117"/>
      <c r="N10" s="118"/>
      <c r="O10" s="119"/>
      <c r="P10" s="120"/>
      <c r="Q10" s="121"/>
      <c r="R10" s="120"/>
      <c r="S10" s="121"/>
    </row>
    <row r="11" spans="1:19" x14ac:dyDescent="0.25">
      <c r="A11" s="127">
        <v>46061</v>
      </c>
      <c r="B11" s="114"/>
      <c r="C11" s="115"/>
      <c r="D11" s="114"/>
      <c r="E11" s="115"/>
      <c r="F11" s="116"/>
      <c r="G11" s="115"/>
      <c r="H11" s="116"/>
      <c r="I11" s="115"/>
      <c r="J11" s="116"/>
      <c r="K11" s="115"/>
      <c r="L11" s="116"/>
      <c r="M11" s="117"/>
      <c r="N11" s="118"/>
      <c r="O11" s="119"/>
      <c r="P11" s="120"/>
      <c r="Q11" s="121"/>
      <c r="R11" s="120"/>
      <c r="S11" s="121"/>
    </row>
    <row r="12" spans="1:19" x14ac:dyDescent="0.25">
      <c r="A12" s="127">
        <v>46062</v>
      </c>
      <c r="B12" s="35">
        <f t="shared" si="0"/>
        <v>11.75</v>
      </c>
      <c r="C12" s="27">
        <v>94</v>
      </c>
      <c r="D12" s="35">
        <f t="shared" si="1"/>
        <v>11.827500000000001</v>
      </c>
      <c r="E12" s="87">
        <v>94.62</v>
      </c>
      <c r="F12" s="23">
        <f t="shared" si="2"/>
        <v>8</v>
      </c>
      <c r="G12" s="98">
        <v>64</v>
      </c>
      <c r="H12" s="23">
        <f t="shared" si="2"/>
        <v>0</v>
      </c>
      <c r="I12" s="98">
        <v>0</v>
      </c>
      <c r="J12" s="23">
        <f t="shared" si="2"/>
        <v>0</v>
      </c>
      <c r="K12" s="98">
        <v>0</v>
      </c>
      <c r="L12" s="23">
        <f t="shared" si="2"/>
        <v>0</v>
      </c>
      <c r="M12" s="109">
        <v>0</v>
      </c>
      <c r="N12" s="105"/>
      <c r="O12" s="25"/>
      <c r="P12" s="24">
        <v>1</v>
      </c>
      <c r="Q12" s="37">
        <v>9</v>
      </c>
      <c r="R12" s="24"/>
      <c r="S12" s="37"/>
    </row>
    <row r="13" spans="1:19" x14ac:dyDescent="0.25">
      <c r="A13" s="127">
        <v>46063</v>
      </c>
      <c r="B13" s="35">
        <f t="shared" si="0"/>
        <v>9.625</v>
      </c>
      <c r="C13" s="27">
        <v>77</v>
      </c>
      <c r="D13" s="35">
        <f t="shared" si="1"/>
        <v>11.75</v>
      </c>
      <c r="E13" s="87">
        <v>94</v>
      </c>
      <c r="F13" s="23">
        <f t="shared" si="2"/>
        <v>8</v>
      </c>
      <c r="G13" s="98">
        <v>64</v>
      </c>
      <c r="H13" s="23">
        <f t="shared" si="2"/>
        <v>0</v>
      </c>
      <c r="I13" s="98">
        <v>0</v>
      </c>
      <c r="J13" s="23">
        <f t="shared" si="2"/>
        <v>0</v>
      </c>
      <c r="K13" s="98">
        <v>0</v>
      </c>
      <c r="L13" s="23">
        <f t="shared" si="2"/>
        <v>0</v>
      </c>
      <c r="M13" s="109">
        <v>0</v>
      </c>
      <c r="N13" s="105"/>
      <c r="O13" s="25"/>
      <c r="P13" s="24">
        <v>1</v>
      </c>
      <c r="Q13" s="37">
        <v>9</v>
      </c>
      <c r="R13" s="24"/>
      <c r="S13" s="37"/>
    </row>
    <row r="14" spans="1:19" x14ac:dyDescent="0.25">
      <c r="A14" s="127">
        <v>46064</v>
      </c>
      <c r="B14" s="35">
        <f t="shared" si="0"/>
        <v>8.5</v>
      </c>
      <c r="C14" s="27">
        <v>68</v>
      </c>
      <c r="D14" s="35">
        <f t="shared" si="1"/>
        <v>12.875</v>
      </c>
      <c r="E14" s="87">
        <v>103</v>
      </c>
      <c r="F14" s="23">
        <f t="shared" si="2"/>
        <v>0</v>
      </c>
      <c r="G14" s="98">
        <v>0</v>
      </c>
      <c r="H14" s="23">
        <f t="shared" si="2"/>
        <v>0</v>
      </c>
      <c r="I14" s="98">
        <v>0</v>
      </c>
      <c r="J14" s="23">
        <f t="shared" si="2"/>
        <v>8</v>
      </c>
      <c r="K14" s="98">
        <v>64</v>
      </c>
      <c r="L14" s="23">
        <f t="shared" si="2"/>
        <v>0</v>
      </c>
      <c r="M14" s="109">
        <v>0</v>
      </c>
      <c r="N14" s="105"/>
      <c r="O14" s="25"/>
      <c r="P14" s="24">
        <v>1</v>
      </c>
      <c r="Q14" s="37">
        <v>9</v>
      </c>
      <c r="R14" s="24"/>
      <c r="S14" s="37"/>
    </row>
    <row r="15" spans="1:19" ht="15" customHeight="1" x14ac:dyDescent="0.25">
      <c r="A15" s="127">
        <v>46065</v>
      </c>
      <c r="B15" s="35">
        <f t="shared" si="0"/>
        <v>8.5</v>
      </c>
      <c r="C15" s="27">
        <v>68</v>
      </c>
      <c r="D15" s="35">
        <f t="shared" si="1"/>
        <v>12.875</v>
      </c>
      <c r="E15" s="87">
        <v>103</v>
      </c>
      <c r="F15" s="23">
        <f t="shared" si="2"/>
        <v>5.5</v>
      </c>
      <c r="G15" s="98">
        <v>44</v>
      </c>
      <c r="H15" s="23">
        <f t="shared" si="2"/>
        <v>0</v>
      </c>
      <c r="I15" s="98">
        <v>0</v>
      </c>
      <c r="J15" s="23">
        <f t="shared" si="2"/>
        <v>0</v>
      </c>
      <c r="K15" s="98">
        <v>0</v>
      </c>
      <c r="L15" s="23">
        <f t="shared" si="2"/>
        <v>0</v>
      </c>
      <c r="M15" s="109">
        <v>0</v>
      </c>
      <c r="N15" s="57"/>
      <c r="O15" s="24"/>
      <c r="P15" s="24">
        <v>1</v>
      </c>
      <c r="Q15" s="37">
        <v>9</v>
      </c>
      <c r="R15" s="24"/>
      <c r="S15" s="37"/>
    </row>
    <row r="16" spans="1:19" ht="15" customHeight="1" x14ac:dyDescent="0.25">
      <c r="A16" s="127">
        <v>46066</v>
      </c>
      <c r="B16" s="35">
        <f t="shared" si="0"/>
        <v>9.5</v>
      </c>
      <c r="C16" s="27">
        <v>76</v>
      </c>
      <c r="D16" s="35">
        <f t="shared" si="1"/>
        <v>9.5</v>
      </c>
      <c r="E16" s="87">
        <v>76</v>
      </c>
      <c r="F16" s="23">
        <f t="shared" si="2"/>
        <v>0</v>
      </c>
      <c r="G16" s="98">
        <v>0</v>
      </c>
      <c r="H16" s="23">
        <f t="shared" si="2"/>
        <v>0</v>
      </c>
      <c r="I16" s="98">
        <v>0</v>
      </c>
      <c r="J16" s="23">
        <f t="shared" si="2"/>
        <v>8</v>
      </c>
      <c r="K16" s="98">
        <v>64</v>
      </c>
      <c r="L16" s="23">
        <f t="shared" si="2"/>
        <v>0</v>
      </c>
      <c r="M16" s="109">
        <v>0</v>
      </c>
      <c r="N16" s="21"/>
      <c r="O16" s="24"/>
      <c r="P16" s="24">
        <v>1</v>
      </c>
      <c r="Q16" s="37">
        <v>8</v>
      </c>
      <c r="R16" s="24"/>
      <c r="S16" s="37"/>
    </row>
    <row r="17" spans="1:19" ht="15" customHeight="1" x14ac:dyDescent="0.25">
      <c r="A17" s="127">
        <v>46067</v>
      </c>
      <c r="B17" s="114"/>
      <c r="C17" s="115"/>
      <c r="D17" s="114"/>
      <c r="E17" s="115"/>
      <c r="F17" s="116"/>
      <c r="G17" s="115"/>
      <c r="H17" s="116"/>
      <c r="I17" s="115"/>
      <c r="J17" s="116"/>
      <c r="K17" s="115"/>
      <c r="L17" s="116"/>
      <c r="M17" s="117"/>
      <c r="N17" s="118"/>
      <c r="O17" s="119"/>
      <c r="P17" s="120"/>
      <c r="Q17" s="121"/>
      <c r="R17" s="120"/>
      <c r="S17" s="121"/>
    </row>
    <row r="18" spans="1:19" x14ac:dyDescent="0.25">
      <c r="A18" s="127">
        <v>46068</v>
      </c>
      <c r="B18" s="114"/>
      <c r="C18" s="115"/>
      <c r="D18" s="114"/>
      <c r="E18" s="115"/>
      <c r="F18" s="116"/>
      <c r="G18" s="115"/>
      <c r="H18" s="116"/>
      <c r="I18" s="115"/>
      <c r="J18" s="116"/>
      <c r="K18" s="115"/>
      <c r="L18" s="116"/>
      <c r="M18" s="117"/>
      <c r="N18" s="118"/>
      <c r="O18" s="119"/>
      <c r="P18" s="120"/>
      <c r="Q18" s="121"/>
      <c r="R18" s="120"/>
      <c r="S18" s="121"/>
    </row>
    <row r="19" spans="1:19" x14ac:dyDescent="0.25">
      <c r="A19" s="127">
        <v>46069</v>
      </c>
      <c r="B19" s="35">
        <f t="shared" si="0"/>
        <v>21.25</v>
      </c>
      <c r="C19" s="27">
        <v>170</v>
      </c>
      <c r="D19" s="35">
        <f t="shared" si="1"/>
        <v>9.125</v>
      </c>
      <c r="E19" s="87">
        <v>73</v>
      </c>
      <c r="F19" s="23">
        <f t="shared" si="2"/>
        <v>0</v>
      </c>
      <c r="G19" s="98">
        <v>0</v>
      </c>
      <c r="H19" s="23">
        <f t="shared" si="2"/>
        <v>0</v>
      </c>
      <c r="I19" s="98">
        <v>0</v>
      </c>
      <c r="J19" s="23">
        <f t="shared" si="2"/>
        <v>0</v>
      </c>
      <c r="K19" s="98">
        <v>0</v>
      </c>
      <c r="L19" s="23">
        <f t="shared" si="2"/>
        <v>0</v>
      </c>
      <c r="M19" s="109">
        <v>0</v>
      </c>
      <c r="N19" s="105"/>
      <c r="O19" s="25"/>
      <c r="P19" s="24">
        <v>1</v>
      </c>
      <c r="Q19" s="37">
        <v>9</v>
      </c>
      <c r="R19" s="24"/>
      <c r="S19" s="37"/>
    </row>
    <row r="20" spans="1:19" x14ac:dyDescent="0.25">
      <c r="A20" s="127">
        <v>46070</v>
      </c>
      <c r="B20" s="35">
        <f t="shared" si="0"/>
        <v>11.125</v>
      </c>
      <c r="C20" s="27">
        <v>89</v>
      </c>
      <c r="D20" s="35">
        <f t="shared" si="1"/>
        <v>16.5</v>
      </c>
      <c r="E20" s="27">
        <v>132</v>
      </c>
      <c r="F20" s="23">
        <f t="shared" si="2"/>
        <v>0</v>
      </c>
      <c r="G20" s="98">
        <v>0</v>
      </c>
      <c r="H20" s="23">
        <f t="shared" si="2"/>
        <v>0</v>
      </c>
      <c r="I20" s="98">
        <v>0</v>
      </c>
      <c r="J20" s="23">
        <f t="shared" si="2"/>
        <v>0</v>
      </c>
      <c r="K20" s="98">
        <v>0</v>
      </c>
      <c r="L20" s="23">
        <f t="shared" si="2"/>
        <v>0</v>
      </c>
      <c r="M20" s="109">
        <v>0</v>
      </c>
      <c r="N20" s="105"/>
      <c r="O20" s="25"/>
      <c r="P20" s="24">
        <v>1</v>
      </c>
      <c r="Q20" s="37">
        <v>9</v>
      </c>
      <c r="R20" s="24"/>
      <c r="S20" s="37"/>
    </row>
    <row r="21" spans="1:19" x14ac:dyDescent="0.25">
      <c r="A21" s="127">
        <v>46071</v>
      </c>
      <c r="B21" s="35">
        <f t="shared" si="0"/>
        <v>18.25</v>
      </c>
      <c r="C21" s="27">
        <v>146</v>
      </c>
      <c r="D21" s="35">
        <f t="shared" si="1"/>
        <v>12.125</v>
      </c>
      <c r="E21" s="27">
        <v>97</v>
      </c>
      <c r="F21" s="23">
        <f t="shared" si="2"/>
        <v>0</v>
      </c>
      <c r="G21" s="98">
        <v>0</v>
      </c>
      <c r="H21" s="23">
        <f t="shared" si="2"/>
        <v>0</v>
      </c>
      <c r="I21" s="98">
        <v>0</v>
      </c>
      <c r="J21" s="23">
        <f t="shared" si="2"/>
        <v>0</v>
      </c>
      <c r="K21" s="98">
        <v>0</v>
      </c>
      <c r="L21" s="23">
        <f t="shared" si="2"/>
        <v>0</v>
      </c>
      <c r="M21" s="109">
        <v>0</v>
      </c>
      <c r="N21" s="105"/>
      <c r="O21" s="25"/>
      <c r="P21" s="24">
        <v>1</v>
      </c>
      <c r="Q21" s="37">
        <v>9</v>
      </c>
      <c r="R21" s="24"/>
      <c r="S21" s="37"/>
    </row>
    <row r="22" spans="1:19" x14ac:dyDescent="0.25">
      <c r="A22" s="127">
        <v>46072</v>
      </c>
      <c r="B22" s="35">
        <f t="shared" si="0"/>
        <v>21.25</v>
      </c>
      <c r="C22" s="27">
        <v>170</v>
      </c>
      <c r="D22" s="35">
        <f t="shared" si="1"/>
        <v>8.96875</v>
      </c>
      <c r="E22" s="87">
        <v>71.75</v>
      </c>
      <c r="F22" s="23">
        <f t="shared" si="2"/>
        <v>0</v>
      </c>
      <c r="G22" s="98">
        <v>0</v>
      </c>
      <c r="H22" s="23">
        <f t="shared" si="2"/>
        <v>0</v>
      </c>
      <c r="I22" s="98">
        <v>0</v>
      </c>
      <c r="J22" s="23">
        <f t="shared" si="2"/>
        <v>0</v>
      </c>
      <c r="K22" s="98">
        <v>0</v>
      </c>
      <c r="L22" s="23">
        <f t="shared" si="2"/>
        <v>0</v>
      </c>
      <c r="M22" s="109">
        <v>0</v>
      </c>
      <c r="N22" s="105"/>
      <c r="O22" s="25"/>
      <c r="P22" s="24">
        <v>1</v>
      </c>
      <c r="Q22" s="37">
        <v>9</v>
      </c>
      <c r="R22" s="24"/>
      <c r="S22" s="37"/>
    </row>
    <row r="23" spans="1:19" x14ac:dyDescent="0.25">
      <c r="A23" s="127">
        <v>46073</v>
      </c>
      <c r="B23" s="35">
        <f t="shared" si="0"/>
        <v>13</v>
      </c>
      <c r="C23" s="27">
        <v>104</v>
      </c>
      <c r="D23" s="35">
        <f t="shared" si="1"/>
        <v>13</v>
      </c>
      <c r="E23" s="87">
        <v>104</v>
      </c>
      <c r="F23" s="23">
        <f t="shared" si="2"/>
        <v>0</v>
      </c>
      <c r="G23" s="98">
        <v>0</v>
      </c>
      <c r="H23" s="23">
        <f t="shared" si="2"/>
        <v>0</v>
      </c>
      <c r="I23" s="98">
        <v>0</v>
      </c>
      <c r="J23" s="23">
        <f t="shared" si="2"/>
        <v>0</v>
      </c>
      <c r="K23" s="98">
        <v>0</v>
      </c>
      <c r="L23" s="23">
        <f t="shared" si="2"/>
        <v>0</v>
      </c>
      <c r="M23" s="109">
        <v>0</v>
      </c>
      <c r="N23" s="105"/>
      <c r="O23" s="25"/>
      <c r="P23" s="24">
        <v>1</v>
      </c>
      <c r="Q23" s="37">
        <v>8</v>
      </c>
      <c r="R23" s="24"/>
      <c r="S23" s="37"/>
    </row>
    <row r="24" spans="1:19" x14ac:dyDescent="0.25">
      <c r="A24" s="127">
        <v>46074</v>
      </c>
      <c r="B24" s="114"/>
      <c r="C24" s="115"/>
      <c r="D24" s="114"/>
      <c r="E24" s="115"/>
      <c r="F24" s="116"/>
      <c r="G24" s="115"/>
      <c r="H24" s="116"/>
      <c r="I24" s="115"/>
      <c r="J24" s="116"/>
      <c r="K24" s="115"/>
      <c r="L24" s="116"/>
      <c r="M24" s="117"/>
      <c r="N24" s="118"/>
      <c r="O24" s="119"/>
      <c r="P24" s="120"/>
      <c r="Q24" s="121"/>
      <c r="R24" s="120"/>
      <c r="S24" s="121"/>
    </row>
    <row r="25" spans="1:19" x14ac:dyDescent="0.25">
      <c r="A25" s="127">
        <v>46075</v>
      </c>
      <c r="B25" s="114"/>
      <c r="C25" s="115"/>
      <c r="D25" s="114"/>
      <c r="E25" s="115"/>
      <c r="F25" s="116"/>
      <c r="G25" s="115"/>
      <c r="H25" s="116"/>
      <c r="I25" s="115"/>
      <c r="J25" s="116"/>
      <c r="K25" s="115"/>
      <c r="L25" s="116"/>
      <c r="M25" s="117"/>
      <c r="N25" s="118"/>
      <c r="O25" s="119"/>
      <c r="P25" s="120"/>
      <c r="Q25" s="121"/>
      <c r="R25" s="120"/>
      <c r="S25" s="121"/>
    </row>
    <row r="26" spans="1:19" x14ac:dyDescent="0.25">
      <c r="A26" s="127">
        <v>46076</v>
      </c>
      <c r="B26" s="35">
        <f t="shared" ref="B26:B30" si="3">C26/8</f>
        <v>8.75</v>
      </c>
      <c r="C26" s="27">
        <v>70</v>
      </c>
      <c r="D26" s="35">
        <f t="shared" ref="D26:D30" si="4">E26/8</f>
        <v>20.5</v>
      </c>
      <c r="E26" s="87">
        <v>164</v>
      </c>
      <c r="F26" s="23">
        <f t="shared" ref="F26:F30" si="5">G26/8</f>
        <v>0</v>
      </c>
      <c r="G26" s="98">
        <v>0</v>
      </c>
      <c r="H26" s="23">
        <f t="shared" ref="H26:H30" si="6">I26/8</f>
        <v>0</v>
      </c>
      <c r="I26" s="98">
        <v>0</v>
      </c>
      <c r="J26" s="23">
        <f t="shared" ref="J26:J30" si="7">K26/8</f>
        <v>0</v>
      </c>
      <c r="K26" s="98">
        <v>0</v>
      </c>
      <c r="L26" s="23">
        <f t="shared" ref="L26:L30" si="8">M26/8</f>
        <v>0</v>
      </c>
      <c r="M26" s="109">
        <v>0</v>
      </c>
      <c r="N26" s="105"/>
      <c r="O26" s="25"/>
      <c r="P26" s="24">
        <v>2</v>
      </c>
      <c r="Q26" s="37">
        <v>18</v>
      </c>
      <c r="R26" s="24"/>
      <c r="S26" s="37"/>
    </row>
    <row r="27" spans="1:19" x14ac:dyDescent="0.25">
      <c r="A27" s="127">
        <v>46077</v>
      </c>
      <c r="B27" s="35">
        <f t="shared" si="3"/>
        <v>11.75</v>
      </c>
      <c r="C27" s="27">
        <v>94</v>
      </c>
      <c r="D27" s="35">
        <f t="shared" si="4"/>
        <v>17.5</v>
      </c>
      <c r="E27" s="87">
        <v>140</v>
      </c>
      <c r="F27" s="23">
        <f t="shared" si="5"/>
        <v>0</v>
      </c>
      <c r="G27" s="98">
        <v>0</v>
      </c>
      <c r="H27" s="23">
        <f t="shared" si="6"/>
        <v>0</v>
      </c>
      <c r="I27" s="98">
        <v>0</v>
      </c>
      <c r="J27" s="23">
        <f t="shared" si="7"/>
        <v>0</v>
      </c>
      <c r="K27" s="98">
        <v>0</v>
      </c>
      <c r="L27" s="23">
        <f t="shared" si="8"/>
        <v>0</v>
      </c>
      <c r="M27" s="109">
        <v>0</v>
      </c>
      <c r="N27" s="105"/>
      <c r="O27" s="25"/>
      <c r="P27" s="24">
        <v>2</v>
      </c>
      <c r="Q27" s="37">
        <v>18</v>
      </c>
      <c r="R27" s="24"/>
      <c r="S27" s="37"/>
    </row>
    <row r="28" spans="1:19" x14ac:dyDescent="0.25">
      <c r="A28" s="127">
        <v>46078</v>
      </c>
      <c r="B28" s="35">
        <f t="shared" si="3"/>
        <v>14.875</v>
      </c>
      <c r="C28" s="27">
        <v>119</v>
      </c>
      <c r="D28" s="35">
        <f t="shared" si="4"/>
        <v>12.125</v>
      </c>
      <c r="E28" s="87">
        <v>97</v>
      </c>
      <c r="F28" s="23">
        <f t="shared" si="5"/>
        <v>0</v>
      </c>
      <c r="G28" s="98">
        <v>0</v>
      </c>
      <c r="H28" s="23">
        <f t="shared" si="6"/>
        <v>0</v>
      </c>
      <c r="I28" s="98">
        <v>0</v>
      </c>
      <c r="J28" s="23">
        <f t="shared" si="7"/>
        <v>0</v>
      </c>
      <c r="K28" s="98">
        <v>0</v>
      </c>
      <c r="L28" s="23">
        <f t="shared" si="8"/>
        <v>0</v>
      </c>
      <c r="M28" s="109">
        <v>0</v>
      </c>
      <c r="N28" s="105"/>
      <c r="O28" s="25"/>
      <c r="P28" s="24">
        <v>2</v>
      </c>
      <c r="Q28" s="37">
        <v>18</v>
      </c>
      <c r="R28" s="24"/>
      <c r="S28" s="37"/>
    </row>
    <row r="29" spans="1:19" x14ac:dyDescent="0.25">
      <c r="A29" s="127">
        <v>46079</v>
      </c>
      <c r="B29" s="35">
        <f t="shared" si="3"/>
        <v>9.625</v>
      </c>
      <c r="C29" s="27">
        <v>77</v>
      </c>
      <c r="D29" s="35">
        <f t="shared" si="4"/>
        <v>14.324999999999999</v>
      </c>
      <c r="E29" s="87">
        <v>114.6</v>
      </c>
      <c r="F29" s="23">
        <f t="shared" si="5"/>
        <v>0</v>
      </c>
      <c r="G29" s="98">
        <v>0</v>
      </c>
      <c r="H29" s="23">
        <f t="shared" si="6"/>
        <v>0</v>
      </c>
      <c r="I29" s="98">
        <v>0</v>
      </c>
      <c r="J29" s="23">
        <f t="shared" si="7"/>
        <v>0</v>
      </c>
      <c r="K29" s="98">
        <v>0</v>
      </c>
      <c r="L29" s="23">
        <f t="shared" si="8"/>
        <v>0</v>
      </c>
      <c r="M29" s="109">
        <v>0</v>
      </c>
      <c r="N29" s="105"/>
      <c r="O29" s="25"/>
      <c r="P29" s="24">
        <v>2</v>
      </c>
      <c r="Q29" s="37">
        <v>18</v>
      </c>
      <c r="R29" s="24"/>
      <c r="S29" s="37"/>
    </row>
    <row r="30" spans="1:19" x14ac:dyDescent="0.25">
      <c r="A30" s="127">
        <v>46080</v>
      </c>
      <c r="B30" s="35">
        <f t="shared" si="3"/>
        <v>7.25</v>
      </c>
      <c r="C30" s="27">
        <v>58</v>
      </c>
      <c r="D30" s="35">
        <f t="shared" si="4"/>
        <v>16.75</v>
      </c>
      <c r="E30" s="87">
        <v>134</v>
      </c>
      <c r="F30" s="23">
        <f t="shared" si="5"/>
        <v>0</v>
      </c>
      <c r="G30" s="98">
        <v>0</v>
      </c>
      <c r="H30" s="23">
        <f t="shared" si="6"/>
        <v>0</v>
      </c>
      <c r="I30" s="98">
        <v>0</v>
      </c>
      <c r="J30" s="23">
        <f t="shared" si="7"/>
        <v>0</v>
      </c>
      <c r="K30" s="98">
        <v>0</v>
      </c>
      <c r="L30" s="23">
        <f t="shared" si="8"/>
        <v>0</v>
      </c>
      <c r="M30" s="109">
        <v>0</v>
      </c>
      <c r="N30" s="105"/>
      <c r="O30" s="25"/>
      <c r="P30" s="24">
        <v>2</v>
      </c>
      <c r="Q30" s="37">
        <v>16</v>
      </c>
      <c r="R30" s="24"/>
      <c r="S30" s="37"/>
    </row>
    <row r="31" spans="1:19" ht="15.75" thickBot="1" x14ac:dyDescent="0.3">
      <c r="A31" s="127">
        <v>46081</v>
      </c>
      <c r="B31" s="114"/>
      <c r="C31" s="115"/>
      <c r="D31" s="114"/>
      <c r="E31" s="115"/>
      <c r="F31" s="116"/>
      <c r="G31" s="115"/>
      <c r="H31" s="116"/>
      <c r="I31" s="115"/>
      <c r="J31" s="116"/>
      <c r="K31" s="115"/>
      <c r="L31" s="116"/>
      <c r="M31" s="117"/>
      <c r="N31" s="118"/>
      <c r="O31" s="119"/>
      <c r="P31" s="120"/>
      <c r="Q31" s="121"/>
      <c r="R31" s="120"/>
      <c r="S31" s="121"/>
    </row>
    <row r="32" spans="1:19" ht="15.75" thickBot="1" x14ac:dyDescent="0.3">
      <c r="A32" s="58" t="s">
        <v>20</v>
      </c>
      <c r="B32" s="59">
        <f>IFERROR(AVERAGE(B4:B31),0)</f>
        <v>11.668749999999999</v>
      </c>
      <c r="C32" s="60">
        <f>SUM(C4:C31)</f>
        <v>1867</v>
      </c>
      <c r="D32" s="59">
        <f>AVERAGE(D4:D31)</f>
        <v>13.231062499999998</v>
      </c>
      <c r="E32" s="61">
        <f>SUM(E4:E31)</f>
        <v>2116.9699999999998</v>
      </c>
      <c r="F32" s="62">
        <f>AVERAGE(F4:F31)</f>
        <v>3.2749999999999999</v>
      </c>
      <c r="G32" s="63">
        <f>SUM(G4:G31)</f>
        <v>524</v>
      </c>
      <c r="H32" s="62">
        <f>AVERAGE(H4:H25)</f>
        <v>0</v>
      </c>
      <c r="I32" s="63">
        <f>SUM(I4:I31)</f>
        <v>0</v>
      </c>
      <c r="J32" s="62">
        <f>AVERAGE(J4:J25)</f>
        <v>1.0666666666666667</v>
      </c>
      <c r="K32" s="63">
        <f>SUM(K4:K31)</f>
        <v>128</v>
      </c>
      <c r="L32" s="62">
        <f>AVERAGE(L4:L25)</f>
        <v>0</v>
      </c>
      <c r="M32" s="63">
        <f>SUM(M4:M31)</f>
        <v>0</v>
      </c>
      <c r="N32" s="64">
        <f>IFERROR(AVERAGE(N4:N25),0)</f>
        <v>0</v>
      </c>
      <c r="O32" s="65">
        <f>C32+I32+E32+G32+K32+M32</f>
        <v>4635.9699999999993</v>
      </c>
      <c r="P32" s="66">
        <f>IFERROR(AVERAGE(P4:P25),0)</f>
        <v>1</v>
      </c>
      <c r="Q32" s="154">
        <f>SUM(Q4:Q31)</f>
        <v>220</v>
      </c>
      <c r="R32" s="66">
        <f>IFERROR(AVERAGE(R4:R31),0)</f>
        <v>0</v>
      </c>
      <c r="S32" s="17">
        <f>SUM(S4:S25)</f>
        <v>0</v>
      </c>
    </row>
    <row r="33" spans="7:15" x14ac:dyDescent="0.25">
      <c r="G33" s="67"/>
      <c r="I33" s="68"/>
      <c r="O33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6"/>
  <sheetViews>
    <sheetView showGridLines="0" zoomScale="85" zoomScaleNormal="85" workbookViewId="0">
      <pane ySplit="3" topLeftCell="A4" activePane="bottomLeft" state="frozen"/>
      <selection pane="bottomLeft" activeCell="L42" sqref="L42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2026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x14ac:dyDescent="0.25">
      <c r="A4" s="127">
        <v>46082</v>
      </c>
      <c r="B4" s="114"/>
      <c r="C4" s="115"/>
      <c r="D4" s="114"/>
      <c r="E4" s="115"/>
      <c r="F4" s="116"/>
      <c r="G4" s="115"/>
      <c r="H4" s="116"/>
      <c r="I4" s="115"/>
      <c r="J4" s="116"/>
      <c r="K4" s="115"/>
      <c r="L4" s="116"/>
      <c r="M4" s="117"/>
      <c r="N4" s="118"/>
      <c r="O4" s="119"/>
      <c r="P4" s="120"/>
      <c r="Q4" s="121"/>
      <c r="R4" s="120"/>
      <c r="S4" s="121"/>
    </row>
    <row r="5" spans="1:19" x14ac:dyDescent="0.25">
      <c r="A5" s="127">
        <v>46083</v>
      </c>
      <c r="B5" s="35">
        <f t="shared" ref="B5:B22" si="0">C5/8</f>
        <v>13.375</v>
      </c>
      <c r="C5" s="27">
        <v>107</v>
      </c>
      <c r="D5" s="35">
        <f t="shared" ref="D5:D23" si="1">E5/8</f>
        <v>13.5</v>
      </c>
      <c r="E5" s="87">
        <v>108</v>
      </c>
      <c r="F5" s="23">
        <f t="shared" ref="F5:L23" si="2">G5/8</f>
        <v>12</v>
      </c>
      <c r="G5" s="98">
        <v>96</v>
      </c>
      <c r="H5" s="23">
        <f t="shared" si="2"/>
        <v>0</v>
      </c>
      <c r="I5" s="98">
        <v>0</v>
      </c>
      <c r="J5" s="23">
        <f t="shared" si="2"/>
        <v>0</v>
      </c>
      <c r="K5" s="98">
        <v>0</v>
      </c>
      <c r="L5" s="23">
        <f t="shared" si="2"/>
        <v>0</v>
      </c>
      <c r="M5" s="109">
        <v>0</v>
      </c>
      <c r="N5" s="105"/>
      <c r="O5" s="25"/>
      <c r="P5" s="24">
        <v>2</v>
      </c>
      <c r="Q5" s="37">
        <v>18</v>
      </c>
      <c r="R5" s="24"/>
      <c r="S5" s="37"/>
    </row>
    <row r="6" spans="1:19" x14ac:dyDescent="0.25">
      <c r="A6" s="127">
        <v>46084</v>
      </c>
      <c r="B6" s="35">
        <f t="shared" si="0"/>
        <v>13</v>
      </c>
      <c r="C6" s="27">
        <v>104</v>
      </c>
      <c r="D6" s="35">
        <f t="shared" si="1"/>
        <v>13.09375</v>
      </c>
      <c r="E6" s="87">
        <v>104.75</v>
      </c>
      <c r="F6" s="23">
        <f t="shared" si="2"/>
        <v>14</v>
      </c>
      <c r="G6" s="98">
        <v>112</v>
      </c>
      <c r="H6" s="23">
        <f t="shared" si="2"/>
        <v>0</v>
      </c>
      <c r="I6" s="98">
        <v>0</v>
      </c>
      <c r="J6" s="23">
        <f t="shared" si="2"/>
        <v>0</v>
      </c>
      <c r="K6" s="98">
        <v>0</v>
      </c>
      <c r="L6" s="23">
        <f t="shared" si="2"/>
        <v>0</v>
      </c>
      <c r="M6" s="109">
        <v>0</v>
      </c>
      <c r="N6" s="105"/>
      <c r="O6" s="25"/>
      <c r="P6" s="24">
        <v>2</v>
      </c>
      <c r="Q6" s="37">
        <v>18</v>
      </c>
      <c r="R6" s="24"/>
      <c r="S6" s="37"/>
    </row>
    <row r="7" spans="1:19" x14ac:dyDescent="0.25">
      <c r="A7" s="127">
        <v>46085</v>
      </c>
      <c r="B7" s="35">
        <f t="shared" si="0"/>
        <v>12</v>
      </c>
      <c r="C7" s="27">
        <v>96</v>
      </c>
      <c r="D7" s="35">
        <f t="shared" si="1"/>
        <v>12</v>
      </c>
      <c r="E7" s="87">
        <v>96</v>
      </c>
      <c r="F7" s="23">
        <f t="shared" si="2"/>
        <v>13</v>
      </c>
      <c r="G7" s="98">
        <v>104</v>
      </c>
      <c r="H7" s="23">
        <f t="shared" si="2"/>
        <v>0</v>
      </c>
      <c r="I7" s="98">
        <v>0</v>
      </c>
      <c r="J7" s="23">
        <f t="shared" si="2"/>
        <v>0</v>
      </c>
      <c r="K7" s="98">
        <v>0</v>
      </c>
      <c r="L7" s="23">
        <f t="shared" si="2"/>
        <v>0</v>
      </c>
      <c r="M7" s="109">
        <v>0</v>
      </c>
      <c r="N7" s="105"/>
      <c r="O7" s="25"/>
      <c r="P7" s="24">
        <v>2</v>
      </c>
      <c r="Q7" s="37">
        <v>18</v>
      </c>
      <c r="R7" s="24"/>
      <c r="S7" s="37"/>
    </row>
    <row r="8" spans="1:19" x14ac:dyDescent="0.25">
      <c r="A8" s="127">
        <v>46086</v>
      </c>
      <c r="B8" s="35">
        <f t="shared" si="0"/>
        <v>12.375</v>
      </c>
      <c r="C8" s="27">
        <v>99</v>
      </c>
      <c r="D8" s="35">
        <f t="shared" si="1"/>
        <v>12.375</v>
      </c>
      <c r="E8" s="87">
        <v>99</v>
      </c>
      <c r="F8" s="23">
        <f t="shared" si="2"/>
        <v>12.6875</v>
      </c>
      <c r="G8" s="98">
        <v>101.5</v>
      </c>
      <c r="H8" s="23">
        <f t="shared" si="2"/>
        <v>0</v>
      </c>
      <c r="I8" s="98">
        <v>0</v>
      </c>
      <c r="J8" s="23">
        <f t="shared" si="2"/>
        <v>0</v>
      </c>
      <c r="K8" s="98">
        <v>0</v>
      </c>
      <c r="L8" s="23">
        <f t="shared" si="2"/>
        <v>0</v>
      </c>
      <c r="M8" s="109">
        <v>0</v>
      </c>
      <c r="N8" s="105"/>
      <c r="O8" s="25"/>
      <c r="P8" s="24">
        <v>2</v>
      </c>
      <c r="Q8" s="37">
        <v>18</v>
      </c>
      <c r="R8" s="24"/>
      <c r="S8" s="37"/>
    </row>
    <row r="9" spans="1:19" x14ac:dyDescent="0.25">
      <c r="A9" s="127">
        <v>46087</v>
      </c>
      <c r="B9" s="35">
        <f t="shared" si="0"/>
        <v>11</v>
      </c>
      <c r="C9" s="27">
        <v>88</v>
      </c>
      <c r="D9" s="35">
        <f t="shared" si="1"/>
        <v>11</v>
      </c>
      <c r="E9" s="87">
        <v>88</v>
      </c>
      <c r="F9" s="23">
        <f t="shared" si="2"/>
        <v>13</v>
      </c>
      <c r="G9" s="98">
        <v>104</v>
      </c>
      <c r="H9" s="23">
        <f t="shared" si="2"/>
        <v>0</v>
      </c>
      <c r="I9" s="98">
        <v>0</v>
      </c>
      <c r="J9" s="23">
        <f t="shared" si="2"/>
        <v>0</v>
      </c>
      <c r="K9" s="98">
        <v>0</v>
      </c>
      <c r="L9" s="23">
        <f t="shared" si="2"/>
        <v>0</v>
      </c>
      <c r="M9" s="109">
        <v>0</v>
      </c>
      <c r="N9" s="105"/>
      <c r="O9" s="25"/>
      <c r="P9" s="24">
        <v>2</v>
      </c>
      <c r="Q9" s="37">
        <v>16</v>
      </c>
      <c r="R9" s="24"/>
      <c r="S9" s="37"/>
    </row>
    <row r="10" spans="1:19" x14ac:dyDescent="0.25">
      <c r="A10" s="127">
        <v>46088</v>
      </c>
      <c r="B10" s="114"/>
      <c r="C10" s="115"/>
      <c r="D10" s="114"/>
      <c r="E10" s="115"/>
      <c r="F10" s="116"/>
      <c r="G10" s="115"/>
      <c r="H10" s="116"/>
      <c r="I10" s="115"/>
      <c r="J10" s="116"/>
      <c r="K10" s="115"/>
      <c r="L10" s="116"/>
      <c r="M10" s="117"/>
      <c r="N10" s="118"/>
      <c r="O10" s="119"/>
      <c r="P10" s="120"/>
      <c r="Q10" s="121"/>
      <c r="R10" s="120"/>
      <c r="S10" s="121"/>
    </row>
    <row r="11" spans="1:19" x14ac:dyDescent="0.25">
      <c r="A11" s="127">
        <v>46089</v>
      </c>
      <c r="B11" s="114"/>
      <c r="C11" s="115"/>
      <c r="D11" s="114"/>
      <c r="E11" s="115"/>
      <c r="F11" s="116"/>
      <c r="G11" s="115"/>
      <c r="H11" s="116"/>
      <c r="I11" s="115"/>
      <c r="J11" s="116"/>
      <c r="K11" s="115"/>
      <c r="L11" s="116"/>
      <c r="M11" s="117"/>
      <c r="N11" s="118"/>
      <c r="O11" s="119"/>
      <c r="P11" s="120"/>
      <c r="Q11" s="121"/>
      <c r="R11" s="120"/>
      <c r="S11" s="121"/>
    </row>
    <row r="12" spans="1:19" x14ac:dyDescent="0.25">
      <c r="A12" s="127">
        <v>46090</v>
      </c>
      <c r="B12" s="35">
        <f t="shared" si="0"/>
        <v>13.75</v>
      </c>
      <c r="C12" s="27">
        <v>110</v>
      </c>
      <c r="D12" s="35">
        <f t="shared" si="1"/>
        <v>13.75</v>
      </c>
      <c r="E12" s="87">
        <v>110</v>
      </c>
      <c r="F12" s="23">
        <f t="shared" si="2"/>
        <v>13</v>
      </c>
      <c r="G12" s="98">
        <v>104</v>
      </c>
      <c r="H12" s="23">
        <f t="shared" si="2"/>
        <v>0</v>
      </c>
      <c r="I12" s="98">
        <v>0</v>
      </c>
      <c r="J12" s="23">
        <f t="shared" si="2"/>
        <v>0</v>
      </c>
      <c r="K12" s="98">
        <v>0</v>
      </c>
      <c r="L12" s="23">
        <f t="shared" si="2"/>
        <v>0</v>
      </c>
      <c r="M12" s="109">
        <v>0</v>
      </c>
      <c r="N12" s="105"/>
      <c r="O12" s="25"/>
      <c r="P12" s="24">
        <v>2</v>
      </c>
      <c r="Q12" s="37">
        <v>18</v>
      </c>
      <c r="R12" s="24"/>
      <c r="S12" s="37"/>
    </row>
    <row r="13" spans="1:19" x14ac:dyDescent="0.25">
      <c r="A13" s="127">
        <v>46091</v>
      </c>
      <c r="B13" s="35">
        <f t="shared" si="0"/>
        <v>12.875</v>
      </c>
      <c r="C13" s="27">
        <v>103</v>
      </c>
      <c r="D13" s="35">
        <f t="shared" si="1"/>
        <v>13</v>
      </c>
      <c r="E13" s="87">
        <v>104</v>
      </c>
      <c r="F13" s="23">
        <f t="shared" si="2"/>
        <v>12</v>
      </c>
      <c r="G13" s="98">
        <v>96</v>
      </c>
      <c r="H13" s="23">
        <f t="shared" si="2"/>
        <v>0</v>
      </c>
      <c r="I13" s="98">
        <v>0</v>
      </c>
      <c r="J13" s="23">
        <f t="shared" si="2"/>
        <v>0</v>
      </c>
      <c r="K13" s="98">
        <v>0</v>
      </c>
      <c r="L13" s="23">
        <f t="shared" si="2"/>
        <v>0</v>
      </c>
      <c r="M13" s="109">
        <v>0</v>
      </c>
      <c r="N13" s="105"/>
      <c r="O13" s="25"/>
      <c r="P13" s="24">
        <v>2</v>
      </c>
      <c r="Q13" s="37">
        <v>18</v>
      </c>
      <c r="R13" s="24"/>
      <c r="S13" s="37"/>
    </row>
    <row r="14" spans="1:19" x14ac:dyDescent="0.25">
      <c r="A14" s="127">
        <v>46092</v>
      </c>
      <c r="B14" s="35">
        <f t="shared" si="0"/>
        <v>13.75</v>
      </c>
      <c r="C14" s="27">
        <v>110</v>
      </c>
      <c r="D14" s="35">
        <f t="shared" si="1"/>
        <v>13.75</v>
      </c>
      <c r="E14" s="87">
        <v>110</v>
      </c>
      <c r="F14" s="23">
        <f t="shared" si="2"/>
        <v>12</v>
      </c>
      <c r="G14" s="98">
        <v>96</v>
      </c>
      <c r="H14" s="23">
        <f t="shared" si="2"/>
        <v>0</v>
      </c>
      <c r="I14" s="98">
        <v>0</v>
      </c>
      <c r="J14" s="23">
        <f t="shared" si="2"/>
        <v>0</v>
      </c>
      <c r="K14" s="98">
        <v>0</v>
      </c>
      <c r="L14" s="23">
        <f t="shared" si="2"/>
        <v>0</v>
      </c>
      <c r="M14" s="109">
        <v>0</v>
      </c>
      <c r="N14" s="105"/>
      <c r="O14" s="25"/>
      <c r="P14" s="24">
        <v>2</v>
      </c>
      <c r="Q14" s="37">
        <v>18</v>
      </c>
      <c r="R14" s="24"/>
      <c r="S14" s="37"/>
    </row>
    <row r="15" spans="1:19" ht="15" customHeight="1" x14ac:dyDescent="0.25">
      <c r="A15" s="127">
        <v>46093</v>
      </c>
      <c r="B15" s="35">
        <f t="shared" si="0"/>
        <v>13.5</v>
      </c>
      <c r="C15" s="27">
        <v>108</v>
      </c>
      <c r="D15" s="35">
        <f t="shared" si="1"/>
        <v>13.5</v>
      </c>
      <c r="E15" s="87">
        <v>108</v>
      </c>
      <c r="F15" s="23">
        <f t="shared" si="2"/>
        <v>0</v>
      </c>
      <c r="G15" s="98">
        <v>0</v>
      </c>
      <c r="H15" s="23">
        <f t="shared" si="2"/>
        <v>0</v>
      </c>
      <c r="I15" s="98">
        <v>0</v>
      </c>
      <c r="J15" s="23">
        <v>85.5</v>
      </c>
      <c r="K15" s="98">
        <v>0</v>
      </c>
      <c r="L15" s="23">
        <f t="shared" si="2"/>
        <v>0</v>
      </c>
      <c r="M15" s="109">
        <v>0</v>
      </c>
      <c r="N15" s="57"/>
      <c r="O15" s="24"/>
      <c r="P15" s="24">
        <v>2</v>
      </c>
      <c r="Q15" s="37">
        <v>18</v>
      </c>
      <c r="R15" s="24"/>
      <c r="S15" s="37"/>
    </row>
    <row r="16" spans="1:19" ht="15" customHeight="1" x14ac:dyDescent="0.25">
      <c r="A16" s="127">
        <v>46094</v>
      </c>
      <c r="B16" s="35">
        <f t="shared" si="0"/>
        <v>12</v>
      </c>
      <c r="C16" s="27">
        <v>96</v>
      </c>
      <c r="D16" s="35">
        <f t="shared" si="1"/>
        <v>12</v>
      </c>
      <c r="E16" s="87">
        <v>96</v>
      </c>
      <c r="F16" s="23">
        <f t="shared" si="2"/>
        <v>0</v>
      </c>
      <c r="G16" s="98">
        <v>0</v>
      </c>
      <c r="H16" s="23">
        <f t="shared" si="2"/>
        <v>0</v>
      </c>
      <c r="I16" s="98">
        <v>0</v>
      </c>
      <c r="J16" s="23">
        <v>96</v>
      </c>
      <c r="K16" s="98">
        <v>0</v>
      </c>
      <c r="L16" s="23">
        <f t="shared" si="2"/>
        <v>0</v>
      </c>
      <c r="M16" s="109">
        <v>0</v>
      </c>
      <c r="N16" s="21"/>
      <c r="O16" s="24"/>
      <c r="P16" s="24">
        <v>2</v>
      </c>
      <c r="Q16" s="37">
        <v>16</v>
      </c>
      <c r="R16" s="24"/>
      <c r="S16" s="37"/>
    </row>
    <row r="17" spans="1:19" ht="15" customHeight="1" x14ac:dyDescent="0.25">
      <c r="A17" s="127">
        <v>46095</v>
      </c>
      <c r="B17" s="114"/>
      <c r="C17" s="115"/>
      <c r="D17" s="114"/>
      <c r="E17" s="115"/>
      <c r="F17" s="116"/>
      <c r="G17" s="115"/>
      <c r="H17" s="116"/>
      <c r="I17" s="115"/>
      <c r="J17" s="116"/>
      <c r="K17" s="115"/>
      <c r="L17" s="116"/>
      <c r="M17" s="117"/>
      <c r="N17" s="118"/>
      <c r="O17" s="119"/>
      <c r="P17" s="120"/>
      <c r="Q17" s="121"/>
      <c r="R17" s="120"/>
      <c r="S17" s="121"/>
    </row>
    <row r="18" spans="1:19" x14ac:dyDescent="0.25">
      <c r="A18" s="127">
        <v>46096</v>
      </c>
      <c r="B18" s="114"/>
      <c r="C18" s="115"/>
      <c r="D18" s="114"/>
      <c r="E18" s="115"/>
      <c r="F18" s="116"/>
      <c r="G18" s="115"/>
      <c r="H18" s="116"/>
      <c r="I18" s="115"/>
      <c r="J18" s="116"/>
      <c r="K18" s="115"/>
      <c r="L18" s="116"/>
      <c r="M18" s="117"/>
      <c r="N18" s="118"/>
      <c r="O18" s="119"/>
      <c r="P18" s="120"/>
      <c r="Q18" s="121"/>
      <c r="R18" s="120"/>
      <c r="S18" s="121"/>
    </row>
    <row r="19" spans="1:19" x14ac:dyDescent="0.25">
      <c r="A19" s="127">
        <v>46097</v>
      </c>
      <c r="B19" s="35">
        <f t="shared" si="0"/>
        <v>15.125</v>
      </c>
      <c r="C19" s="27">
        <v>121</v>
      </c>
      <c r="D19" s="35">
        <f t="shared" si="1"/>
        <v>15.45</v>
      </c>
      <c r="E19" s="87">
        <v>123.6</v>
      </c>
      <c r="F19" s="23">
        <f t="shared" si="2"/>
        <v>0</v>
      </c>
      <c r="G19" s="98">
        <v>0</v>
      </c>
      <c r="H19" s="23">
        <f t="shared" si="2"/>
        <v>4.5</v>
      </c>
      <c r="I19" s="98">
        <v>36</v>
      </c>
      <c r="J19" s="23">
        <f t="shared" si="2"/>
        <v>0</v>
      </c>
      <c r="K19" s="98">
        <v>0</v>
      </c>
      <c r="L19" s="23">
        <f t="shared" si="2"/>
        <v>4.25</v>
      </c>
      <c r="M19" s="109">
        <v>34</v>
      </c>
      <c r="N19" s="105"/>
      <c r="O19" s="25"/>
      <c r="P19" s="24">
        <v>2</v>
      </c>
      <c r="Q19" s="37">
        <v>18</v>
      </c>
      <c r="R19" s="24"/>
      <c r="S19" s="37"/>
    </row>
    <row r="20" spans="1:19" x14ac:dyDescent="0.25">
      <c r="A20" s="127">
        <v>46098</v>
      </c>
      <c r="B20" s="35">
        <f t="shared" si="0"/>
        <v>17.3125</v>
      </c>
      <c r="C20" s="27">
        <v>138.5</v>
      </c>
      <c r="D20" s="35">
        <f t="shared" si="1"/>
        <v>17.375</v>
      </c>
      <c r="E20" s="87">
        <v>139</v>
      </c>
      <c r="F20" s="23">
        <f t="shared" si="2"/>
        <v>0</v>
      </c>
      <c r="G20" s="98">
        <v>0</v>
      </c>
      <c r="H20" s="23">
        <f t="shared" si="2"/>
        <v>3.375</v>
      </c>
      <c r="I20" s="98">
        <v>27</v>
      </c>
      <c r="J20" s="23">
        <f t="shared" si="2"/>
        <v>0</v>
      </c>
      <c r="K20" s="98">
        <v>0</v>
      </c>
      <c r="L20" s="23">
        <f t="shared" si="2"/>
        <v>3.5625</v>
      </c>
      <c r="M20" s="109">
        <v>28.5</v>
      </c>
      <c r="N20" s="105"/>
      <c r="O20" s="25"/>
      <c r="P20" s="24">
        <v>2</v>
      </c>
      <c r="Q20" s="37">
        <v>18</v>
      </c>
      <c r="R20" s="24"/>
      <c r="S20" s="37"/>
    </row>
    <row r="21" spans="1:19" x14ac:dyDescent="0.25">
      <c r="A21" s="127">
        <v>46099</v>
      </c>
      <c r="B21" s="35">
        <f t="shared" si="0"/>
        <v>19.6875</v>
      </c>
      <c r="C21" s="27">
        <v>157.5</v>
      </c>
      <c r="D21" s="35">
        <f t="shared" si="1"/>
        <v>19.6875</v>
      </c>
      <c r="E21" s="87">
        <v>157.5</v>
      </c>
      <c r="F21" s="23">
        <f t="shared" si="2"/>
        <v>0</v>
      </c>
      <c r="G21" s="98">
        <v>0</v>
      </c>
      <c r="H21" s="23">
        <f t="shared" si="2"/>
        <v>0</v>
      </c>
      <c r="I21" s="98">
        <v>0</v>
      </c>
      <c r="J21" s="23">
        <f t="shared" si="2"/>
        <v>0</v>
      </c>
      <c r="K21" s="98">
        <v>0</v>
      </c>
      <c r="L21" s="23">
        <f t="shared" si="2"/>
        <v>0</v>
      </c>
      <c r="M21" s="109">
        <v>0</v>
      </c>
      <c r="N21" s="105"/>
      <c r="O21" s="25"/>
      <c r="P21" s="24">
        <v>2</v>
      </c>
      <c r="Q21" s="37">
        <v>18</v>
      </c>
      <c r="R21" s="24"/>
      <c r="S21" s="37"/>
    </row>
    <row r="22" spans="1:19" x14ac:dyDescent="0.25">
      <c r="A22" s="127">
        <v>46100</v>
      </c>
      <c r="B22" s="35">
        <f t="shared" si="0"/>
        <v>19.645</v>
      </c>
      <c r="C22" s="27">
        <v>157.16</v>
      </c>
      <c r="D22" s="35">
        <f t="shared" si="1"/>
        <v>16.274999999999999</v>
      </c>
      <c r="E22" s="87">
        <v>130.19999999999999</v>
      </c>
      <c r="F22" s="23">
        <f t="shared" si="2"/>
        <v>0</v>
      </c>
      <c r="G22" s="98">
        <v>0</v>
      </c>
      <c r="H22" s="23">
        <f t="shared" si="2"/>
        <v>3.375</v>
      </c>
      <c r="I22" s="98">
        <v>27</v>
      </c>
      <c r="J22" s="23">
        <f t="shared" si="2"/>
        <v>0</v>
      </c>
      <c r="K22" s="98">
        <v>0</v>
      </c>
      <c r="L22" s="23">
        <f t="shared" si="2"/>
        <v>0</v>
      </c>
      <c r="M22" s="109">
        <v>0</v>
      </c>
      <c r="N22" s="105"/>
      <c r="O22" s="25"/>
      <c r="P22" s="24">
        <v>2</v>
      </c>
      <c r="Q22" s="37">
        <v>18</v>
      </c>
      <c r="R22" s="24"/>
      <c r="S22" s="37"/>
    </row>
    <row r="23" spans="1:19" x14ac:dyDescent="0.25">
      <c r="A23" s="127">
        <v>46101</v>
      </c>
      <c r="B23" s="35">
        <f>C23/8</f>
        <v>18</v>
      </c>
      <c r="C23" s="27">
        <v>144</v>
      </c>
      <c r="D23" s="35">
        <f t="shared" si="1"/>
        <v>18</v>
      </c>
      <c r="E23" s="87">
        <v>144</v>
      </c>
      <c r="F23" s="23">
        <f t="shared" si="2"/>
        <v>0</v>
      </c>
      <c r="G23" s="98">
        <v>0</v>
      </c>
      <c r="H23" s="23">
        <f t="shared" si="2"/>
        <v>0</v>
      </c>
      <c r="I23" s="98">
        <v>0</v>
      </c>
      <c r="J23" s="23">
        <f t="shared" si="2"/>
        <v>0</v>
      </c>
      <c r="K23" s="98">
        <v>0</v>
      </c>
      <c r="L23" s="23">
        <f t="shared" si="2"/>
        <v>0</v>
      </c>
      <c r="M23" s="109">
        <v>0</v>
      </c>
      <c r="N23" s="105"/>
      <c r="O23" s="25"/>
      <c r="P23" s="24">
        <v>2</v>
      </c>
      <c r="Q23" s="37">
        <v>16</v>
      </c>
      <c r="R23" s="24"/>
      <c r="S23" s="37"/>
    </row>
    <row r="24" spans="1:19" x14ac:dyDescent="0.25">
      <c r="A24" s="127">
        <v>46102</v>
      </c>
      <c r="B24" s="114"/>
      <c r="C24" s="115"/>
      <c r="D24" s="114"/>
      <c r="E24" s="115"/>
      <c r="F24" s="116"/>
      <c r="G24" s="115"/>
      <c r="H24" s="116"/>
      <c r="I24" s="115"/>
      <c r="J24" s="116"/>
      <c r="K24" s="115"/>
      <c r="L24" s="116"/>
      <c r="M24" s="117"/>
      <c r="N24" s="118"/>
      <c r="O24" s="119"/>
      <c r="P24" s="120"/>
      <c r="Q24" s="121"/>
      <c r="R24" s="120"/>
      <c r="S24" s="121"/>
    </row>
    <row r="25" spans="1:19" x14ac:dyDescent="0.25">
      <c r="A25" s="127">
        <v>46103</v>
      </c>
      <c r="B25" s="114"/>
      <c r="C25" s="115"/>
      <c r="D25" s="114"/>
      <c r="E25" s="115"/>
      <c r="F25" s="116"/>
      <c r="G25" s="115"/>
      <c r="H25" s="116"/>
      <c r="I25" s="115"/>
      <c r="J25" s="116"/>
      <c r="K25" s="115"/>
      <c r="L25" s="116"/>
      <c r="M25" s="117"/>
      <c r="N25" s="118"/>
      <c r="O25" s="119"/>
      <c r="P25" s="120"/>
      <c r="Q25" s="121"/>
      <c r="R25" s="120"/>
      <c r="S25" s="121"/>
    </row>
    <row r="26" spans="1:19" x14ac:dyDescent="0.25">
      <c r="A26" s="127">
        <v>46104</v>
      </c>
      <c r="B26" s="35">
        <f t="shared" ref="B26:B30" si="3">C26/8</f>
        <v>20.237500000000001</v>
      </c>
      <c r="C26" s="27">
        <v>161.9</v>
      </c>
      <c r="D26" s="35">
        <f t="shared" ref="D26:D30" si="4">E26/8</f>
        <v>20.237500000000001</v>
      </c>
      <c r="E26" s="87">
        <v>161.9</v>
      </c>
      <c r="F26" s="23">
        <f t="shared" ref="F26:F30" si="5">G26/8</f>
        <v>0</v>
      </c>
      <c r="G26" s="98">
        <v>0</v>
      </c>
      <c r="H26" s="23">
        <f t="shared" ref="H26:H30" si="6">I26/8</f>
        <v>0</v>
      </c>
      <c r="I26" s="98">
        <v>0</v>
      </c>
      <c r="J26" s="23">
        <f t="shared" ref="J26:J30" si="7">K26/8</f>
        <v>0</v>
      </c>
      <c r="K26" s="98">
        <v>0</v>
      </c>
      <c r="L26" s="23">
        <f t="shared" ref="L26:L30" si="8">M26/8</f>
        <v>0</v>
      </c>
      <c r="M26" s="109">
        <v>0</v>
      </c>
      <c r="N26" s="105"/>
      <c r="O26" s="25"/>
      <c r="P26" s="24">
        <v>1</v>
      </c>
      <c r="Q26" s="37">
        <v>9</v>
      </c>
      <c r="R26" s="24"/>
      <c r="S26" s="37"/>
    </row>
    <row r="27" spans="1:19" x14ac:dyDescent="0.25">
      <c r="A27" s="127">
        <v>46105</v>
      </c>
      <c r="B27" s="35">
        <f t="shared" si="3"/>
        <v>19.291250000000002</v>
      </c>
      <c r="C27" s="27">
        <v>154.33000000000001</v>
      </c>
      <c r="D27" s="35">
        <f t="shared" si="4"/>
        <v>15.9125</v>
      </c>
      <c r="E27" s="87">
        <v>127.3</v>
      </c>
      <c r="F27" s="23">
        <f t="shared" si="5"/>
        <v>0</v>
      </c>
      <c r="G27" s="98">
        <v>0</v>
      </c>
      <c r="H27" s="23">
        <f t="shared" si="6"/>
        <v>3.375</v>
      </c>
      <c r="I27" s="98">
        <v>27</v>
      </c>
      <c r="J27" s="23">
        <f t="shared" si="7"/>
        <v>0</v>
      </c>
      <c r="K27" s="98">
        <v>0</v>
      </c>
      <c r="L27" s="23">
        <f t="shared" si="8"/>
        <v>0</v>
      </c>
      <c r="M27" s="109">
        <v>0</v>
      </c>
      <c r="N27" s="105"/>
      <c r="O27" s="25"/>
      <c r="P27" s="24">
        <v>2</v>
      </c>
      <c r="Q27" s="37">
        <v>18</v>
      </c>
      <c r="R27" s="24"/>
      <c r="S27" s="37"/>
    </row>
    <row r="28" spans="1:19" x14ac:dyDescent="0.25">
      <c r="A28" s="127">
        <v>46106</v>
      </c>
      <c r="B28" s="35">
        <f t="shared" si="3"/>
        <v>19.103750000000002</v>
      </c>
      <c r="C28" s="27">
        <v>152.83000000000001</v>
      </c>
      <c r="D28" s="35">
        <f t="shared" si="4"/>
        <v>19.103750000000002</v>
      </c>
      <c r="E28" s="87">
        <v>152.83000000000001</v>
      </c>
      <c r="F28" s="23">
        <f t="shared" si="5"/>
        <v>0</v>
      </c>
      <c r="G28" s="98">
        <v>0</v>
      </c>
      <c r="H28" s="23">
        <f t="shared" si="6"/>
        <v>0</v>
      </c>
      <c r="I28" s="98">
        <v>0</v>
      </c>
      <c r="J28" s="23">
        <f t="shared" si="7"/>
        <v>0</v>
      </c>
      <c r="K28" s="98">
        <v>0</v>
      </c>
      <c r="L28" s="23">
        <f t="shared" si="8"/>
        <v>0</v>
      </c>
      <c r="M28" s="109">
        <v>0</v>
      </c>
      <c r="N28" s="105"/>
      <c r="O28" s="25"/>
      <c r="P28" s="24">
        <v>2</v>
      </c>
      <c r="Q28" s="37">
        <v>18</v>
      </c>
      <c r="R28" s="24"/>
      <c r="S28" s="37"/>
    </row>
    <row r="29" spans="1:19" x14ac:dyDescent="0.25">
      <c r="A29" s="127">
        <v>46107</v>
      </c>
      <c r="B29" s="35">
        <f t="shared" si="3"/>
        <v>18.84375</v>
      </c>
      <c r="C29" s="27">
        <v>150.75</v>
      </c>
      <c r="D29" s="35">
        <f t="shared" si="4"/>
        <v>18.84375</v>
      </c>
      <c r="E29" s="87">
        <v>150.75</v>
      </c>
      <c r="F29" s="23">
        <f t="shared" si="5"/>
        <v>0</v>
      </c>
      <c r="G29" s="98">
        <v>0</v>
      </c>
      <c r="H29" s="23">
        <f t="shared" si="6"/>
        <v>0</v>
      </c>
      <c r="I29" s="98">
        <v>0</v>
      </c>
      <c r="J29" s="23">
        <f t="shared" si="7"/>
        <v>0</v>
      </c>
      <c r="K29" s="98">
        <v>0</v>
      </c>
      <c r="L29" s="23">
        <f t="shared" si="8"/>
        <v>0</v>
      </c>
      <c r="M29" s="109">
        <v>0</v>
      </c>
      <c r="N29" s="105"/>
      <c r="O29" s="25"/>
      <c r="P29" s="24">
        <v>2</v>
      </c>
      <c r="Q29" s="37">
        <v>18</v>
      </c>
      <c r="R29" s="24"/>
      <c r="S29" s="37"/>
    </row>
    <row r="30" spans="1:19" x14ac:dyDescent="0.25">
      <c r="A30" s="127">
        <v>46108</v>
      </c>
      <c r="B30" s="35">
        <f t="shared" si="3"/>
        <v>17</v>
      </c>
      <c r="C30" s="27">
        <v>136</v>
      </c>
      <c r="D30" s="35">
        <f t="shared" si="4"/>
        <v>17</v>
      </c>
      <c r="E30" s="87">
        <v>136</v>
      </c>
      <c r="F30" s="23">
        <f t="shared" si="5"/>
        <v>0</v>
      </c>
      <c r="G30" s="98">
        <v>0</v>
      </c>
      <c r="H30" s="23">
        <f t="shared" si="6"/>
        <v>0</v>
      </c>
      <c r="I30" s="98">
        <v>0</v>
      </c>
      <c r="J30" s="23">
        <f t="shared" si="7"/>
        <v>0</v>
      </c>
      <c r="K30" s="98">
        <v>0</v>
      </c>
      <c r="L30" s="23">
        <f t="shared" si="8"/>
        <v>0</v>
      </c>
      <c r="M30" s="109">
        <v>0</v>
      </c>
      <c r="N30" s="105"/>
      <c r="O30" s="25"/>
      <c r="P30" s="24">
        <v>2</v>
      </c>
      <c r="Q30" s="37">
        <v>16</v>
      </c>
      <c r="R30" s="24"/>
      <c r="S30" s="37"/>
    </row>
    <row r="31" spans="1:19" x14ac:dyDescent="0.25">
      <c r="A31" s="127">
        <v>46109</v>
      </c>
      <c r="B31" s="114"/>
      <c r="C31" s="115"/>
      <c r="D31" s="114"/>
      <c r="E31" s="115"/>
      <c r="F31" s="116"/>
      <c r="G31" s="115"/>
      <c r="H31" s="116"/>
      <c r="I31" s="115"/>
      <c r="J31" s="116"/>
      <c r="K31" s="115"/>
      <c r="L31" s="116"/>
      <c r="M31" s="117"/>
      <c r="N31" s="118"/>
      <c r="O31" s="119"/>
      <c r="P31" s="120"/>
      <c r="Q31" s="121"/>
      <c r="R31" s="120"/>
      <c r="S31" s="121"/>
    </row>
    <row r="32" spans="1:19" x14ac:dyDescent="0.25">
      <c r="A32" s="127">
        <v>46110</v>
      </c>
      <c r="B32" s="114"/>
      <c r="C32" s="115"/>
      <c r="D32" s="114"/>
      <c r="E32" s="115"/>
      <c r="F32" s="116"/>
      <c r="G32" s="115"/>
      <c r="H32" s="116"/>
      <c r="I32" s="115"/>
      <c r="J32" s="116"/>
      <c r="K32" s="115"/>
      <c r="L32" s="116"/>
      <c r="M32" s="117"/>
      <c r="N32" s="118"/>
      <c r="O32" s="119"/>
      <c r="P32" s="120"/>
      <c r="Q32" s="121"/>
      <c r="R32" s="120"/>
      <c r="S32" s="121"/>
    </row>
    <row r="33" spans="1:19" x14ac:dyDescent="0.25">
      <c r="A33" s="127">
        <v>46111</v>
      </c>
      <c r="B33" s="35">
        <f t="shared" ref="B33:B34" si="9">C33/8</f>
        <v>18.393750000000001</v>
      </c>
      <c r="C33" s="27">
        <v>147.15</v>
      </c>
      <c r="D33" s="35">
        <f t="shared" ref="D33:D34" si="10">E33/8</f>
        <v>18.393750000000001</v>
      </c>
      <c r="E33" s="87">
        <v>147.15</v>
      </c>
      <c r="F33" s="23">
        <f t="shared" ref="F33:F34" si="11">G33/8</f>
        <v>0</v>
      </c>
      <c r="G33" s="98">
        <v>0</v>
      </c>
      <c r="H33" s="23">
        <f t="shared" ref="H33:H34" si="12">I33/8</f>
        <v>0</v>
      </c>
      <c r="I33" s="98">
        <v>0</v>
      </c>
      <c r="J33" s="23">
        <f t="shared" ref="J33:J34" si="13">K33/8</f>
        <v>0</v>
      </c>
      <c r="K33" s="98">
        <v>0</v>
      </c>
      <c r="L33" s="23">
        <f t="shared" ref="L33:L34" si="14">M33/8</f>
        <v>0</v>
      </c>
      <c r="M33" s="109">
        <v>0</v>
      </c>
      <c r="N33" s="105"/>
      <c r="O33" s="25"/>
      <c r="P33" s="24">
        <v>2</v>
      </c>
      <c r="Q33" s="37">
        <v>18</v>
      </c>
      <c r="R33" s="24"/>
      <c r="S33" s="37"/>
    </row>
    <row r="34" spans="1:19" ht="15.75" thickBot="1" x14ac:dyDescent="0.3">
      <c r="A34" s="127">
        <v>46112</v>
      </c>
      <c r="B34" s="35">
        <f t="shared" si="9"/>
        <v>18.728750000000002</v>
      </c>
      <c r="C34" s="27">
        <v>149.83000000000001</v>
      </c>
      <c r="D34" s="35">
        <f t="shared" si="10"/>
        <v>18.728750000000002</v>
      </c>
      <c r="E34" s="87">
        <v>149.83000000000001</v>
      </c>
      <c r="F34" s="23">
        <f t="shared" si="11"/>
        <v>0</v>
      </c>
      <c r="G34" s="98">
        <v>0</v>
      </c>
      <c r="H34" s="23">
        <f t="shared" si="12"/>
        <v>0</v>
      </c>
      <c r="I34" s="98">
        <v>0</v>
      </c>
      <c r="J34" s="23">
        <f t="shared" si="13"/>
        <v>0</v>
      </c>
      <c r="K34" s="98">
        <v>0</v>
      </c>
      <c r="L34" s="23">
        <f t="shared" si="14"/>
        <v>0</v>
      </c>
      <c r="M34" s="109">
        <v>0</v>
      </c>
      <c r="N34" s="105"/>
      <c r="O34" s="25"/>
      <c r="P34" s="24">
        <v>2</v>
      </c>
      <c r="Q34" s="37">
        <v>18</v>
      </c>
      <c r="R34" s="24"/>
      <c r="S34" s="37"/>
    </row>
    <row r="35" spans="1:19" ht="15.75" thickBot="1" x14ac:dyDescent="0.3">
      <c r="A35" s="58" t="s">
        <v>20</v>
      </c>
      <c r="B35" s="59">
        <f>IFERROR(AVERAGE(B4:B25),0)</f>
        <v>14.493</v>
      </c>
      <c r="C35" s="60">
        <f>SUM(C4:C34)</f>
        <v>2791.9500000000003</v>
      </c>
      <c r="D35" s="59">
        <f>AVERAGE(D4:D25)</f>
        <v>14.317083333333333</v>
      </c>
      <c r="E35" s="60">
        <f>SUM(E4:E34)</f>
        <v>2743.81</v>
      </c>
      <c r="F35" s="62">
        <f>AVERAGE(F4:F25)</f>
        <v>6.7791666666666668</v>
      </c>
      <c r="G35" s="63">
        <f>SUM(G4:G34)</f>
        <v>813.5</v>
      </c>
      <c r="H35" s="62">
        <f>AVERAGE(H4:H25)</f>
        <v>0.75</v>
      </c>
      <c r="I35" s="63">
        <f>SUM(I4:I34)</f>
        <v>117</v>
      </c>
      <c r="J35" s="62">
        <f>AVERAGE(J4:J25)</f>
        <v>12.1</v>
      </c>
      <c r="K35" s="63">
        <f>SUM(K4:K25)</f>
        <v>0</v>
      </c>
      <c r="L35" s="62">
        <f>AVERAGE(L4:L25)</f>
        <v>0.52083333333333337</v>
      </c>
      <c r="M35" s="63">
        <f>SUM(M4:M34)</f>
        <v>62.5</v>
      </c>
      <c r="N35" s="64">
        <f>IFERROR(AVERAGE(N4:N25),0)</f>
        <v>0</v>
      </c>
      <c r="O35" s="65">
        <f>C35+I35+E35+G35+K35+M35</f>
        <v>6528.76</v>
      </c>
      <c r="P35" s="66">
        <f>IFERROR(AVERAGE(P4:P25),0)</f>
        <v>2</v>
      </c>
      <c r="Q35" s="154">
        <f>SUM(Q4:Q34)</f>
        <v>379</v>
      </c>
      <c r="R35" s="66">
        <f>IFERROR(AVERAGE(R4:R25),0)</f>
        <v>0</v>
      </c>
      <c r="S35" s="17">
        <f>SUM(S4:S25)</f>
        <v>0</v>
      </c>
    </row>
    <row r="36" spans="1:19" x14ac:dyDescent="0.25">
      <c r="G36" s="67"/>
      <c r="I36" s="68"/>
      <c r="O36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5"/>
  <sheetViews>
    <sheetView showGridLines="0" zoomScale="85" zoomScaleNormal="85" workbookViewId="0">
      <pane ySplit="3" topLeftCell="A4" activePane="bottomLeft" state="frozen"/>
      <selection pane="bottomLeft" activeCell="C34" sqref="C34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2026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x14ac:dyDescent="0.25">
      <c r="A4" s="127">
        <v>46113</v>
      </c>
      <c r="B4" s="35">
        <f t="shared" ref="B4:B20" si="0">C4/8</f>
        <v>20.962499999999999</v>
      </c>
      <c r="C4" s="27">
        <v>167.7</v>
      </c>
      <c r="D4" s="35">
        <f t="shared" ref="D4:D20" si="1">E4/8</f>
        <v>13.975</v>
      </c>
      <c r="E4" s="87">
        <v>111.8</v>
      </c>
      <c r="F4" s="23">
        <f t="shared" ref="F4:L20" si="2">G4/8</f>
        <v>0</v>
      </c>
      <c r="G4" s="98">
        <v>0</v>
      </c>
      <c r="H4" s="23">
        <f t="shared" si="2"/>
        <v>0</v>
      </c>
      <c r="I4" s="98">
        <v>0</v>
      </c>
      <c r="J4" s="23">
        <f t="shared" si="2"/>
        <v>0</v>
      </c>
      <c r="K4" s="98">
        <v>0</v>
      </c>
      <c r="L4" s="23">
        <f t="shared" si="2"/>
        <v>0</v>
      </c>
      <c r="M4" s="109">
        <v>0</v>
      </c>
      <c r="N4" s="105"/>
      <c r="O4" s="25"/>
      <c r="P4" s="24">
        <v>2</v>
      </c>
      <c r="Q4" s="37">
        <v>18</v>
      </c>
      <c r="R4" s="24"/>
      <c r="S4" s="37"/>
    </row>
    <row r="5" spans="1:19" x14ac:dyDescent="0.25">
      <c r="A5" s="127">
        <v>46114</v>
      </c>
      <c r="B5" s="35">
        <f t="shared" si="0"/>
        <v>20.701250000000002</v>
      </c>
      <c r="C5" s="27">
        <v>165.61</v>
      </c>
      <c r="D5" s="35">
        <f t="shared" si="1"/>
        <v>13.8</v>
      </c>
      <c r="E5" s="87">
        <v>110.4</v>
      </c>
      <c r="F5" s="23">
        <f t="shared" si="2"/>
        <v>0</v>
      </c>
      <c r="G5" s="98">
        <v>0</v>
      </c>
      <c r="H5" s="23">
        <f t="shared" si="2"/>
        <v>0</v>
      </c>
      <c r="I5" s="98">
        <v>0</v>
      </c>
      <c r="J5" s="23">
        <f t="shared" si="2"/>
        <v>0</v>
      </c>
      <c r="K5" s="98">
        <v>0</v>
      </c>
      <c r="L5" s="23">
        <f t="shared" si="2"/>
        <v>0</v>
      </c>
      <c r="M5" s="109">
        <v>0</v>
      </c>
      <c r="N5" s="105"/>
      <c r="O5" s="25"/>
      <c r="P5" s="24">
        <v>2</v>
      </c>
      <c r="Q5" s="37">
        <v>18</v>
      </c>
      <c r="R5" s="24"/>
      <c r="S5" s="37"/>
    </row>
    <row r="6" spans="1:19" x14ac:dyDescent="0.25">
      <c r="A6" s="127">
        <v>46115</v>
      </c>
      <c r="B6" s="35">
        <f t="shared" si="0"/>
        <v>19.387499999999999</v>
      </c>
      <c r="C6" s="27">
        <v>155.1</v>
      </c>
      <c r="D6" s="35">
        <f t="shared" si="1"/>
        <v>12.8125</v>
      </c>
      <c r="E6" s="87">
        <v>102.5</v>
      </c>
      <c r="F6" s="23">
        <f t="shared" si="2"/>
        <v>0</v>
      </c>
      <c r="G6" s="98">
        <v>0</v>
      </c>
      <c r="H6" s="23">
        <f t="shared" si="2"/>
        <v>0</v>
      </c>
      <c r="I6" s="98">
        <v>0</v>
      </c>
      <c r="J6" s="23">
        <f t="shared" si="2"/>
        <v>0</v>
      </c>
      <c r="K6" s="98">
        <v>0</v>
      </c>
      <c r="L6" s="23">
        <f t="shared" si="2"/>
        <v>0</v>
      </c>
      <c r="M6" s="109">
        <v>0</v>
      </c>
      <c r="N6" s="105"/>
      <c r="O6" s="25"/>
      <c r="P6" s="24">
        <v>2</v>
      </c>
      <c r="Q6" s="37">
        <v>16</v>
      </c>
      <c r="R6" s="24"/>
      <c r="S6" s="37"/>
    </row>
    <row r="7" spans="1:19" x14ac:dyDescent="0.25">
      <c r="A7" s="127">
        <v>46116</v>
      </c>
      <c r="B7" s="114"/>
      <c r="C7" s="115"/>
      <c r="D7" s="114"/>
      <c r="E7" s="115"/>
      <c r="F7" s="116"/>
      <c r="G7" s="115"/>
      <c r="H7" s="116"/>
      <c r="I7" s="115"/>
      <c r="J7" s="116"/>
      <c r="K7" s="115"/>
      <c r="L7" s="116"/>
      <c r="M7" s="117"/>
      <c r="N7" s="118"/>
      <c r="O7" s="119"/>
      <c r="P7" s="120"/>
      <c r="Q7" s="121"/>
      <c r="R7" s="120"/>
      <c r="S7" s="121"/>
    </row>
    <row r="8" spans="1:19" x14ac:dyDescent="0.25">
      <c r="A8" s="127">
        <v>46117</v>
      </c>
      <c r="B8" s="114"/>
      <c r="C8" s="115"/>
      <c r="D8" s="114"/>
      <c r="E8" s="115"/>
      <c r="F8" s="116"/>
      <c r="G8" s="115"/>
      <c r="H8" s="116"/>
      <c r="I8" s="115"/>
      <c r="J8" s="116"/>
      <c r="K8" s="115"/>
      <c r="L8" s="116"/>
      <c r="M8" s="117"/>
      <c r="N8" s="118"/>
      <c r="O8" s="119"/>
      <c r="P8" s="120"/>
      <c r="Q8" s="121"/>
      <c r="R8" s="120"/>
      <c r="S8" s="121"/>
    </row>
    <row r="9" spans="1:19" x14ac:dyDescent="0.25">
      <c r="A9" s="127">
        <v>46118</v>
      </c>
      <c r="B9" s="114"/>
      <c r="C9" s="115"/>
      <c r="D9" s="114"/>
      <c r="E9" s="115"/>
      <c r="F9" s="116"/>
      <c r="G9" s="115"/>
      <c r="H9" s="116"/>
      <c r="I9" s="115"/>
      <c r="J9" s="116"/>
      <c r="K9" s="115"/>
      <c r="L9" s="116"/>
      <c r="M9" s="117"/>
      <c r="N9" s="118"/>
      <c r="O9" s="119"/>
      <c r="P9" s="120"/>
      <c r="Q9" s="121"/>
      <c r="R9" s="120"/>
      <c r="S9" s="121"/>
    </row>
    <row r="10" spans="1:19" x14ac:dyDescent="0.25">
      <c r="A10" s="127">
        <v>46119</v>
      </c>
      <c r="B10" s="35">
        <f t="shared" si="0"/>
        <v>22.362500000000001</v>
      </c>
      <c r="C10" s="27">
        <v>178.9</v>
      </c>
      <c r="D10" s="35">
        <f t="shared" si="1"/>
        <v>14.9125</v>
      </c>
      <c r="E10" s="87">
        <v>119.3</v>
      </c>
      <c r="F10" s="23">
        <f t="shared" si="2"/>
        <v>0</v>
      </c>
      <c r="G10" s="98">
        <v>0</v>
      </c>
      <c r="H10" s="23">
        <f t="shared" si="2"/>
        <v>0</v>
      </c>
      <c r="I10" s="98">
        <v>0</v>
      </c>
      <c r="J10" s="23">
        <f t="shared" si="2"/>
        <v>0</v>
      </c>
      <c r="K10" s="98">
        <v>0</v>
      </c>
      <c r="L10" s="23">
        <f t="shared" si="2"/>
        <v>0</v>
      </c>
      <c r="M10" s="109">
        <v>0</v>
      </c>
      <c r="N10" s="105"/>
      <c r="O10" s="25"/>
      <c r="P10" s="24">
        <v>2</v>
      </c>
      <c r="Q10" s="37">
        <v>18</v>
      </c>
      <c r="R10" s="24"/>
      <c r="S10" s="37"/>
    </row>
    <row r="11" spans="1:19" x14ac:dyDescent="0.25">
      <c r="A11" s="127">
        <v>46120</v>
      </c>
      <c r="B11" s="35">
        <f t="shared" si="0"/>
        <v>20.350000000000001</v>
      </c>
      <c r="C11" s="27">
        <v>162.80000000000001</v>
      </c>
      <c r="D11" s="35">
        <f t="shared" si="1"/>
        <v>13.574999999999999</v>
      </c>
      <c r="E11" s="87">
        <v>108.6</v>
      </c>
      <c r="F11" s="23">
        <f t="shared" si="2"/>
        <v>0</v>
      </c>
      <c r="G11" s="98">
        <v>0</v>
      </c>
      <c r="H11" s="23">
        <f t="shared" si="2"/>
        <v>0</v>
      </c>
      <c r="I11" s="98">
        <v>0</v>
      </c>
      <c r="J11" s="23">
        <f t="shared" si="2"/>
        <v>0</v>
      </c>
      <c r="K11" s="98">
        <v>0</v>
      </c>
      <c r="L11" s="23">
        <f t="shared" si="2"/>
        <v>0</v>
      </c>
      <c r="M11" s="109">
        <v>0</v>
      </c>
      <c r="N11" s="105"/>
      <c r="O11" s="25"/>
      <c r="P11" s="24">
        <v>2</v>
      </c>
      <c r="Q11" s="37">
        <v>18</v>
      </c>
      <c r="R11" s="24"/>
      <c r="S11" s="37"/>
    </row>
    <row r="12" spans="1:19" ht="15" customHeight="1" x14ac:dyDescent="0.25">
      <c r="A12" s="127">
        <v>46121</v>
      </c>
      <c r="B12" s="35">
        <f t="shared" si="0"/>
        <v>17.987500000000001</v>
      </c>
      <c r="C12" s="27">
        <v>143.9</v>
      </c>
      <c r="D12" s="35">
        <f t="shared" si="1"/>
        <v>17.987500000000001</v>
      </c>
      <c r="E12" s="27">
        <v>143.9</v>
      </c>
      <c r="F12" s="23">
        <f t="shared" si="2"/>
        <v>0</v>
      </c>
      <c r="G12" s="98">
        <v>0</v>
      </c>
      <c r="H12" s="23">
        <f t="shared" si="2"/>
        <v>0</v>
      </c>
      <c r="I12" s="98">
        <v>0</v>
      </c>
      <c r="J12" s="23">
        <f t="shared" si="2"/>
        <v>0</v>
      </c>
      <c r="K12" s="98">
        <v>0</v>
      </c>
      <c r="L12" s="23">
        <f t="shared" si="2"/>
        <v>0</v>
      </c>
      <c r="M12" s="109">
        <v>0</v>
      </c>
      <c r="N12" s="57"/>
      <c r="O12" s="24"/>
      <c r="P12" s="24">
        <v>2</v>
      </c>
      <c r="Q12" s="37">
        <v>18</v>
      </c>
      <c r="R12" s="24"/>
      <c r="S12" s="37"/>
    </row>
    <row r="13" spans="1:19" ht="15" customHeight="1" x14ac:dyDescent="0.25">
      <c r="A13" s="127">
        <v>46122</v>
      </c>
      <c r="B13" s="35">
        <f t="shared" si="0"/>
        <v>15.0625</v>
      </c>
      <c r="C13" s="27">
        <v>120.5</v>
      </c>
      <c r="D13" s="35">
        <f t="shared" si="1"/>
        <v>15.05</v>
      </c>
      <c r="E13" s="27">
        <v>120.4</v>
      </c>
      <c r="F13" s="23">
        <f t="shared" si="2"/>
        <v>0</v>
      </c>
      <c r="G13" s="98">
        <v>0</v>
      </c>
      <c r="H13" s="23">
        <f t="shared" si="2"/>
        <v>0</v>
      </c>
      <c r="I13" s="98">
        <v>0</v>
      </c>
      <c r="J13" s="23">
        <f t="shared" si="2"/>
        <v>0</v>
      </c>
      <c r="K13" s="98">
        <v>0</v>
      </c>
      <c r="L13" s="23">
        <f t="shared" si="2"/>
        <v>0</v>
      </c>
      <c r="M13" s="109">
        <v>0</v>
      </c>
      <c r="N13" s="21"/>
      <c r="O13" s="24"/>
      <c r="P13" s="24">
        <v>2</v>
      </c>
      <c r="Q13" s="37">
        <v>16</v>
      </c>
      <c r="R13" s="24"/>
      <c r="S13" s="37"/>
    </row>
    <row r="14" spans="1:19" ht="15" customHeight="1" x14ac:dyDescent="0.25">
      <c r="A14" s="127">
        <v>46123</v>
      </c>
      <c r="B14" s="114"/>
      <c r="C14" s="115"/>
      <c r="D14" s="114"/>
      <c r="E14" s="115"/>
      <c r="F14" s="116"/>
      <c r="G14" s="115"/>
      <c r="H14" s="116"/>
      <c r="I14" s="115"/>
      <c r="J14" s="116"/>
      <c r="K14" s="115"/>
      <c r="L14" s="116"/>
      <c r="M14" s="117"/>
      <c r="N14" s="118"/>
      <c r="O14" s="119"/>
      <c r="P14" s="120"/>
      <c r="Q14" s="121"/>
      <c r="R14" s="120"/>
      <c r="S14" s="121"/>
    </row>
    <row r="15" spans="1:19" x14ac:dyDescent="0.25">
      <c r="A15" s="127">
        <v>46124</v>
      </c>
      <c r="B15" s="114"/>
      <c r="C15" s="115"/>
      <c r="D15" s="114"/>
      <c r="E15" s="115"/>
      <c r="F15" s="116"/>
      <c r="G15" s="115"/>
      <c r="H15" s="116"/>
      <c r="I15" s="115"/>
      <c r="J15" s="116"/>
      <c r="K15" s="115"/>
      <c r="L15" s="116"/>
      <c r="M15" s="117"/>
      <c r="N15" s="118"/>
      <c r="O15" s="119"/>
      <c r="P15" s="120"/>
      <c r="Q15" s="121"/>
      <c r="R15" s="120"/>
      <c r="S15" s="121"/>
    </row>
    <row r="16" spans="1:19" x14ac:dyDescent="0.25">
      <c r="A16" s="127">
        <v>46125</v>
      </c>
      <c r="B16" s="35">
        <f t="shared" si="0"/>
        <v>18.350000000000001</v>
      </c>
      <c r="C16" s="27">
        <v>146.80000000000001</v>
      </c>
      <c r="D16" s="35">
        <f t="shared" si="1"/>
        <v>18.350000000000001</v>
      </c>
      <c r="E16" s="27">
        <v>146.80000000000001</v>
      </c>
      <c r="F16" s="23">
        <f t="shared" si="2"/>
        <v>0</v>
      </c>
      <c r="G16" s="98">
        <v>0</v>
      </c>
      <c r="H16" s="23">
        <f t="shared" si="2"/>
        <v>0</v>
      </c>
      <c r="I16" s="98">
        <v>0</v>
      </c>
      <c r="J16" s="23">
        <f t="shared" si="2"/>
        <v>0</v>
      </c>
      <c r="K16" s="98">
        <v>0</v>
      </c>
      <c r="L16" s="23">
        <f t="shared" si="2"/>
        <v>0</v>
      </c>
      <c r="M16" s="109">
        <v>0</v>
      </c>
      <c r="N16" s="105"/>
      <c r="O16" s="25"/>
      <c r="P16" s="24">
        <v>2</v>
      </c>
      <c r="Q16" s="37">
        <v>18</v>
      </c>
      <c r="R16" s="24"/>
      <c r="S16" s="37"/>
    </row>
    <row r="17" spans="1:19" x14ac:dyDescent="0.25">
      <c r="A17" s="127">
        <v>46126</v>
      </c>
      <c r="B17" s="35">
        <f t="shared" si="0"/>
        <v>17.712499999999999</v>
      </c>
      <c r="C17" s="27">
        <v>141.69999999999999</v>
      </c>
      <c r="D17" s="35">
        <f t="shared" si="1"/>
        <v>17.725000000000001</v>
      </c>
      <c r="E17" s="87">
        <v>141.80000000000001</v>
      </c>
      <c r="F17" s="23">
        <f t="shared" si="2"/>
        <v>0</v>
      </c>
      <c r="G17" s="98">
        <v>0</v>
      </c>
      <c r="H17" s="23">
        <f t="shared" si="2"/>
        <v>0</v>
      </c>
      <c r="I17" s="98">
        <v>0</v>
      </c>
      <c r="J17" s="23">
        <f t="shared" si="2"/>
        <v>0</v>
      </c>
      <c r="K17" s="98">
        <v>0</v>
      </c>
      <c r="L17" s="23">
        <f t="shared" si="2"/>
        <v>0</v>
      </c>
      <c r="M17" s="109">
        <v>0</v>
      </c>
      <c r="N17" s="105"/>
      <c r="O17" s="25"/>
      <c r="P17" s="24">
        <v>2</v>
      </c>
      <c r="Q17" s="37">
        <v>18</v>
      </c>
      <c r="R17" s="24"/>
      <c r="S17" s="37"/>
    </row>
    <row r="18" spans="1:19" x14ac:dyDescent="0.25">
      <c r="A18" s="127">
        <v>46127</v>
      </c>
      <c r="B18" s="35">
        <f t="shared" si="0"/>
        <v>18.600000000000001</v>
      </c>
      <c r="C18" s="27">
        <v>148.80000000000001</v>
      </c>
      <c r="D18" s="35">
        <f t="shared" si="1"/>
        <v>18.600000000000001</v>
      </c>
      <c r="E18" s="87">
        <v>148.80000000000001</v>
      </c>
      <c r="F18" s="23">
        <f t="shared" si="2"/>
        <v>0</v>
      </c>
      <c r="G18" s="98">
        <v>0</v>
      </c>
      <c r="H18" s="23">
        <f t="shared" si="2"/>
        <v>0</v>
      </c>
      <c r="I18" s="98">
        <v>0</v>
      </c>
      <c r="J18" s="23">
        <f t="shared" si="2"/>
        <v>0</v>
      </c>
      <c r="K18" s="98">
        <v>0</v>
      </c>
      <c r="L18" s="23">
        <f t="shared" si="2"/>
        <v>0</v>
      </c>
      <c r="M18" s="109">
        <v>0</v>
      </c>
      <c r="N18" s="105"/>
      <c r="O18" s="25"/>
      <c r="P18" s="24">
        <v>2</v>
      </c>
      <c r="Q18" s="37">
        <v>18</v>
      </c>
      <c r="R18" s="24"/>
      <c r="S18" s="37"/>
    </row>
    <row r="19" spans="1:19" x14ac:dyDescent="0.25">
      <c r="A19" s="127">
        <v>46128</v>
      </c>
      <c r="B19" s="35">
        <f t="shared" si="0"/>
        <v>18.012499999999999</v>
      </c>
      <c r="C19" s="27">
        <v>144.1</v>
      </c>
      <c r="D19" s="35">
        <f t="shared" si="1"/>
        <v>18.012499999999999</v>
      </c>
      <c r="E19" s="87">
        <v>144.1</v>
      </c>
      <c r="F19" s="23">
        <f t="shared" si="2"/>
        <v>0</v>
      </c>
      <c r="G19" s="98">
        <v>0</v>
      </c>
      <c r="H19" s="23">
        <f t="shared" si="2"/>
        <v>0</v>
      </c>
      <c r="I19" s="98">
        <v>0</v>
      </c>
      <c r="J19" s="23">
        <f t="shared" si="2"/>
        <v>0</v>
      </c>
      <c r="K19" s="98">
        <v>0</v>
      </c>
      <c r="L19" s="23">
        <f t="shared" si="2"/>
        <v>0</v>
      </c>
      <c r="M19" s="109">
        <v>0</v>
      </c>
      <c r="N19" s="105"/>
      <c r="O19" s="25"/>
      <c r="P19" s="24">
        <v>2</v>
      </c>
      <c r="Q19" s="37">
        <v>18</v>
      </c>
      <c r="R19" s="24"/>
      <c r="S19" s="37"/>
    </row>
    <row r="20" spans="1:19" x14ac:dyDescent="0.25">
      <c r="A20" s="127">
        <v>46129</v>
      </c>
      <c r="B20" s="35">
        <f t="shared" si="0"/>
        <v>15.4625</v>
      </c>
      <c r="C20" s="27">
        <v>123.7</v>
      </c>
      <c r="D20" s="35">
        <f t="shared" si="1"/>
        <v>15.463749999999999</v>
      </c>
      <c r="E20" s="87">
        <v>123.71</v>
      </c>
      <c r="F20" s="23">
        <f t="shared" si="2"/>
        <v>0</v>
      </c>
      <c r="G20" s="98">
        <v>0</v>
      </c>
      <c r="H20" s="23">
        <f t="shared" si="2"/>
        <v>0</v>
      </c>
      <c r="I20" s="98">
        <v>0</v>
      </c>
      <c r="J20" s="23">
        <f t="shared" si="2"/>
        <v>0</v>
      </c>
      <c r="K20" s="98">
        <v>0</v>
      </c>
      <c r="L20" s="23">
        <f t="shared" si="2"/>
        <v>0</v>
      </c>
      <c r="M20" s="109">
        <v>0</v>
      </c>
      <c r="N20" s="105"/>
      <c r="O20" s="25"/>
      <c r="P20" s="24">
        <v>2</v>
      </c>
      <c r="Q20" s="37">
        <v>16</v>
      </c>
      <c r="R20" s="24"/>
      <c r="S20" s="37"/>
    </row>
    <row r="21" spans="1:19" x14ac:dyDescent="0.25">
      <c r="A21" s="127">
        <v>46130</v>
      </c>
      <c r="B21" s="114"/>
      <c r="C21" s="115"/>
      <c r="D21" s="114"/>
      <c r="E21" s="115"/>
      <c r="F21" s="116"/>
      <c r="G21" s="115"/>
      <c r="H21" s="116"/>
      <c r="I21" s="115"/>
      <c r="J21" s="116"/>
      <c r="K21" s="115"/>
      <c r="L21" s="116"/>
      <c r="M21" s="117"/>
      <c r="N21" s="118"/>
      <c r="O21" s="119"/>
      <c r="P21" s="120"/>
      <c r="Q21" s="121"/>
      <c r="R21" s="120"/>
      <c r="S21" s="121"/>
    </row>
    <row r="22" spans="1:19" x14ac:dyDescent="0.25">
      <c r="A22" s="127">
        <v>46131</v>
      </c>
      <c r="B22" s="114"/>
      <c r="C22" s="115"/>
      <c r="D22" s="114"/>
      <c r="E22" s="115"/>
      <c r="F22" s="116"/>
      <c r="G22" s="115"/>
      <c r="H22" s="116"/>
      <c r="I22" s="115"/>
      <c r="J22" s="116"/>
      <c r="K22" s="115"/>
      <c r="L22" s="116"/>
      <c r="M22" s="117"/>
      <c r="N22" s="118"/>
      <c r="O22" s="119"/>
      <c r="P22" s="120"/>
      <c r="Q22" s="121"/>
      <c r="R22" s="120"/>
      <c r="S22" s="121"/>
    </row>
    <row r="23" spans="1:19" x14ac:dyDescent="0.25">
      <c r="A23" s="127">
        <v>46132</v>
      </c>
      <c r="B23" s="35">
        <f t="shared" ref="B23:B27" si="3">C23/8</f>
        <v>16.875</v>
      </c>
      <c r="C23" s="27">
        <v>135</v>
      </c>
      <c r="D23" s="35">
        <f t="shared" ref="D23:D27" si="4">E23/8</f>
        <v>16.875</v>
      </c>
      <c r="E23" s="87">
        <v>135</v>
      </c>
      <c r="F23" s="23">
        <f t="shared" ref="F23:F27" si="5">G23/8</f>
        <v>0</v>
      </c>
      <c r="G23" s="98">
        <v>0</v>
      </c>
      <c r="H23" s="23">
        <f t="shared" ref="H23:H27" si="6">I23/8</f>
        <v>0</v>
      </c>
      <c r="I23" s="98">
        <v>0</v>
      </c>
      <c r="J23" s="23">
        <f t="shared" ref="J23:J27" si="7">K23/8</f>
        <v>0</v>
      </c>
      <c r="K23" s="98">
        <v>0</v>
      </c>
      <c r="L23" s="23">
        <f t="shared" ref="L23:L27" si="8">M23/8</f>
        <v>0</v>
      </c>
      <c r="M23" s="109">
        <v>0</v>
      </c>
      <c r="N23" s="105"/>
      <c r="O23" s="25"/>
      <c r="P23" s="24">
        <v>2</v>
      </c>
      <c r="Q23" s="37">
        <v>18</v>
      </c>
      <c r="R23" s="24"/>
      <c r="S23" s="37"/>
    </row>
    <row r="24" spans="1:19" x14ac:dyDescent="0.25">
      <c r="A24" s="127">
        <v>46133</v>
      </c>
      <c r="B24" s="35">
        <f t="shared" si="3"/>
        <v>16.375</v>
      </c>
      <c r="C24" s="27">
        <v>131</v>
      </c>
      <c r="D24" s="35">
        <f t="shared" si="4"/>
        <v>16.313749999999999</v>
      </c>
      <c r="E24" s="87">
        <v>130.51</v>
      </c>
      <c r="F24" s="23">
        <f t="shared" si="5"/>
        <v>0</v>
      </c>
      <c r="G24" s="98">
        <v>0</v>
      </c>
      <c r="H24" s="23">
        <f t="shared" si="6"/>
        <v>0</v>
      </c>
      <c r="I24" s="98">
        <v>0</v>
      </c>
      <c r="J24" s="23">
        <f t="shared" si="7"/>
        <v>0</v>
      </c>
      <c r="K24" s="98">
        <v>0</v>
      </c>
      <c r="L24" s="23">
        <f t="shared" si="8"/>
        <v>0</v>
      </c>
      <c r="M24" s="109">
        <v>0</v>
      </c>
      <c r="N24" s="105"/>
      <c r="O24" s="25"/>
      <c r="P24" s="24">
        <v>2</v>
      </c>
      <c r="Q24" s="37">
        <v>18</v>
      </c>
      <c r="R24" s="24"/>
      <c r="S24" s="37"/>
    </row>
    <row r="25" spans="1:19" x14ac:dyDescent="0.25">
      <c r="A25" s="127">
        <v>46134</v>
      </c>
      <c r="B25" s="35">
        <f t="shared" si="3"/>
        <v>16.693750000000001</v>
      </c>
      <c r="C25" s="27">
        <v>133.55000000000001</v>
      </c>
      <c r="D25" s="35">
        <f t="shared" si="4"/>
        <v>16.693750000000001</v>
      </c>
      <c r="E25" s="27">
        <v>133.55000000000001</v>
      </c>
      <c r="F25" s="23">
        <f t="shared" si="5"/>
        <v>0</v>
      </c>
      <c r="G25" s="98">
        <v>0</v>
      </c>
      <c r="H25" s="23">
        <f t="shared" si="6"/>
        <v>0</v>
      </c>
      <c r="I25" s="98">
        <v>0</v>
      </c>
      <c r="J25" s="23">
        <f t="shared" si="7"/>
        <v>0</v>
      </c>
      <c r="K25" s="98">
        <v>0</v>
      </c>
      <c r="L25" s="23">
        <f t="shared" si="8"/>
        <v>0</v>
      </c>
      <c r="M25" s="109">
        <v>0</v>
      </c>
      <c r="N25" s="105"/>
      <c r="O25" s="25"/>
      <c r="P25" s="24">
        <v>2</v>
      </c>
      <c r="Q25" s="37">
        <v>18</v>
      </c>
      <c r="R25" s="24"/>
      <c r="S25" s="37"/>
    </row>
    <row r="26" spans="1:19" x14ac:dyDescent="0.25">
      <c r="A26" s="127">
        <v>46135</v>
      </c>
      <c r="B26" s="35">
        <f t="shared" si="3"/>
        <v>18.206250000000001</v>
      </c>
      <c r="C26" s="27">
        <v>145.65</v>
      </c>
      <c r="D26" s="35">
        <f t="shared" si="4"/>
        <v>18.206250000000001</v>
      </c>
      <c r="E26" s="27">
        <v>145.65</v>
      </c>
      <c r="F26" s="23">
        <f t="shared" si="5"/>
        <v>0</v>
      </c>
      <c r="G26" s="98">
        <v>0</v>
      </c>
      <c r="H26" s="23">
        <f t="shared" si="6"/>
        <v>0</v>
      </c>
      <c r="I26" s="98">
        <v>0</v>
      </c>
      <c r="J26" s="23">
        <f t="shared" si="7"/>
        <v>0</v>
      </c>
      <c r="K26" s="98">
        <v>0</v>
      </c>
      <c r="L26" s="23">
        <f t="shared" si="8"/>
        <v>0</v>
      </c>
      <c r="M26" s="109">
        <v>0</v>
      </c>
      <c r="N26" s="105"/>
      <c r="O26" s="25"/>
      <c r="P26" s="24">
        <v>2</v>
      </c>
      <c r="Q26" s="37">
        <v>18</v>
      </c>
      <c r="R26" s="24"/>
      <c r="S26" s="37"/>
    </row>
    <row r="27" spans="1:19" x14ac:dyDescent="0.25">
      <c r="A27" s="127">
        <v>46136</v>
      </c>
      <c r="B27" s="35">
        <f t="shared" si="3"/>
        <v>15.3</v>
      </c>
      <c r="C27" s="27">
        <v>122.4</v>
      </c>
      <c r="D27" s="35">
        <f t="shared" si="4"/>
        <v>14.05</v>
      </c>
      <c r="E27" s="87">
        <v>112.4</v>
      </c>
      <c r="F27" s="23">
        <f t="shared" si="5"/>
        <v>0</v>
      </c>
      <c r="G27" s="98">
        <v>0</v>
      </c>
      <c r="H27" s="23">
        <f t="shared" si="6"/>
        <v>0</v>
      </c>
      <c r="I27" s="98">
        <v>0</v>
      </c>
      <c r="J27" s="23">
        <f t="shared" si="7"/>
        <v>0</v>
      </c>
      <c r="K27" s="98">
        <v>0</v>
      </c>
      <c r="L27" s="23">
        <f t="shared" si="8"/>
        <v>1.25</v>
      </c>
      <c r="M27" s="157">
        <v>10</v>
      </c>
      <c r="N27" s="105"/>
      <c r="O27" s="25"/>
      <c r="P27" s="24">
        <v>2</v>
      </c>
      <c r="Q27" s="37">
        <v>16</v>
      </c>
      <c r="R27" s="24"/>
      <c r="S27" s="37"/>
    </row>
    <row r="28" spans="1:19" x14ac:dyDescent="0.25">
      <c r="A28" s="127">
        <v>46137</v>
      </c>
      <c r="B28" s="114"/>
      <c r="C28" s="115"/>
      <c r="D28" s="114"/>
      <c r="E28" s="115"/>
      <c r="F28" s="116"/>
      <c r="G28" s="115"/>
      <c r="H28" s="116"/>
      <c r="I28" s="115"/>
      <c r="J28" s="116"/>
      <c r="K28" s="115"/>
      <c r="L28" s="116"/>
      <c r="M28" s="117"/>
      <c r="N28" s="118"/>
      <c r="O28" s="119"/>
      <c r="P28" s="120"/>
      <c r="Q28" s="121"/>
      <c r="R28" s="120"/>
      <c r="S28" s="121"/>
    </row>
    <row r="29" spans="1:19" x14ac:dyDescent="0.25">
      <c r="A29" s="127">
        <v>46138</v>
      </c>
      <c r="B29" s="114"/>
      <c r="C29" s="115"/>
      <c r="D29" s="114"/>
      <c r="E29" s="115"/>
      <c r="F29" s="116"/>
      <c r="G29" s="115"/>
      <c r="H29" s="116"/>
      <c r="I29" s="115"/>
      <c r="J29" s="116"/>
      <c r="K29" s="115"/>
      <c r="L29" s="116"/>
      <c r="M29" s="117"/>
      <c r="N29" s="118"/>
      <c r="O29" s="119"/>
      <c r="P29" s="120"/>
      <c r="Q29" s="121"/>
      <c r="R29" s="120"/>
      <c r="S29" s="121"/>
    </row>
    <row r="30" spans="1:19" x14ac:dyDescent="0.25">
      <c r="A30" s="127">
        <v>46139</v>
      </c>
      <c r="B30" s="35">
        <f>C30/8</f>
        <v>17.387499999999999</v>
      </c>
      <c r="C30" s="27">
        <v>139.1</v>
      </c>
      <c r="D30" s="35">
        <f>E30/8</f>
        <v>17.387499999999999</v>
      </c>
      <c r="E30" s="87">
        <v>139.1</v>
      </c>
      <c r="F30" s="23">
        <f>G30/8</f>
        <v>0</v>
      </c>
      <c r="G30" s="98">
        <v>0</v>
      </c>
      <c r="H30" s="23">
        <f>I30/8</f>
        <v>0</v>
      </c>
      <c r="I30" s="98">
        <v>0</v>
      </c>
      <c r="J30" s="23">
        <f>K30/8</f>
        <v>0</v>
      </c>
      <c r="K30" s="98">
        <v>0</v>
      </c>
      <c r="L30" s="23">
        <f>M30/8</f>
        <v>0</v>
      </c>
      <c r="M30" s="109">
        <v>0</v>
      </c>
      <c r="N30" s="105"/>
      <c r="O30" s="25"/>
      <c r="P30" s="24">
        <v>2</v>
      </c>
      <c r="Q30" s="37">
        <v>18</v>
      </c>
      <c r="R30" s="24"/>
      <c r="S30" s="37"/>
    </row>
    <row r="31" spans="1:19" x14ac:dyDescent="0.25">
      <c r="A31" s="127">
        <v>46140</v>
      </c>
      <c r="B31" s="35">
        <f>C31/8</f>
        <v>16.706250000000001</v>
      </c>
      <c r="C31" s="27">
        <v>133.65</v>
      </c>
      <c r="D31" s="35">
        <f>E31/8</f>
        <v>16.706250000000001</v>
      </c>
      <c r="E31" s="27">
        <v>133.65</v>
      </c>
      <c r="F31" s="23">
        <f>G31/8</f>
        <v>0</v>
      </c>
      <c r="G31" s="98">
        <v>0</v>
      </c>
      <c r="H31" s="23">
        <f>I31/8</f>
        <v>0</v>
      </c>
      <c r="I31" s="98">
        <v>0</v>
      </c>
      <c r="J31" s="23">
        <f>K31/8</f>
        <v>0</v>
      </c>
      <c r="K31" s="98">
        <v>0</v>
      </c>
      <c r="L31" s="23">
        <f>M31/8</f>
        <v>0</v>
      </c>
      <c r="M31" s="109">
        <v>0</v>
      </c>
      <c r="N31" s="105"/>
      <c r="O31" s="25"/>
      <c r="P31" s="24">
        <v>2</v>
      </c>
      <c r="Q31" s="37">
        <v>18</v>
      </c>
      <c r="R31" s="24"/>
      <c r="S31" s="37"/>
    </row>
    <row r="32" spans="1:19" x14ac:dyDescent="0.25">
      <c r="A32" s="127">
        <v>46141</v>
      </c>
      <c r="B32" s="35">
        <f>C32/8</f>
        <v>16.043749999999999</v>
      </c>
      <c r="C32" s="27">
        <v>128.35</v>
      </c>
      <c r="D32" s="35">
        <f>E32/8</f>
        <v>16.043749999999999</v>
      </c>
      <c r="E32" s="27">
        <v>128.35</v>
      </c>
      <c r="F32" s="23">
        <f>G32/8</f>
        <v>0</v>
      </c>
      <c r="G32" s="98">
        <v>0</v>
      </c>
      <c r="H32" s="23">
        <f>I32/8</f>
        <v>0</v>
      </c>
      <c r="I32" s="98">
        <v>0</v>
      </c>
      <c r="J32" s="23">
        <f>K32/8</f>
        <v>0</v>
      </c>
      <c r="K32" s="98">
        <v>0</v>
      </c>
      <c r="L32" s="23">
        <f>M32/8</f>
        <v>0</v>
      </c>
      <c r="M32" s="109">
        <v>0</v>
      </c>
      <c r="N32" s="105"/>
      <c r="O32" s="25"/>
      <c r="P32" s="24">
        <v>2</v>
      </c>
      <c r="Q32" s="37">
        <v>18</v>
      </c>
      <c r="R32" s="24"/>
      <c r="S32" s="37"/>
    </row>
    <row r="33" spans="1:19" ht="15.75" thickBot="1" x14ac:dyDescent="0.3">
      <c r="A33" s="127">
        <v>46142</v>
      </c>
      <c r="B33" s="35">
        <f>C33/8</f>
        <v>15.987500000000001</v>
      </c>
      <c r="C33" s="27">
        <v>127.9</v>
      </c>
      <c r="D33" s="35">
        <f>E33/8</f>
        <v>15.612500000000001</v>
      </c>
      <c r="E33" s="27">
        <v>124.9</v>
      </c>
      <c r="F33" s="23">
        <f>G33/8</f>
        <v>0</v>
      </c>
      <c r="G33" s="98">
        <v>0</v>
      </c>
      <c r="H33" s="23">
        <f>I33/8</f>
        <v>0.375</v>
      </c>
      <c r="I33" s="156">
        <v>3</v>
      </c>
      <c r="J33" s="23">
        <f>K33/8</f>
        <v>0</v>
      </c>
      <c r="K33" s="98">
        <v>0</v>
      </c>
      <c r="L33" s="23">
        <f>M33/8</f>
        <v>0</v>
      </c>
      <c r="M33" s="109">
        <v>0</v>
      </c>
      <c r="N33" s="105"/>
      <c r="O33" s="25"/>
      <c r="P33" s="24">
        <v>2</v>
      </c>
      <c r="Q33" s="37">
        <v>18</v>
      </c>
      <c r="R33" s="24"/>
      <c r="S33" s="37"/>
    </row>
    <row r="34" spans="1:19" ht="15.75" thickBot="1" x14ac:dyDescent="0.3">
      <c r="A34" s="58" t="s">
        <v>20</v>
      </c>
      <c r="B34" s="59">
        <f>AVERAGE(B4:B33)</f>
        <v>17.834583333333335</v>
      </c>
      <c r="C34" s="60">
        <f>SUM(C4:C33)</f>
        <v>2996.21</v>
      </c>
      <c r="D34" s="59">
        <f>AVERAGE(D4:D33)</f>
        <v>16.102499999999999</v>
      </c>
      <c r="E34" s="61">
        <f>SUM(E4:E33)</f>
        <v>2705.22</v>
      </c>
      <c r="F34" s="59">
        <f>AVERAGE(F4:F33)</f>
        <v>0</v>
      </c>
      <c r="G34" s="61">
        <f>SUM(G4:G33)</f>
        <v>0</v>
      </c>
      <c r="H34" s="59">
        <f>AVERAGE(H4:H33)</f>
        <v>1.7857142857142856E-2</v>
      </c>
      <c r="I34" s="61">
        <f>SUM(I4:I33)</f>
        <v>3</v>
      </c>
      <c r="J34" s="59">
        <f>AVERAGE(J4:J33)</f>
        <v>0</v>
      </c>
      <c r="K34" s="61">
        <f>SUM(K4:K33)</f>
        <v>0</v>
      </c>
      <c r="L34" s="59">
        <f>AVERAGE(L4:L33)</f>
        <v>5.9523809523809521E-2</v>
      </c>
      <c r="M34" s="61">
        <f>SUM(M4:M33)</f>
        <v>10</v>
      </c>
      <c r="N34" s="64">
        <f>IFERROR(AVERAGE(N4:N22),0)</f>
        <v>0</v>
      </c>
      <c r="O34" s="65">
        <f>C34+I34+E34+G34+K34+M34</f>
        <v>5714.43</v>
      </c>
      <c r="P34" s="155">
        <f>IFERROR(AVERAGE(P4:P33),0)</f>
        <v>2</v>
      </c>
      <c r="Q34" s="154">
        <f>SUM(Q4:Q33)</f>
        <v>370</v>
      </c>
      <c r="R34" s="66">
        <f>IFERROR(AVERAGE(R4:R22),0)</f>
        <v>0</v>
      </c>
      <c r="S34" s="17">
        <f>SUM(S4:S22)</f>
        <v>0</v>
      </c>
    </row>
    <row r="35" spans="1:19" x14ac:dyDescent="0.25">
      <c r="G35" s="67"/>
      <c r="I35" s="68"/>
      <c r="O35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34"/>
  <sheetViews>
    <sheetView showGridLines="0" zoomScale="85" zoomScaleNormal="85" workbookViewId="0">
      <pane ySplit="3" topLeftCell="A4" activePane="bottomLeft" state="frozen"/>
      <selection pane="bottomLeft" activeCell="C38" sqref="C38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2026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x14ac:dyDescent="0.25">
      <c r="A4" s="127">
        <v>46143</v>
      </c>
      <c r="B4" s="114"/>
      <c r="C4" s="115"/>
      <c r="D4" s="114"/>
      <c r="E4" s="115"/>
      <c r="F4" s="116"/>
      <c r="G4" s="115"/>
      <c r="H4" s="116"/>
      <c r="I4" s="115"/>
      <c r="J4" s="116"/>
      <c r="K4" s="115"/>
      <c r="L4" s="116"/>
      <c r="M4" s="117"/>
      <c r="N4" s="118"/>
      <c r="O4" s="119"/>
      <c r="P4" s="120"/>
      <c r="Q4" s="121"/>
      <c r="R4" s="120"/>
      <c r="S4" s="121"/>
    </row>
    <row r="5" spans="1:19" x14ac:dyDescent="0.25">
      <c r="A5" s="127">
        <v>46144</v>
      </c>
      <c r="B5" s="114"/>
      <c r="C5" s="115"/>
      <c r="D5" s="114"/>
      <c r="E5" s="115"/>
      <c r="F5" s="116"/>
      <c r="G5" s="115"/>
      <c r="H5" s="116"/>
      <c r="I5" s="115"/>
      <c r="J5" s="116"/>
      <c r="K5" s="115"/>
      <c r="L5" s="116"/>
      <c r="M5" s="117"/>
      <c r="N5" s="118"/>
      <c r="O5" s="119"/>
      <c r="P5" s="120"/>
      <c r="Q5" s="121"/>
      <c r="R5" s="120"/>
      <c r="S5" s="121"/>
    </row>
    <row r="6" spans="1:19" x14ac:dyDescent="0.25">
      <c r="A6" s="127">
        <v>46145</v>
      </c>
      <c r="B6" s="114"/>
      <c r="C6" s="115"/>
      <c r="D6" s="114"/>
      <c r="E6" s="115"/>
      <c r="F6" s="116"/>
      <c r="G6" s="115"/>
      <c r="H6" s="116"/>
      <c r="I6" s="115"/>
      <c r="J6" s="116"/>
      <c r="K6" s="115"/>
      <c r="L6" s="116"/>
      <c r="M6" s="117"/>
      <c r="N6" s="118"/>
      <c r="O6" s="119"/>
      <c r="P6" s="120"/>
      <c r="Q6" s="121"/>
      <c r="R6" s="120"/>
      <c r="S6" s="121"/>
    </row>
    <row r="7" spans="1:19" x14ac:dyDescent="0.25">
      <c r="A7" s="127">
        <v>46146</v>
      </c>
      <c r="B7" s="35">
        <f t="shared" ref="B7" si="0">C7/8</f>
        <v>13.375</v>
      </c>
      <c r="C7" s="27">
        <v>107</v>
      </c>
      <c r="D7" s="35">
        <f t="shared" ref="D7" si="1">E7/8</f>
        <v>20.125</v>
      </c>
      <c r="E7" s="87">
        <v>161</v>
      </c>
      <c r="F7" s="23">
        <f t="shared" ref="F7" si="2">G7/8</f>
        <v>0</v>
      </c>
      <c r="G7" s="98">
        <v>0</v>
      </c>
      <c r="H7" s="23">
        <f t="shared" ref="H7" si="3">I7/8</f>
        <v>0</v>
      </c>
      <c r="I7" s="98">
        <v>0</v>
      </c>
      <c r="J7" s="23">
        <f t="shared" ref="J7" si="4">K7/8</f>
        <v>0</v>
      </c>
      <c r="K7" s="98">
        <v>0</v>
      </c>
      <c r="L7" s="23">
        <f t="shared" ref="L7" si="5">M7/8</f>
        <v>0</v>
      </c>
      <c r="M7" s="109">
        <v>0</v>
      </c>
      <c r="N7" s="105"/>
      <c r="O7" s="25"/>
      <c r="P7" s="24">
        <v>2</v>
      </c>
      <c r="Q7" s="37">
        <v>18</v>
      </c>
      <c r="R7" s="24"/>
      <c r="S7" s="37"/>
    </row>
    <row r="8" spans="1:19" x14ac:dyDescent="0.25">
      <c r="A8" s="127">
        <v>46147</v>
      </c>
      <c r="B8" s="35">
        <f t="shared" ref="B8:B18" si="6">C8/8</f>
        <v>16.875</v>
      </c>
      <c r="C8" s="27">
        <v>135</v>
      </c>
      <c r="D8" s="35">
        <f t="shared" ref="D8:D18" si="7">E8/8</f>
        <v>16.962499999999999</v>
      </c>
      <c r="E8" s="87">
        <v>135.69999999999999</v>
      </c>
      <c r="F8" s="23">
        <f t="shared" ref="F8:L18" si="8">G8/8</f>
        <v>0</v>
      </c>
      <c r="G8" s="98">
        <v>0</v>
      </c>
      <c r="H8" s="23">
        <f t="shared" si="8"/>
        <v>0</v>
      </c>
      <c r="I8" s="98">
        <v>0</v>
      </c>
      <c r="J8" s="23">
        <f t="shared" si="8"/>
        <v>0</v>
      </c>
      <c r="K8" s="98">
        <v>0</v>
      </c>
      <c r="L8" s="23">
        <f t="shared" si="8"/>
        <v>0</v>
      </c>
      <c r="M8" s="109">
        <v>0</v>
      </c>
      <c r="N8" s="105"/>
      <c r="O8" s="25"/>
      <c r="P8" s="24">
        <v>2</v>
      </c>
      <c r="Q8" s="37">
        <v>18</v>
      </c>
      <c r="R8" s="24"/>
      <c r="S8" s="37"/>
    </row>
    <row r="9" spans="1:19" x14ac:dyDescent="0.25">
      <c r="A9" s="127">
        <v>46148</v>
      </c>
      <c r="B9" s="35">
        <f t="shared" si="6"/>
        <v>19.125</v>
      </c>
      <c r="C9" s="27">
        <v>153</v>
      </c>
      <c r="D9" s="35">
        <f t="shared" si="7"/>
        <v>12.6875</v>
      </c>
      <c r="E9" s="87">
        <v>101.5</v>
      </c>
      <c r="F9" s="23">
        <f t="shared" si="8"/>
        <v>0</v>
      </c>
      <c r="G9" s="98">
        <v>0</v>
      </c>
      <c r="H9" s="23">
        <f t="shared" si="8"/>
        <v>0</v>
      </c>
      <c r="I9" s="98">
        <v>0</v>
      </c>
      <c r="J9" s="23">
        <f t="shared" si="8"/>
        <v>0</v>
      </c>
      <c r="K9" s="98">
        <v>0</v>
      </c>
      <c r="L9" s="23">
        <f t="shared" si="8"/>
        <v>0</v>
      </c>
      <c r="M9" s="109">
        <v>0</v>
      </c>
      <c r="N9" s="105"/>
      <c r="O9" s="25"/>
      <c r="P9" s="24">
        <v>2</v>
      </c>
      <c r="Q9" s="37">
        <v>18</v>
      </c>
      <c r="R9" s="24"/>
      <c r="S9" s="37"/>
    </row>
    <row r="10" spans="1:19" ht="15" customHeight="1" x14ac:dyDescent="0.25">
      <c r="A10" s="127">
        <v>46149</v>
      </c>
      <c r="B10" s="35">
        <f t="shared" si="6"/>
        <v>15.25</v>
      </c>
      <c r="C10" s="27">
        <v>122</v>
      </c>
      <c r="D10" s="35">
        <f t="shared" si="7"/>
        <v>15.2125</v>
      </c>
      <c r="E10" s="27">
        <v>121.7</v>
      </c>
      <c r="F10" s="23">
        <f t="shared" si="8"/>
        <v>0</v>
      </c>
      <c r="G10" s="98">
        <v>0</v>
      </c>
      <c r="H10" s="23">
        <f t="shared" si="8"/>
        <v>0</v>
      </c>
      <c r="I10" s="98">
        <v>0</v>
      </c>
      <c r="J10" s="23">
        <f t="shared" si="8"/>
        <v>0</v>
      </c>
      <c r="K10" s="98">
        <v>0</v>
      </c>
      <c r="L10" s="23">
        <f t="shared" si="8"/>
        <v>0</v>
      </c>
      <c r="M10" s="109">
        <v>0</v>
      </c>
      <c r="N10" s="57"/>
      <c r="O10" s="24"/>
      <c r="P10" s="24">
        <v>2</v>
      </c>
      <c r="Q10" s="37">
        <v>18</v>
      </c>
      <c r="R10" s="24"/>
      <c r="S10" s="37"/>
    </row>
    <row r="11" spans="1:19" ht="15" customHeight="1" x14ac:dyDescent="0.25">
      <c r="A11" s="127">
        <v>46150</v>
      </c>
      <c r="B11" s="114"/>
      <c r="C11" s="115"/>
      <c r="D11" s="114"/>
      <c r="E11" s="115"/>
      <c r="F11" s="116"/>
      <c r="G11" s="115"/>
      <c r="H11" s="116"/>
      <c r="I11" s="115"/>
      <c r="J11" s="116"/>
      <c r="K11" s="115"/>
      <c r="L11" s="116"/>
      <c r="M11" s="117"/>
      <c r="N11" s="118"/>
      <c r="O11" s="119"/>
      <c r="P11" s="120"/>
      <c r="Q11" s="121"/>
      <c r="R11" s="120"/>
      <c r="S11" s="121"/>
    </row>
    <row r="12" spans="1:19" ht="15" customHeight="1" x14ac:dyDescent="0.25">
      <c r="A12" s="127">
        <v>46151</v>
      </c>
      <c r="B12" s="114"/>
      <c r="C12" s="115"/>
      <c r="D12" s="114"/>
      <c r="E12" s="115"/>
      <c r="F12" s="116"/>
      <c r="G12" s="115"/>
      <c r="H12" s="116"/>
      <c r="I12" s="115"/>
      <c r="J12" s="116"/>
      <c r="K12" s="115"/>
      <c r="L12" s="116"/>
      <c r="M12" s="117"/>
      <c r="N12" s="118"/>
      <c r="O12" s="119"/>
      <c r="P12" s="120"/>
      <c r="Q12" s="121"/>
      <c r="R12" s="120"/>
      <c r="S12" s="121"/>
    </row>
    <row r="13" spans="1:19" x14ac:dyDescent="0.25">
      <c r="A13" s="127">
        <v>46152</v>
      </c>
      <c r="B13" s="114"/>
      <c r="C13" s="115"/>
      <c r="D13" s="114"/>
      <c r="E13" s="115"/>
      <c r="F13" s="116"/>
      <c r="G13" s="115"/>
      <c r="H13" s="116"/>
      <c r="I13" s="115"/>
      <c r="J13" s="116"/>
      <c r="K13" s="115"/>
      <c r="L13" s="116"/>
      <c r="M13" s="117"/>
      <c r="N13" s="118"/>
      <c r="O13" s="119"/>
      <c r="P13" s="120"/>
      <c r="Q13" s="121"/>
      <c r="R13" s="120"/>
      <c r="S13" s="121"/>
    </row>
    <row r="14" spans="1:19" x14ac:dyDescent="0.25">
      <c r="A14" s="127">
        <v>46153</v>
      </c>
      <c r="B14" s="35">
        <f t="shared" si="6"/>
        <v>12.15</v>
      </c>
      <c r="C14" s="27">
        <v>97.2</v>
      </c>
      <c r="D14" s="35">
        <f t="shared" si="7"/>
        <v>18.25</v>
      </c>
      <c r="E14" s="27">
        <v>146</v>
      </c>
      <c r="F14" s="23">
        <f t="shared" si="8"/>
        <v>0</v>
      </c>
      <c r="G14" s="98">
        <v>0</v>
      </c>
      <c r="H14" s="23">
        <f t="shared" si="8"/>
        <v>0</v>
      </c>
      <c r="I14" s="98">
        <v>0</v>
      </c>
      <c r="J14" s="23">
        <f t="shared" si="8"/>
        <v>0</v>
      </c>
      <c r="K14" s="98">
        <v>0</v>
      </c>
      <c r="L14" s="23">
        <f t="shared" si="8"/>
        <v>0</v>
      </c>
      <c r="M14" s="109">
        <v>0</v>
      </c>
      <c r="N14" s="105"/>
      <c r="O14" s="25"/>
      <c r="P14" s="24">
        <v>2</v>
      </c>
      <c r="Q14" s="37">
        <v>18</v>
      </c>
      <c r="R14" s="24"/>
      <c r="S14" s="37"/>
    </row>
    <row r="15" spans="1:19" x14ac:dyDescent="0.25">
      <c r="A15" s="127">
        <v>46154</v>
      </c>
      <c r="B15" s="35">
        <f t="shared" si="6"/>
        <v>15.75</v>
      </c>
      <c r="C15" s="27">
        <v>126</v>
      </c>
      <c r="D15" s="35">
        <f t="shared" si="7"/>
        <v>15.8125</v>
      </c>
      <c r="E15" s="87">
        <v>126.5</v>
      </c>
      <c r="F15" s="23">
        <f t="shared" si="8"/>
        <v>0</v>
      </c>
      <c r="G15" s="98">
        <v>0</v>
      </c>
      <c r="H15" s="23">
        <f t="shared" si="8"/>
        <v>0</v>
      </c>
      <c r="I15" s="98">
        <v>0</v>
      </c>
      <c r="J15" s="23">
        <f t="shared" si="8"/>
        <v>0</v>
      </c>
      <c r="K15" s="98">
        <v>0</v>
      </c>
      <c r="L15" s="23">
        <f t="shared" si="8"/>
        <v>0</v>
      </c>
      <c r="M15" s="109">
        <v>0</v>
      </c>
      <c r="N15" s="105"/>
      <c r="O15" s="25"/>
      <c r="P15" s="24">
        <v>2</v>
      </c>
      <c r="Q15" s="37">
        <v>18</v>
      </c>
      <c r="R15" s="24"/>
      <c r="S15" s="37"/>
    </row>
    <row r="16" spans="1:19" x14ac:dyDescent="0.25">
      <c r="A16" s="127">
        <v>46155</v>
      </c>
      <c r="B16" s="35">
        <f t="shared" si="6"/>
        <v>16.05</v>
      </c>
      <c r="C16" s="27">
        <v>128.4</v>
      </c>
      <c r="D16" s="35">
        <f t="shared" si="7"/>
        <v>16</v>
      </c>
      <c r="E16" s="87">
        <v>128</v>
      </c>
      <c r="F16" s="23">
        <f t="shared" si="8"/>
        <v>0</v>
      </c>
      <c r="G16" s="98">
        <v>0</v>
      </c>
      <c r="H16" s="23">
        <f t="shared" si="8"/>
        <v>0</v>
      </c>
      <c r="I16" s="98">
        <v>0</v>
      </c>
      <c r="J16" s="23">
        <f t="shared" si="8"/>
        <v>0</v>
      </c>
      <c r="K16" s="98">
        <v>0</v>
      </c>
      <c r="L16" s="23">
        <f t="shared" si="8"/>
        <v>0</v>
      </c>
      <c r="M16" s="109">
        <v>0</v>
      </c>
      <c r="N16" s="105"/>
      <c r="O16" s="25"/>
      <c r="P16" s="24">
        <v>2</v>
      </c>
      <c r="Q16" s="37">
        <v>18</v>
      </c>
      <c r="R16" s="24"/>
      <c r="S16" s="37"/>
    </row>
    <row r="17" spans="1:19" x14ac:dyDescent="0.25">
      <c r="A17" s="127">
        <v>46156</v>
      </c>
      <c r="B17" s="114"/>
      <c r="C17" s="115"/>
      <c r="D17" s="114"/>
      <c r="E17" s="115"/>
      <c r="F17" s="116"/>
      <c r="G17" s="115"/>
      <c r="H17" s="116"/>
      <c r="I17" s="115"/>
      <c r="J17" s="116"/>
      <c r="K17" s="115"/>
      <c r="L17" s="116"/>
      <c r="M17" s="117"/>
      <c r="N17" s="118"/>
      <c r="O17" s="119"/>
      <c r="P17" s="120"/>
      <c r="Q17" s="121"/>
      <c r="R17" s="120"/>
      <c r="S17" s="121"/>
    </row>
    <row r="18" spans="1:19" x14ac:dyDescent="0.25">
      <c r="A18" s="127">
        <v>46157</v>
      </c>
      <c r="B18" s="35">
        <f t="shared" si="6"/>
        <v>20.412500000000001</v>
      </c>
      <c r="C18" s="27">
        <v>163.30000000000001</v>
      </c>
      <c r="D18" s="35">
        <f t="shared" si="7"/>
        <v>8.75</v>
      </c>
      <c r="E18" s="87">
        <v>70</v>
      </c>
      <c r="F18" s="23">
        <f t="shared" si="8"/>
        <v>0</v>
      </c>
      <c r="G18" s="98">
        <v>0</v>
      </c>
      <c r="H18" s="23">
        <f t="shared" si="8"/>
        <v>0</v>
      </c>
      <c r="I18" s="98">
        <v>0</v>
      </c>
      <c r="J18" s="23">
        <f t="shared" si="8"/>
        <v>0</v>
      </c>
      <c r="K18" s="98">
        <v>0</v>
      </c>
      <c r="L18" s="23">
        <f t="shared" si="8"/>
        <v>0</v>
      </c>
      <c r="M18" s="109">
        <v>0</v>
      </c>
      <c r="N18" s="105"/>
      <c r="O18" s="25"/>
      <c r="P18" s="24">
        <v>2</v>
      </c>
      <c r="Q18" s="37">
        <v>16</v>
      </c>
      <c r="R18" s="24"/>
      <c r="S18" s="37"/>
    </row>
    <row r="19" spans="1:19" x14ac:dyDescent="0.25">
      <c r="A19" s="127">
        <v>46158</v>
      </c>
      <c r="B19" s="114"/>
      <c r="C19" s="115"/>
      <c r="D19" s="114"/>
      <c r="E19" s="115"/>
      <c r="F19" s="116"/>
      <c r="G19" s="115"/>
      <c r="H19" s="116"/>
      <c r="I19" s="115"/>
      <c r="J19" s="116"/>
      <c r="K19" s="115"/>
      <c r="L19" s="116"/>
      <c r="M19" s="117"/>
      <c r="N19" s="118"/>
      <c r="O19" s="119"/>
      <c r="P19" s="120"/>
      <c r="Q19" s="121"/>
      <c r="R19" s="120"/>
      <c r="S19" s="121"/>
    </row>
    <row r="20" spans="1:19" x14ac:dyDescent="0.25">
      <c r="A20" s="127">
        <v>46159</v>
      </c>
      <c r="B20" s="114"/>
      <c r="C20" s="115"/>
      <c r="D20" s="114"/>
      <c r="E20" s="115"/>
      <c r="F20" s="116"/>
      <c r="G20" s="115"/>
      <c r="H20" s="116"/>
      <c r="I20" s="115"/>
      <c r="J20" s="116"/>
      <c r="K20" s="115"/>
      <c r="L20" s="116"/>
      <c r="M20" s="117"/>
      <c r="N20" s="118"/>
      <c r="O20" s="119"/>
      <c r="P20" s="120"/>
      <c r="Q20" s="121"/>
      <c r="R20" s="120"/>
      <c r="S20" s="121"/>
    </row>
    <row r="21" spans="1:19" x14ac:dyDescent="0.25">
      <c r="A21" s="127">
        <v>46160</v>
      </c>
      <c r="B21" s="35">
        <f t="shared" ref="B21:B25" si="9">C21/8</f>
        <v>16.625</v>
      </c>
      <c r="C21" s="27">
        <v>133</v>
      </c>
      <c r="D21" s="35">
        <f t="shared" ref="D21:D25" si="10">E21/8</f>
        <v>16.6875</v>
      </c>
      <c r="E21" s="87">
        <v>133.5</v>
      </c>
      <c r="F21" s="23">
        <f t="shared" ref="F21:F25" si="11">G21/8</f>
        <v>0</v>
      </c>
      <c r="G21" s="98">
        <v>0</v>
      </c>
      <c r="H21" s="23">
        <f t="shared" ref="H21:H25" si="12">I21/8</f>
        <v>0</v>
      </c>
      <c r="I21" s="98">
        <v>0</v>
      </c>
      <c r="J21" s="23">
        <f t="shared" ref="J21:J25" si="13">K21/8</f>
        <v>0</v>
      </c>
      <c r="K21" s="98">
        <v>0</v>
      </c>
      <c r="L21" s="23">
        <f t="shared" ref="L21:L25" si="14">M21/8</f>
        <v>0</v>
      </c>
      <c r="M21" s="109">
        <v>0</v>
      </c>
      <c r="N21" s="105"/>
      <c r="O21" s="25"/>
      <c r="P21" s="24">
        <v>2</v>
      </c>
      <c r="Q21" s="37">
        <v>18</v>
      </c>
      <c r="R21" s="24"/>
      <c r="S21" s="37"/>
    </row>
    <row r="22" spans="1:19" x14ac:dyDescent="0.25">
      <c r="A22" s="127">
        <v>46161</v>
      </c>
      <c r="B22" s="35">
        <f t="shared" si="9"/>
        <v>20.25</v>
      </c>
      <c r="C22" s="27">
        <v>162</v>
      </c>
      <c r="D22" s="35">
        <f t="shared" si="10"/>
        <v>13.5</v>
      </c>
      <c r="E22" s="87">
        <v>108</v>
      </c>
      <c r="F22" s="23">
        <f t="shared" si="11"/>
        <v>0</v>
      </c>
      <c r="G22" s="98">
        <v>0</v>
      </c>
      <c r="H22" s="23">
        <f t="shared" si="12"/>
        <v>0</v>
      </c>
      <c r="I22" s="98">
        <v>0</v>
      </c>
      <c r="J22" s="23">
        <f t="shared" si="13"/>
        <v>0</v>
      </c>
      <c r="K22" s="98">
        <v>0</v>
      </c>
      <c r="L22" s="23">
        <f t="shared" si="14"/>
        <v>0</v>
      </c>
      <c r="M22" s="109">
        <v>0</v>
      </c>
      <c r="N22" s="105"/>
      <c r="O22" s="25"/>
      <c r="P22" s="24">
        <v>2</v>
      </c>
      <c r="Q22" s="37">
        <v>18</v>
      </c>
      <c r="R22" s="24"/>
      <c r="S22" s="37"/>
    </row>
    <row r="23" spans="1:19" x14ac:dyDescent="0.25">
      <c r="A23" s="127">
        <v>46162</v>
      </c>
      <c r="B23" s="35">
        <f t="shared" si="9"/>
        <v>20.5</v>
      </c>
      <c r="C23" s="27">
        <v>164</v>
      </c>
      <c r="D23" s="35">
        <f t="shared" si="10"/>
        <v>13.7</v>
      </c>
      <c r="E23" s="27">
        <v>109.6</v>
      </c>
      <c r="F23" s="23">
        <f t="shared" si="11"/>
        <v>0</v>
      </c>
      <c r="G23" s="98">
        <v>0</v>
      </c>
      <c r="H23" s="23">
        <f t="shared" si="12"/>
        <v>0</v>
      </c>
      <c r="I23" s="98">
        <v>0</v>
      </c>
      <c r="J23" s="23">
        <f t="shared" si="13"/>
        <v>0</v>
      </c>
      <c r="K23" s="98">
        <v>0</v>
      </c>
      <c r="L23" s="23">
        <f t="shared" si="14"/>
        <v>0</v>
      </c>
      <c r="M23" s="109">
        <v>0</v>
      </c>
      <c r="N23" s="105"/>
      <c r="O23" s="25"/>
      <c r="P23" s="24">
        <v>2</v>
      </c>
      <c r="Q23" s="37">
        <v>18</v>
      </c>
      <c r="R23" s="24"/>
      <c r="S23" s="37"/>
    </row>
    <row r="24" spans="1:19" x14ac:dyDescent="0.25">
      <c r="A24" s="127">
        <v>46163</v>
      </c>
      <c r="B24" s="35">
        <f t="shared" si="9"/>
        <v>20.875</v>
      </c>
      <c r="C24" s="27">
        <v>167</v>
      </c>
      <c r="D24" s="35">
        <f t="shared" si="10"/>
        <v>13.95</v>
      </c>
      <c r="E24" s="27">
        <v>111.6</v>
      </c>
      <c r="F24" s="23">
        <f t="shared" si="11"/>
        <v>0</v>
      </c>
      <c r="G24" s="98">
        <v>0</v>
      </c>
      <c r="H24" s="23">
        <f t="shared" si="12"/>
        <v>0</v>
      </c>
      <c r="I24" s="98">
        <v>0</v>
      </c>
      <c r="J24" s="23">
        <f t="shared" si="13"/>
        <v>0</v>
      </c>
      <c r="K24" s="98">
        <v>0</v>
      </c>
      <c r="L24" s="23">
        <f t="shared" si="14"/>
        <v>0</v>
      </c>
      <c r="M24" s="109">
        <v>0</v>
      </c>
      <c r="N24" s="105"/>
      <c r="O24" s="25"/>
      <c r="P24" s="24">
        <v>2</v>
      </c>
      <c r="Q24" s="37">
        <v>18</v>
      </c>
      <c r="R24" s="24"/>
      <c r="S24" s="37"/>
    </row>
    <row r="25" spans="1:19" x14ac:dyDescent="0.25">
      <c r="A25" s="127">
        <v>46164</v>
      </c>
      <c r="B25" s="35">
        <f t="shared" si="9"/>
        <v>14.8125</v>
      </c>
      <c r="C25" s="27">
        <v>118.5</v>
      </c>
      <c r="D25" s="35">
        <f t="shared" si="10"/>
        <v>14.862500000000001</v>
      </c>
      <c r="E25" s="87">
        <v>118.9</v>
      </c>
      <c r="F25" s="23">
        <f t="shared" si="11"/>
        <v>0</v>
      </c>
      <c r="G25" s="98">
        <v>0</v>
      </c>
      <c r="H25" s="23">
        <f t="shared" si="12"/>
        <v>0</v>
      </c>
      <c r="I25" s="98">
        <v>0</v>
      </c>
      <c r="J25" s="23">
        <f t="shared" si="13"/>
        <v>0</v>
      </c>
      <c r="K25" s="98">
        <v>0</v>
      </c>
      <c r="L25" s="23">
        <f t="shared" si="14"/>
        <v>0</v>
      </c>
      <c r="M25" s="109">
        <v>0</v>
      </c>
      <c r="N25" s="105"/>
      <c r="O25" s="25"/>
      <c r="P25" s="24">
        <v>2</v>
      </c>
      <c r="Q25" s="37">
        <v>16</v>
      </c>
      <c r="R25" s="24"/>
      <c r="S25" s="37"/>
    </row>
    <row r="26" spans="1:19" x14ac:dyDescent="0.25">
      <c r="A26" s="127">
        <v>46165</v>
      </c>
      <c r="B26" s="114"/>
      <c r="C26" s="115"/>
      <c r="D26" s="114"/>
      <c r="E26" s="115"/>
      <c r="F26" s="116"/>
      <c r="G26" s="115"/>
      <c r="H26" s="116"/>
      <c r="I26" s="115"/>
      <c r="J26" s="116"/>
      <c r="K26" s="115"/>
      <c r="L26" s="116"/>
      <c r="M26" s="117"/>
      <c r="N26" s="118"/>
      <c r="O26" s="119"/>
      <c r="P26" s="120"/>
      <c r="Q26" s="121"/>
      <c r="R26" s="120"/>
      <c r="S26" s="121"/>
    </row>
    <row r="27" spans="1:19" x14ac:dyDescent="0.25">
      <c r="A27" s="127">
        <v>46166</v>
      </c>
      <c r="B27" s="114"/>
      <c r="C27" s="115"/>
      <c r="D27" s="114"/>
      <c r="E27" s="115"/>
      <c r="F27" s="116"/>
      <c r="G27" s="115"/>
      <c r="H27" s="116"/>
      <c r="I27" s="115"/>
      <c r="J27" s="116"/>
      <c r="K27" s="115"/>
      <c r="L27" s="116"/>
      <c r="M27" s="117"/>
      <c r="N27" s="118"/>
      <c r="O27" s="119"/>
      <c r="P27" s="120"/>
      <c r="Q27" s="121"/>
      <c r="R27" s="120"/>
      <c r="S27" s="121"/>
    </row>
    <row r="28" spans="1:19" x14ac:dyDescent="0.25">
      <c r="A28" s="127">
        <v>46167</v>
      </c>
      <c r="B28" s="114"/>
      <c r="C28" s="115"/>
      <c r="D28" s="114"/>
      <c r="E28" s="115"/>
      <c r="F28" s="116"/>
      <c r="G28" s="115"/>
      <c r="H28" s="116"/>
      <c r="I28" s="115"/>
      <c r="J28" s="116"/>
      <c r="K28" s="115"/>
      <c r="L28" s="116"/>
      <c r="M28" s="117"/>
      <c r="N28" s="118"/>
      <c r="O28" s="119"/>
      <c r="P28" s="120"/>
      <c r="Q28" s="121"/>
      <c r="R28" s="120"/>
      <c r="S28" s="121"/>
    </row>
    <row r="29" spans="1:19" x14ac:dyDescent="0.25">
      <c r="A29" s="127">
        <v>46168</v>
      </c>
      <c r="B29" s="35">
        <f>C29/8</f>
        <v>12.125</v>
      </c>
      <c r="C29" s="27">
        <v>97</v>
      </c>
      <c r="D29" s="35">
        <f>E29/8</f>
        <v>18.25</v>
      </c>
      <c r="E29" s="27">
        <v>146</v>
      </c>
      <c r="F29" s="23">
        <f>G29/8</f>
        <v>0</v>
      </c>
      <c r="G29" s="98">
        <v>0</v>
      </c>
      <c r="H29" s="23">
        <f>I29/8</f>
        <v>0</v>
      </c>
      <c r="I29" s="98">
        <v>0</v>
      </c>
      <c r="J29" s="23">
        <f>K29/8</f>
        <v>0</v>
      </c>
      <c r="K29" s="98">
        <v>0</v>
      </c>
      <c r="L29" s="23">
        <f>M29/8</f>
        <v>0</v>
      </c>
      <c r="M29" s="109">
        <v>0</v>
      </c>
      <c r="N29" s="105"/>
      <c r="O29" s="25"/>
      <c r="P29" s="24">
        <v>2</v>
      </c>
      <c r="Q29" s="37">
        <v>9</v>
      </c>
      <c r="R29" s="24"/>
      <c r="S29" s="37"/>
    </row>
    <row r="30" spans="1:19" x14ac:dyDescent="0.25">
      <c r="A30" s="127">
        <v>46169</v>
      </c>
      <c r="B30" s="35">
        <f>C30/8</f>
        <v>13.475</v>
      </c>
      <c r="C30" s="161">
        <v>107.8</v>
      </c>
      <c r="D30" s="35">
        <f>E30/8</f>
        <v>13.475</v>
      </c>
      <c r="E30" s="161">
        <v>107.8</v>
      </c>
      <c r="F30" s="23">
        <f>G30/8</f>
        <v>0</v>
      </c>
      <c r="G30" s="98">
        <v>0</v>
      </c>
      <c r="H30" s="23">
        <f>I30/8</f>
        <v>0</v>
      </c>
      <c r="I30" s="98">
        <v>0</v>
      </c>
      <c r="J30" s="23">
        <f>K30/8</f>
        <v>0</v>
      </c>
      <c r="K30" s="98">
        <v>0</v>
      </c>
      <c r="L30" s="23">
        <f>M30/8</f>
        <v>0</v>
      </c>
      <c r="M30" s="109">
        <v>0</v>
      </c>
      <c r="N30" s="105"/>
      <c r="O30" s="25"/>
      <c r="P30" s="24">
        <v>2</v>
      </c>
      <c r="Q30" s="37">
        <v>9</v>
      </c>
      <c r="R30" s="24"/>
      <c r="S30" s="37"/>
    </row>
    <row r="31" spans="1:19" x14ac:dyDescent="0.25">
      <c r="A31" s="127">
        <v>46170</v>
      </c>
      <c r="B31" s="35">
        <f>C31/8</f>
        <v>15.0625</v>
      </c>
      <c r="C31" s="27">
        <v>120.5</v>
      </c>
      <c r="D31" s="35">
        <f>E31/8</f>
        <v>15.15</v>
      </c>
      <c r="E31" s="27">
        <v>121.2</v>
      </c>
      <c r="F31" s="23">
        <f>G31/8</f>
        <v>0</v>
      </c>
      <c r="G31" s="98">
        <v>0</v>
      </c>
      <c r="H31" s="23">
        <f>I31/8</f>
        <v>0</v>
      </c>
      <c r="I31" s="98">
        <v>0</v>
      </c>
      <c r="J31" s="23">
        <f>K31/8</f>
        <v>0</v>
      </c>
      <c r="K31" s="98">
        <v>0</v>
      </c>
      <c r="L31" s="23">
        <f>M31/8</f>
        <v>0</v>
      </c>
      <c r="M31" s="109">
        <v>0</v>
      </c>
      <c r="N31" s="105"/>
      <c r="O31" s="25"/>
      <c r="P31" s="24">
        <v>2</v>
      </c>
      <c r="Q31" s="37">
        <v>9</v>
      </c>
      <c r="R31" s="24"/>
      <c r="S31" s="37"/>
    </row>
    <row r="32" spans="1:19" ht="15.75" thickBot="1" x14ac:dyDescent="0.3">
      <c r="A32" s="127">
        <v>46171</v>
      </c>
      <c r="B32" s="35">
        <f>C32/8</f>
        <v>18.125</v>
      </c>
      <c r="C32" s="27">
        <v>145</v>
      </c>
      <c r="D32" s="35">
        <f>E32/8</f>
        <v>7.8250000000000002</v>
      </c>
      <c r="E32" s="27">
        <v>62.6</v>
      </c>
      <c r="F32" s="23">
        <f>G32/8</f>
        <v>0</v>
      </c>
      <c r="G32" s="98">
        <v>0</v>
      </c>
      <c r="H32" s="23">
        <f>I32/8</f>
        <v>0</v>
      </c>
      <c r="I32" s="98">
        <v>0</v>
      </c>
      <c r="J32" s="23">
        <f>K32/8</f>
        <v>0</v>
      </c>
      <c r="K32" s="98">
        <v>0</v>
      </c>
      <c r="L32" s="23">
        <f>M32/8</f>
        <v>0</v>
      </c>
      <c r="M32" s="109">
        <v>0</v>
      </c>
      <c r="N32" s="105"/>
      <c r="O32" s="25"/>
      <c r="P32" s="24">
        <v>2</v>
      </c>
      <c r="Q32" s="37">
        <v>8</v>
      </c>
      <c r="R32" s="24"/>
      <c r="S32" s="37"/>
    </row>
    <row r="33" spans="1:19" ht="15.75" thickBot="1" x14ac:dyDescent="0.3">
      <c r="A33" s="58" t="s">
        <v>20</v>
      </c>
      <c r="B33" s="59">
        <f>AVERAGE(B4:B32)</f>
        <v>16.51985294117647</v>
      </c>
      <c r="C33" s="60">
        <f>SUM(C4:C32)</f>
        <v>2246.6999999999998</v>
      </c>
      <c r="D33" s="59">
        <f>AVERAGE(D4:D32)</f>
        <v>14.776470588235293</v>
      </c>
      <c r="E33" s="61">
        <f>SUM(E4:E32)</f>
        <v>2009.6</v>
      </c>
      <c r="F33" s="59">
        <f>AVERAGE(F4:F32)</f>
        <v>0</v>
      </c>
      <c r="G33" s="61">
        <f>SUM(G4:G32)</f>
        <v>0</v>
      </c>
      <c r="H33" s="59">
        <f>AVERAGE(H4:H32)</f>
        <v>0</v>
      </c>
      <c r="I33" s="61">
        <f>SUM(I4:I32)</f>
        <v>0</v>
      </c>
      <c r="J33" s="59">
        <f>AVERAGE(J4:J32)</f>
        <v>0</v>
      </c>
      <c r="K33" s="61">
        <f>SUM(K4:K32)</f>
        <v>0</v>
      </c>
      <c r="L33" s="59">
        <f>AVERAGE(L4:L32)</f>
        <v>0</v>
      </c>
      <c r="M33" s="61">
        <f>SUM(M4:M32)</f>
        <v>0</v>
      </c>
      <c r="N33" s="64">
        <f>IFERROR(AVERAGE(N4:N20),0)</f>
        <v>0</v>
      </c>
      <c r="O33" s="65">
        <f>C33+I33+E33+G33+K33+M33</f>
        <v>4256.2999999999993</v>
      </c>
      <c r="P33" s="155">
        <f>IFERROR(AVERAGE(P4:P32),0)</f>
        <v>2</v>
      </c>
      <c r="Q33" s="154">
        <f>SUM(Q4:Q32)</f>
        <v>265</v>
      </c>
      <c r="R33" s="66">
        <f>IFERROR(AVERAGE(R4:R20),0)</f>
        <v>0</v>
      </c>
      <c r="S33" s="17">
        <f>SUM(S4:S20)</f>
        <v>0</v>
      </c>
    </row>
    <row r="34" spans="1:19" x14ac:dyDescent="0.25">
      <c r="G34" s="67"/>
      <c r="I34" s="68"/>
      <c r="O34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35"/>
  <sheetViews>
    <sheetView showGridLines="0" zoomScale="85" zoomScaleNormal="85" workbookViewId="0">
      <pane ySplit="3" topLeftCell="A4" activePane="bottomLeft" state="frozen"/>
      <selection pane="bottomLeft" activeCell="E34" sqref="E34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2026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x14ac:dyDescent="0.25">
      <c r="A4" s="127">
        <v>46174</v>
      </c>
      <c r="B4" s="35">
        <f t="shared" ref="B4" si="0">C4/8</f>
        <v>17.193750000000001</v>
      </c>
      <c r="C4" s="27">
        <v>137.55000000000001</v>
      </c>
      <c r="D4" s="35">
        <f t="shared" ref="D4" si="1">E4/8</f>
        <v>7.3687500000000004</v>
      </c>
      <c r="E4" s="87">
        <v>58.95</v>
      </c>
      <c r="F4" s="23">
        <f t="shared" ref="F4" si="2">G4/8</f>
        <v>0</v>
      </c>
      <c r="G4" s="98">
        <v>0</v>
      </c>
      <c r="H4" s="23">
        <f t="shared" ref="H4" si="3">I4/8</f>
        <v>3.125</v>
      </c>
      <c r="I4" s="98">
        <v>25</v>
      </c>
      <c r="J4" s="23">
        <f t="shared" ref="J4" si="4">K4/8</f>
        <v>0</v>
      </c>
      <c r="K4" s="98">
        <v>0</v>
      </c>
      <c r="L4" s="23">
        <f t="shared" ref="L4" si="5">M4/8</f>
        <v>0</v>
      </c>
      <c r="M4" s="109">
        <v>0</v>
      </c>
      <c r="N4" s="105"/>
      <c r="O4" s="25"/>
      <c r="P4" s="24">
        <v>2</v>
      </c>
      <c r="Q4" s="37">
        <v>16</v>
      </c>
      <c r="R4" s="24"/>
      <c r="S4" s="37"/>
    </row>
    <row r="5" spans="1:19" x14ac:dyDescent="0.25">
      <c r="A5" s="127">
        <v>46175</v>
      </c>
      <c r="B5" s="35">
        <f t="shared" ref="B5:B15" si="6">C5/8</f>
        <v>16.7775</v>
      </c>
      <c r="C5" s="27">
        <v>134.22</v>
      </c>
      <c r="D5" s="35">
        <f t="shared" ref="D5:D15" si="7">E5/8</f>
        <v>11.185</v>
      </c>
      <c r="E5" s="87">
        <v>89.48</v>
      </c>
      <c r="F5" s="23">
        <f t="shared" ref="F5:L15" si="8">G5/8</f>
        <v>0</v>
      </c>
      <c r="G5" s="98">
        <v>0</v>
      </c>
      <c r="H5" s="23">
        <f t="shared" si="8"/>
        <v>0</v>
      </c>
      <c r="I5" s="98">
        <v>0</v>
      </c>
      <c r="J5" s="23">
        <f t="shared" si="8"/>
        <v>0</v>
      </c>
      <c r="K5" s="98">
        <v>0</v>
      </c>
      <c r="L5" s="23">
        <f t="shared" si="8"/>
        <v>0</v>
      </c>
      <c r="M5" s="109">
        <v>0</v>
      </c>
      <c r="N5" s="105"/>
      <c r="O5" s="25"/>
      <c r="P5" s="24">
        <v>2</v>
      </c>
      <c r="Q5" s="37">
        <v>18</v>
      </c>
      <c r="R5" s="24"/>
      <c r="S5" s="37"/>
    </row>
    <row r="6" spans="1:19" x14ac:dyDescent="0.25">
      <c r="A6" s="127">
        <v>46176</v>
      </c>
      <c r="B6" s="35">
        <f t="shared" si="6"/>
        <v>16.905000000000001</v>
      </c>
      <c r="C6" s="27">
        <v>135.24</v>
      </c>
      <c r="D6" s="35">
        <f t="shared" si="7"/>
        <v>11.27</v>
      </c>
      <c r="E6" s="87">
        <v>90.16</v>
      </c>
      <c r="F6" s="23">
        <f t="shared" si="8"/>
        <v>0</v>
      </c>
      <c r="G6" s="98">
        <v>0</v>
      </c>
      <c r="H6" s="23">
        <f t="shared" si="8"/>
        <v>0</v>
      </c>
      <c r="I6" s="98">
        <v>0</v>
      </c>
      <c r="J6" s="23">
        <f t="shared" si="8"/>
        <v>0</v>
      </c>
      <c r="K6" s="98">
        <v>0</v>
      </c>
      <c r="L6" s="23">
        <f t="shared" si="8"/>
        <v>0</v>
      </c>
      <c r="M6" s="109">
        <v>0</v>
      </c>
      <c r="N6" s="105"/>
      <c r="O6" s="25"/>
      <c r="P6" s="24">
        <v>2</v>
      </c>
      <c r="Q6" s="37">
        <v>18</v>
      </c>
      <c r="R6" s="24"/>
      <c r="S6" s="37"/>
    </row>
    <row r="7" spans="1:19" ht="15" customHeight="1" x14ac:dyDescent="0.25">
      <c r="A7" s="127">
        <v>46177</v>
      </c>
      <c r="B7" s="35">
        <f t="shared" si="6"/>
        <v>16.9725</v>
      </c>
      <c r="C7" s="27">
        <v>135.78</v>
      </c>
      <c r="D7" s="35">
        <f t="shared" si="7"/>
        <v>11.315</v>
      </c>
      <c r="E7" s="27">
        <v>90.52</v>
      </c>
      <c r="F7" s="23">
        <f t="shared" si="8"/>
        <v>0</v>
      </c>
      <c r="G7" s="98">
        <v>0</v>
      </c>
      <c r="H7" s="23">
        <f t="shared" si="8"/>
        <v>0</v>
      </c>
      <c r="I7" s="98">
        <v>0</v>
      </c>
      <c r="J7" s="23">
        <f t="shared" si="8"/>
        <v>0</v>
      </c>
      <c r="K7" s="98">
        <v>0</v>
      </c>
      <c r="L7" s="23">
        <f t="shared" si="8"/>
        <v>0</v>
      </c>
      <c r="M7" s="109">
        <v>0</v>
      </c>
      <c r="N7" s="57"/>
      <c r="O7" s="24"/>
      <c r="P7" s="24">
        <v>2</v>
      </c>
      <c r="Q7" s="37">
        <v>18</v>
      </c>
      <c r="R7" s="24"/>
      <c r="S7" s="37"/>
    </row>
    <row r="8" spans="1:19" ht="15" customHeight="1" x14ac:dyDescent="0.25">
      <c r="A8" s="127">
        <v>46178</v>
      </c>
      <c r="B8" s="35">
        <f t="shared" si="6"/>
        <v>16.695</v>
      </c>
      <c r="C8" s="27">
        <v>133.56</v>
      </c>
      <c r="D8" s="35">
        <f t="shared" si="7"/>
        <v>7.1550000000000002</v>
      </c>
      <c r="E8" s="27">
        <v>57.24</v>
      </c>
      <c r="F8" s="23">
        <f t="shared" si="8"/>
        <v>0</v>
      </c>
      <c r="G8" s="98">
        <v>0</v>
      </c>
      <c r="H8" s="23">
        <f t="shared" si="8"/>
        <v>0</v>
      </c>
      <c r="I8" s="98">
        <v>0</v>
      </c>
      <c r="J8" s="23">
        <f t="shared" si="8"/>
        <v>0</v>
      </c>
      <c r="K8" s="98">
        <v>0</v>
      </c>
      <c r="L8" s="23">
        <f t="shared" si="8"/>
        <v>0</v>
      </c>
      <c r="M8" s="109">
        <v>0</v>
      </c>
      <c r="N8" s="21"/>
      <c r="O8" s="24"/>
      <c r="P8" s="24">
        <v>2</v>
      </c>
      <c r="Q8" s="37">
        <v>16</v>
      </c>
      <c r="R8" s="24"/>
      <c r="S8" s="37"/>
    </row>
    <row r="9" spans="1:19" ht="15" customHeight="1" x14ac:dyDescent="0.25">
      <c r="A9" s="127">
        <v>46179</v>
      </c>
      <c r="B9" s="114"/>
      <c r="C9" s="115"/>
      <c r="D9" s="114"/>
      <c r="E9" s="115"/>
      <c r="F9" s="116"/>
      <c r="G9" s="115"/>
      <c r="H9" s="116"/>
      <c r="I9" s="115"/>
      <c r="J9" s="116"/>
      <c r="K9" s="115"/>
      <c r="L9" s="116"/>
      <c r="M9" s="117"/>
      <c r="N9" s="118"/>
      <c r="O9" s="119"/>
      <c r="P9" s="120"/>
      <c r="Q9" s="121"/>
      <c r="R9" s="120"/>
      <c r="S9" s="121"/>
    </row>
    <row r="10" spans="1:19" x14ac:dyDescent="0.25">
      <c r="A10" s="127">
        <v>46180</v>
      </c>
      <c r="B10" s="114"/>
      <c r="C10" s="115"/>
      <c r="D10" s="114"/>
      <c r="E10" s="115"/>
      <c r="F10" s="116"/>
      <c r="G10" s="115"/>
      <c r="H10" s="116"/>
      <c r="I10" s="115"/>
      <c r="J10" s="116"/>
      <c r="K10" s="115"/>
      <c r="L10" s="116"/>
      <c r="M10" s="117"/>
      <c r="N10" s="118"/>
      <c r="O10" s="119"/>
      <c r="P10" s="120"/>
      <c r="Q10" s="121"/>
      <c r="R10" s="120"/>
      <c r="S10" s="121"/>
    </row>
    <row r="11" spans="1:19" x14ac:dyDescent="0.25">
      <c r="A11" s="127">
        <v>46181</v>
      </c>
      <c r="B11" s="35">
        <f t="shared" si="6"/>
        <v>15.4575</v>
      </c>
      <c r="C11" s="27">
        <v>123.66</v>
      </c>
      <c r="D11" s="35">
        <f t="shared" si="7"/>
        <v>10.305</v>
      </c>
      <c r="E11" s="27">
        <v>82.44</v>
      </c>
      <c r="F11" s="23">
        <f t="shared" si="8"/>
        <v>0</v>
      </c>
      <c r="G11" s="98">
        <v>0</v>
      </c>
      <c r="H11" s="23">
        <f t="shared" si="8"/>
        <v>0</v>
      </c>
      <c r="I11" s="98">
        <v>0</v>
      </c>
      <c r="J11" s="23">
        <f t="shared" si="8"/>
        <v>0</v>
      </c>
      <c r="K11" s="98">
        <v>0</v>
      </c>
      <c r="L11" s="23">
        <f t="shared" si="8"/>
        <v>0</v>
      </c>
      <c r="M11" s="109">
        <v>0</v>
      </c>
      <c r="N11" s="105"/>
      <c r="O11" s="25"/>
      <c r="P11" s="24">
        <v>2</v>
      </c>
      <c r="Q11" s="37">
        <v>18</v>
      </c>
      <c r="R11" s="24"/>
      <c r="S11" s="37"/>
    </row>
    <row r="12" spans="1:19" x14ac:dyDescent="0.25">
      <c r="A12" s="127">
        <v>46182</v>
      </c>
      <c r="B12" s="35">
        <f t="shared" si="6"/>
        <v>15.5175</v>
      </c>
      <c r="C12" s="27">
        <v>124.14</v>
      </c>
      <c r="D12" s="35">
        <f t="shared" si="7"/>
        <v>10.345000000000001</v>
      </c>
      <c r="E12" s="87">
        <v>82.76</v>
      </c>
      <c r="F12" s="23">
        <f t="shared" si="8"/>
        <v>0</v>
      </c>
      <c r="G12" s="98">
        <v>0</v>
      </c>
      <c r="H12" s="23">
        <f t="shared" si="8"/>
        <v>0</v>
      </c>
      <c r="I12" s="98">
        <v>0</v>
      </c>
      <c r="J12" s="23">
        <f t="shared" si="8"/>
        <v>0</v>
      </c>
      <c r="K12" s="98">
        <v>0</v>
      </c>
      <c r="L12" s="23">
        <f t="shared" si="8"/>
        <v>0</v>
      </c>
      <c r="M12" s="109">
        <v>0</v>
      </c>
      <c r="N12" s="105"/>
      <c r="O12" s="25"/>
      <c r="P12" s="24">
        <v>2</v>
      </c>
      <c r="Q12" s="37">
        <v>18</v>
      </c>
      <c r="R12" s="24"/>
      <c r="S12" s="37"/>
    </row>
    <row r="13" spans="1:19" x14ac:dyDescent="0.25">
      <c r="A13" s="127">
        <v>46183</v>
      </c>
      <c r="B13" s="35">
        <f t="shared" si="6"/>
        <v>17.29</v>
      </c>
      <c r="C13" s="27">
        <v>138.32</v>
      </c>
      <c r="D13" s="35">
        <f t="shared" si="7"/>
        <v>7.41</v>
      </c>
      <c r="E13" s="87">
        <v>59.28</v>
      </c>
      <c r="F13" s="23">
        <f t="shared" si="8"/>
        <v>0</v>
      </c>
      <c r="G13" s="98">
        <v>0</v>
      </c>
      <c r="H13" s="23">
        <f t="shared" si="8"/>
        <v>1.125</v>
      </c>
      <c r="I13" s="98">
        <v>9</v>
      </c>
      <c r="J13" s="23">
        <f t="shared" si="8"/>
        <v>0</v>
      </c>
      <c r="K13" s="98">
        <v>0</v>
      </c>
      <c r="L13" s="23">
        <f t="shared" si="8"/>
        <v>0</v>
      </c>
      <c r="M13" s="109">
        <v>0</v>
      </c>
      <c r="N13" s="105"/>
      <c r="O13" s="25"/>
      <c r="P13" s="24">
        <v>2</v>
      </c>
      <c r="Q13" s="37">
        <v>18</v>
      </c>
      <c r="R13" s="24"/>
      <c r="S13" s="37"/>
    </row>
    <row r="14" spans="1:19" x14ac:dyDescent="0.25">
      <c r="A14" s="127">
        <v>46184</v>
      </c>
      <c r="B14" s="35">
        <f t="shared" si="6"/>
        <v>15.8775</v>
      </c>
      <c r="C14" s="27">
        <v>127.02</v>
      </c>
      <c r="D14" s="35">
        <f t="shared" si="7"/>
        <v>10.585000000000001</v>
      </c>
      <c r="E14" s="87">
        <v>84.68</v>
      </c>
      <c r="F14" s="23">
        <f t="shared" si="8"/>
        <v>0</v>
      </c>
      <c r="G14" s="98">
        <v>0</v>
      </c>
      <c r="H14" s="23">
        <f t="shared" si="8"/>
        <v>0</v>
      </c>
      <c r="I14" s="98">
        <v>0</v>
      </c>
      <c r="J14" s="23">
        <f t="shared" si="8"/>
        <v>0</v>
      </c>
      <c r="K14" s="98">
        <v>0</v>
      </c>
      <c r="L14" s="23">
        <f t="shared" si="8"/>
        <v>0</v>
      </c>
      <c r="M14" s="109">
        <v>0</v>
      </c>
      <c r="N14" s="105"/>
      <c r="O14" s="25"/>
      <c r="P14" s="24">
        <v>2</v>
      </c>
      <c r="Q14" s="37">
        <v>18</v>
      </c>
      <c r="R14" s="24"/>
      <c r="S14" s="37"/>
    </row>
    <row r="15" spans="1:19" x14ac:dyDescent="0.25">
      <c r="A15" s="127">
        <v>46185</v>
      </c>
      <c r="B15" s="35">
        <f t="shared" si="6"/>
        <v>12.012499999999999</v>
      </c>
      <c r="C15" s="27">
        <v>96.1</v>
      </c>
      <c r="D15" s="35">
        <f t="shared" si="7"/>
        <v>12.012499999999999</v>
      </c>
      <c r="E15" s="87">
        <v>96.1</v>
      </c>
      <c r="F15" s="23">
        <f t="shared" si="8"/>
        <v>0</v>
      </c>
      <c r="G15" s="98">
        <v>0</v>
      </c>
      <c r="H15" s="23">
        <f t="shared" si="8"/>
        <v>0</v>
      </c>
      <c r="I15" s="98">
        <v>0</v>
      </c>
      <c r="J15" s="23">
        <f t="shared" si="8"/>
        <v>0</v>
      </c>
      <c r="K15" s="98">
        <v>0</v>
      </c>
      <c r="L15" s="23">
        <f t="shared" si="8"/>
        <v>0</v>
      </c>
      <c r="M15" s="109">
        <v>0</v>
      </c>
      <c r="N15" s="105"/>
      <c r="O15" s="25"/>
      <c r="P15" s="24">
        <v>2</v>
      </c>
      <c r="Q15" s="37">
        <v>16</v>
      </c>
      <c r="R15" s="24"/>
      <c r="S15" s="37"/>
    </row>
    <row r="16" spans="1:19" x14ac:dyDescent="0.25">
      <c r="A16" s="127">
        <v>46186</v>
      </c>
      <c r="B16" s="114"/>
      <c r="C16" s="115"/>
      <c r="D16" s="114"/>
      <c r="E16" s="115"/>
      <c r="F16" s="116"/>
      <c r="G16" s="115"/>
      <c r="H16" s="116"/>
      <c r="I16" s="115"/>
      <c r="J16" s="116"/>
      <c r="K16" s="115"/>
      <c r="L16" s="116"/>
      <c r="M16" s="117"/>
      <c r="N16" s="118"/>
      <c r="O16" s="119"/>
      <c r="P16" s="120"/>
      <c r="Q16" s="121"/>
      <c r="R16" s="120"/>
      <c r="S16" s="121"/>
    </row>
    <row r="17" spans="1:19" x14ac:dyDescent="0.25">
      <c r="A17" s="127">
        <v>46187</v>
      </c>
      <c r="B17" s="114"/>
      <c r="C17" s="115"/>
      <c r="D17" s="114"/>
      <c r="E17" s="115"/>
      <c r="F17" s="116"/>
      <c r="G17" s="115"/>
      <c r="H17" s="116"/>
      <c r="I17" s="115"/>
      <c r="J17" s="116"/>
      <c r="K17" s="115"/>
      <c r="L17" s="116"/>
      <c r="M17" s="117"/>
      <c r="N17" s="118"/>
      <c r="O17" s="119"/>
      <c r="P17" s="120"/>
      <c r="Q17" s="121"/>
      <c r="R17" s="120"/>
      <c r="S17" s="121"/>
    </row>
    <row r="18" spans="1:19" x14ac:dyDescent="0.25">
      <c r="A18" s="127">
        <v>46188</v>
      </c>
      <c r="B18" s="35">
        <f t="shared" ref="B18:B22" si="9">C18/8</f>
        <v>15.7875</v>
      </c>
      <c r="C18" s="27">
        <v>126.3</v>
      </c>
      <c r="D18" s="35">
        <f t="shared" ref="D18:D22" si="10">E18/8</f>
        <v>10.525</v>
      </c>
      <c r="E18" s="87">
        <v>84.2</v>
      </c>
      <c r="F18" s="23">
        <f t="shared" ref="F18:F22" si="11">G18/8</f>
        <v>0</v>
      </c>
      <c r="G18" s="98">
        <v>0</v>
      </c>
      <c r="H18" s="23">
        <f t="shared" ref="H18:H22" si="12">I18/8</f>
        <v>0</v>
      </c>
      <c r="I18" s="98">
        <v>0</v>
      </c>
      <c r="J18" s="23">
        <f t="shared" ref="J18:J22" si="13">K18/8</f>
        <v>0</v>
      </c>
      <c r="K18" s="98">
        <v>0</v>
      </c>
      <c r="L18" s="23">
        <f t="shared" ref="L18:L22" si="14">M18/8</f>
        <v>0</v>
      </c>
      <c r="M18" s="109">
        <v>0</v>
      </c>
      <c r="N18" s="105"/>
      <c r="O18" s="25"/>
      <c r="P18" s="24">
        <v>2</v>
      </c>
      <c r="Q18" s="37">
        <v>18</v>
      </c>
      <c r="R18" s="24"/>
      <c r="S18" s="37"/>
    </row>
    <row r="19" spans="1:19" x14ac:dyDescent="0.25">
      <c r="A19" s="127">
        <v>46189</v>
      </c>
      <c r="B19" s="35">
        <f t="shared" si="9"/>
        <v>18.899999999999999</v>
      </c>
      <c r="C19" s="27">
        <v>151.19999999999999</v>
      </c>
      <c r="D19" s="35">
        <f t="shared" si="10"/>
        <v>8.1</v>
      </c>
      <c r="E19" s="87">
        <v>64.8</v>
      </c>
      <c r="F19" s="23">
        <f t="shared" si="11"/>
        <v>0</v>
      </c>
      <c r="G19" s="98">
        <v>0</v>
      </c>
      <c r="H19" s="23">
        <f t="shared" si="12"/>
        <v>0</v>
      </c>
      <c r="I19" s="98">
        <v>0</v>
      </c>
      <c r="J19" s="23">
        <f t="shared" si="13"/>
        <v>0</v>
      </c>
      <c r="K19" s="98">
        <v>0</v>
      </c>
      <c r="L19" s="23">
        <f t="shared" si="14"/>
        <v>0</v>
      </c>
      <c r="M19" s="109">
        <v>0</v>
      </c>
      <c r="N19" s="105"/>
      <c r="O19" s="25"/>
      <c r="P19" s="24">
        <v>2</v>
      </c>
      <c r="Q19" s="37">
        <v>18</v>
      </c>
      <c r="R19" s="24"/>
      <c r="S19" s="37"/>
    </row>
    <row r="20" spans="1:19" x14ac:dyDescent="0.25">
      <c r="A20" s="127">
        <v>46190</v>
      </c>
      <c r="B20" s="35">
        <f t="shared" si="9"/>
        <v>16.162500000000001</v>
      </c>
      <c r="C20" s="27">
        <v>129.30000000000001</v>
      </c>
      <c r="D20" s="35">
        <f t="shared" si="10"/>
        <v>10.775</v>
      </c>
      <c r="E20" s="27">
        <v>86.2</v>
      </c>
      <c r="F20" s="23">
        <f t="shared" si="11"/>
        <v>0</v>
      </c>
      <c r="G20" s="98">
        <v>0</v>
      </c>
      <c r="H20" s="23">
        <f t="shared" si="12"/>
        <v>0</v>
      </c>
      <c r="I20" s="98">
        <v>0</v>
      </c>
      <c r="J20" s="23">
        <f t="shared" si="13"/>
        <v>0</v>
      </c>
      <c r="K20" s="98">
        <v>0</v>
      </c>
      <c r="L20" s="23">
        <f t="shared" si="14"/>
        <v>0</v>
      </c>
      <c r="M20" s="109">
        <v>0</v>
      </c>
      <c r="N20" s="105"/>
      <c r="O20" s="25"/>
      <c r="P20" s="24">
        <v>2</v>
      </c>
      <c r="Q20" s="37">
        <v>18</v>
      </c>
      <c r="R20" s="24"/>
      <c r="S20" s="37"/>
    </row>
    <row r="21" spans="1:19" x14ac:dyDescent="0.25">
      <c r="A21" s="127">
        <v>46191</v>
      </c>
      <c r="B21" s="35">
        <f t="shared" si="9"/>
        <v>16.625</v>
      </c>
      <c r="C21" s="27">
        <v>133</v>
      </c>
      <c r="D21" s="35">
        <f t="shared" si="10"/>
        <v>7.125</v>
      </c>
      <c r="E21" s="27">
        <v>57</v>
      </c>
      <c r="F21" s="23">
        <f t="shared" si="11"/>
        <v>0</v>
      </c>
      <c r="G21" s="98">
        <v>0</v>
      </c>
      <c r="H21" s="23">
        <f t="shared" si="12"/>
        <v>0</v>
      </c>
      <c r="I21" s="98">
        <v>0</v>
      </c>
      <c r="J21" s="23">
        <f t="shared" si="13"/>
        <v>0</v>
      </c>
      <c r="K21" s="98">
        <v>0</v>
      </c>
      <c r="L21" s="23">
        <f t="shared" si="14"/>
        <v>0</v>
      </c>
      <c r="M21" s="109">
        <v>0</v>
      </c>
      <c r="N21" s="105"/>
      <c r="O21" s="25"/>
      <c r="P21" s="24">
        <v>2</v>
      </c>
      <c r="Q21" s="37">
        <v>18</v>
      </c>
      <c r="R21" s="24"/>
      <c r="S21" s="37"/>
    </row>
    <row r="22" spans="1:19" x14ac:dyDescent="0.25">
      <c r="A22" s="127">
        <v>46192</v>
      </c>
      <c r="B22" s="35">
        <f t="shared" si="9"/>
        <v>10.625</v>
      </c>
      <c r="C22" s="27">
        <v>85</v>
      </c>
      <c r="D22" s="35">
        <f t="shared" si="10"/>
        <v>10.625</v>
      </c>
      <c r="E22" s="87">
        <v>85</v>
      </c>
      <c r="F22" s="23">
        <f t="shared" si="11"/>
        <v>0</v>
      </c>
      <c r="G22" s="98">
        <v>0</v>
      </c>
      <c r="H22" s="23">
        <f t="shared" si="12"/>
        <v>0</v>
      </c>
      <c r="I22" s="98">
        <v>0</v>
      </c>
      <c r="J22" s="23">
        <f t="shared" si="13"/>
        <v>0</v>
      </c>
      <c r="K22" s="98">
        <v>0</v>
      </c>
      <c r="L22" s="23">
        <f t="shared" si="14"/>
        <v>0</v>
      </c>
      <c r="M22" s="109">
        <v>0</v>
      </c>
      <c r="N22" s="105"/>
      <c r="O22" s="25"/>
      <c r="P22" s="24">
        <v>2</v>
      </c>
      <c r="Q22" s="37">
        <v>16</v>
      </c>
      <c r="R22" s="24"/>
      <c r="S22" s="37"/>
    </row>
    <row r="23" spans="1:19" x14ac:dyDescent="0.25">
      <c r="A23" s="127">
        <v>46193</v>
      </c>
      <c r="B23" s="114"/>
      <c r="C23" s="115"/>
      <c r="D23" s="114"/>
      <c r="E23" s="115"/>
      <c r="F23" s="116"/>
      <c r="G23" s="115"/>
      <c r="H23" s="116"/>
      <c r="I23" s="115"/>
      <c r="J23" s="116"/>
      <c r="K23" s="115"/>
      <c r="L23" s="116"/>
      <c r="M23" s="117"/>
      <c r="N23" s="118"/>
      <c r="O23" s="119"/>
      <c r="P23" s="120"/>
      <c r="Q23" s="121"/>
      <c r="R23" s="120"/>
      <c r="S23" s="121"/>
    </row>
    <row r="24" spans="1:19" x14ac:dyDescent="0.25">
      <c r="A24" s="127">
        <v>46194</v>
      </c>
      <c r="B24" s="114"/>
      <c r="C24" s="115"/>
      <c r="D24" s="114"/>
      <c r="E24" s="115"/>
      <c r="F24" s="116"/>
      <c r="G24" s="115"/>
      <c r="H24" s="116"/>
      <c r="I24" s="115"/>
      <c r="J24" s="116"/>
      <c r="K24" s="115"/>
      <c r="L24" s="116"/>
      <c r="M24" s="117"/>
      <c r="N24" s="118"/>
      <c r="O24" s="119"/>
      <c r="P24" s="120"/>
      <c r="Q24" s="121"/>
      <c r="R24" s="120"/>
      <c r="S24" s="121"/>
    </row>
    <row r="25" spans="1:19" x14ac:dyDescent="0.25">
      <c r="A25" s="127">
        <v>46195</v>
      </c>
      <c r="B25" s="35">
        <f>C25/8</f>
        <v>10.804375</v>
      </c>
      <c r="C25" s="27">
        <v>86.435000000000002</v>
      </c>
      <c r="D25" s="35">
        <f>E25/8</f>
        <v>10.800625</v>
      </c>
      <c r="E25" s="87">
        <v>86.405000000000001</v>
      </c>
      <c r="F25" s="23">
        <f>G25/8</f>
        <v>0</v>
      </c>
      <c r="G25" s="98">
        <v>0</v>
      </c>
      <c r="H25" s="23">
        <f>I25/8</f>
        <v>0</v>
      </c>
      <c r="I25" s="98">
        <v>0</v>
      </c>
      <c r="J25" s="23">
        <f>K25/8</f>
        <v>0</v>
      </c>
      <c r="K25" s="98">
        <v>0</v>
      </c>
      <c r="L25" s="23">
        <f>M25/8</f>
        <v>0</v>
      </c>
      <c r="M25" s="109">
        <v>0</v>
      </c>
      <c r="N25" s="105"/>
      <c r="O25" s="25"/>
      <c r="P25" s="24">
        <v>1</v>
      </c>
      <c r="Q25" s="37">
        <v>9</v>
      </c>
      <c r="R25" s="24"/>
      <c r="S25" s="37"/>
    </row>
    <row r="26" spans="1:19" x14ac:dyDescent="0.25">
      <c r="A26" s="127">
        <v>46196</v>
      </c>
      <c r="B26" s="35">
        <f>C26/8</f>
        <v>8.5749999999999993</v>
      </c>
      <c r="C26" s="27">
        <v>68.599999999999994</v>
      </c>
      <c r="D26" s="35">
        <f>E26/8</f>
        <v>3.6749999999999998</v>
      </c>
      <c r="E26" s="27">
        <v>29.4</v>
      </c>
      <c r="F26" s="23">
        <f>G26/8</f>
        <v>0</v>
      </c>
      <c r="G26" s="98">
        <v>0</v>
      </c>
      <c r="H26" s="23">
        <f>I26/8</f>
        <v>0</v>
      </c>
      <c r="I26" s="98">
        <v>0</v>
      </c>
      <c r="J26" s="23">
        <f>K26/8</f>
        <v>0</v>
      </c>
      <c r="K26" s="98">
        <v>0</v>
      </c>
      <c r="L26" s="23">
        <f>M26/8</f>
        <v>0</v>
      </c>
      <c r="M26" s="109">
        <v>0</v>
      </c>
      <c r="N26" s="105"/>
      <c r="O26" s="25"/>
      <c r="P26" s="24">
        <v>1</v>
      </c>
      <c r="Q26" s="37">
        <v>9</v>
      </c>
      <c r="R26" s="24"/>
      <c r="S26" s="37"/>
    </row>
    <row r="27" spans="1:19" x14ac:dyDescent="0.25">
      <c r="A27" s="127">
        <v>46197</v>
      </c>
      <c r="B27" s="35">
        <f>C27/8</f>
        <v>10.125</v>
      </c>
      <c r="C27" s="27">
        <v>81</v>
      </c>
      <c r="D27" s="35">
        <f>E27/8</f>
        <v>6.7525000000000004</v>
      </c>
      <c r="E27" s="27">
        <v>54.02</v>
      </c>
      <c r="F27" s="23">
        <f>G27/8</f>
        <v>0</v>
      </c>
      <c r="G27" s="98">
        <v>0</v>
      </c>
      <c r="H27" s="23">
        <f>I27/8</f>
        <v>0</v>
      </c>
      <c r="I27" s="98">
        <v>0</v>
      </c>
      <c r="J27" s="23">
        <f>K27/8</f>
        <v>0</v>
      </c>
      <c r="K27" s="98">
        <v>0</v>
      </c>
      <c r="L27" s="23">
        <f>M27/8</f>
        <v>0</v>
      </c>
      <c r="M27" s="109">
        <v>0</v>
      </c>
      <c r="N27" s="105"/>
      <c r="O27" s="25"/>
      <c r="P27" s="24">
        <v>1</v>
      </c>
      <c r="Q27" s="37">
        <v>9</v>
      </c>
      <c r="R27" s="24"/>
      <c r="S27" s="37"/>
    </row>
    <row r="28" spans="1:19" x14ac:dyDescent="0.25">
      <c r="A28" s="127">
        <v>46198</v>
      </c>
      <c r="B28" s="35">
        <f>C28/8</f>
        <v>11.7075</v>
      </c>
      <c r="C28" s="27">
        <v>93.66</v>
      </c>
      <c r="D28" s="35">
        <f>E28/8</f>
        <v>5.0175000000000001</v>
      </c>
      <c r="E28" s="27">
        <v>40.14</v>
      </c>
      <c r="F28" s="23">
        <f>G28/8</f>
        <v>0</v>
      </c>
      <c r="G28" s="98">
        <v>0</v>
      </c>
      <c r="H28" s="23">
        <f>I28/8</f>
        <v>0</v>
      </c>
      <c r="I28" s="98">
        <v>0</v>
      </c>
      <c r="J28" s="23">
        <f>K28/8</f>
        <v>0</v>
      </c>
      <c r="K28" s="98">
        <v>0</v>
      </c>
      <c r="L28" s="23">
        <f>M28/8</f>
        <v>0</v>
      </c>
      <c r="M28" s="109">
        <v>0</v>
      </c>
      <c r="N28" s="105"/>
      <c r="O28" s="25"/>
      <c r="P28" s="24">
        <v>1</v>
      </c>
      <c r="Q28" s="37">
        <v>9</v>
      </c>
      <c r="R28" s="24"/>
      <c r="S28" s="37"/>
    </row>
    <row r="29" spans="1:19" x14ac:dyDescent="0.25">
      <c r="A29" s="127">
        <v>46199</v>
      </c>
      <c r="B29" s="35">
        <f>C29/8</f>
        <v>8.0500000000000007</v>
      </c>
      <c r="C29" s="27">
        <v>64.400000000000006</v>
      </c>
      <c r="D29" s="35">
        <f>E29/8</f>
        <v>8.0500000000000007</v>
      </c>
      <c r="E29" s="27">
        <v>64.400000000000006</v>
      </c>
      <c r="F29" s="23">
        <f>G29/8</f>
        <v>0</v>
      </c>
      <c r="G29" s="98">
        <v>0</v>
      </c>
      <c r="H29" s="23">
        <f>I29/8</f>
        <v>0</v>
      </c>
      <c r="I29" s="98">
        <v>0</v>
      </c>
      <c r="J29" s="23">
        <f>K29/8</f>
        <v>0</v>
      </c>
      <c r="K29" s="98">
        <v>0</v>
      </c>
      <c r="L29" s="23">
        <f>M29/8</f>
        <v>0</v>
      </c>
      <c r="M29" s="109">
        <v>0</v>
      </c>
      <c r="N29" s="105"/>
      <c r="O29" s="25"/>
      <c r="P29" s="24">
        <v>1</v>
      </c>
      <c r="Q29" s="37">
        <v>8</v>
      </c>
      <c r="R29" s="24"/>
      <c r="S29" s="37"/>
    </row>
    <row r="30" spans="1:19" x14ac:dyDescent="0.25">
      <c r="A30" s="127">
        <v>46200</v>
      </c>
      <c r="B30" s="114"/>
      <c r="C30" s="115"/>
      <c r="D30" s="114"/>
      <c r="E30" s="115"/>
      <c r="F30" s="116"/>
      <c r="G30" s="115"/>
      <c r="H30" s="116"/>
      <c r="I30" s="115"/>
      <c r="J30" s="116"/>
      <c r="K30" s="115"/>
      <c r="L30" s="116"/>
      <c r="M30" s="117"/>
      <c r="N30" s="118"/>
      <c r="O30" s="119"/>
      <c r="P30" s="120"/>
      <c r="Q30" s="121"/>
      <c r="R30" s="120"/>
      <c r="S30" s="121"/>
    </row>
    <row r="31" spans="1:19" x14ac:dyDescent="0.25">
      <c r="A31" s="127">
        <v>46201</v>
      </c>
      <c r="B31" s="114"/>
      <c r="C31" s="115"/>
      <c r="D31" s="114"/>
      <c r="E31" s="115"/>
      <c r="F31" s="116"/>
      <c r="G31" s="115"/>
      <c r="H31" s="116"/>
      <c r="I31" s="115"/>
      <c r="J31" s="116"/>
      <c r="K31" s="115"/>
      <c r="L31" s="116"/>
      <c r="M31" s="117"/>
      <c r="N31" s="118"/>
      <c r="O31" s="119"/>
      <c r="P31" s="120"/>
      <c r="Q31" s="121"/>
      <c r="R31" s="120"/>
      <c r="S31" s="121"/>
    </row>
    <row r="32" spans="1:19" x14ac:dyDescent="0.25">
      <c r="A32" s="127">
        <v>46202</v>
      </c>
      <c r="B32" s="35">
        <f>C32/8</f>
        <v>14.8225</v>
      </c>
      <c r="C32" s="27">
        <v>118.58</v>
      </c>
      <c r="D32" s="35">
        <f>E32/8</f>
        <v>6.3525</v>
      </c>
      <c r="E32" s="87">
        <v>50.82</v>
      </c>
      <c r="F32" s="23">
        <f>G32/8</f>
        <v>0</v>
      </c>
      <c r="G32" s="98">
        <v>0</v>
      </c>
      <c r="H32" s="23">
        <f>I32/8</f>
        <v>0</v>
      </c>
      <c r="I32" s="98">
        <v>0</v>
      </c>
      <c r="J32" s="23">
        <f>K32/8</f>
        <v>0</v>
      </c>
      <c r="K32" s="98">
        <v>0</v>
      </c>
      <c r="L32" s="23">
        <f>M32/8</f>
        <v>0</v>
      </c>
      <c r="M32" s="109">
        <v>0</v>
      </c>
      <c r="N32" s="105"/>
      <c r="O32" s="25"/>
      <c r="P32" s="24">
        <v>1</v>
      </c>
      <c r="Q32" s="37">
        <v>9</v>
      </c>
      <c r="R32" s="24"/>
      <c r="S32" s="37"/>
    </row>
    <row r="33" spans="1:19" ht="15.75" thickBot="1" x14ac:dyDescent="0.3">
      <c r="A33" s="127">
        <v>46203</v>
      </c>
      <c r="B33" s="35">
        <f>C33/8</f>
        <v>12.63</v>
      </c>
      <c r="C33" s="27">
        <v>101.04</v>
      </c>
      <c r="D33" s="35">
        <f>E33/8</f>
        <v>8.4250000000000007</v>
      </c>
      <c r="E33" s="27">
        <v>67.400000000000006</v>
      </c>
      <c r="F33" s="23">
        <f>G33/8</f>
        <v>0</v>
      </c>
      <c r="G33" s="98">
        <v>0</v>
      </c>
      <c r="H33" s="23">
        <f>I33/8</f>
        <v>0</v>
      </c>
      <c r="I33" s="98">
        <v>0</v>
      </c>
      <c r="J33" s="23">
        <f>K33/8</f>
        <v>0</v>
      </c>
      <c r="K33" s="98">
        <v>0</v>
      </c>
      <c r="L33" s="23">
        <f>M33/8</f>
        <v>0</v>
      </c>
      <c r="M33" s="109">
        <v>0</v>
      </c>
      <c r="N33" s="105"/>
      <c r="O33" s="25"/>
      <c r="P33" s="24">
        <v>1</v>
      </c>
      <c r="Q33" s="37">
        <v>9</v>
      </c>
      <c r="R33" s="24"/>
      <c r="S33" s="37"/>
    </row>
    <row r="34" spans="1:19" ht="15.75" thickBot="1" x14ac:dyDescent="0.3">
      <c r="A34" s="58" t="s">
        <v>20</v>
      </c>
      <c r="B34" s="59">
        <f>AVERAGE(B4:B33)</f>
        <v>14.341505681818179</v>
      </c>
      <c r="C34" s="60">
        <f>SUM(C4:C33)</f>
        <v>2524.1049999999996</v>
      </c>
      <c r="D34" s="59">
        <f>AVERAGE(D4:D33)</f>
        <v>8.8715625000000014</v>
      </c>
      <c r="E34" s="61">
        <f>SUM(E4:E33)</f>
        <v>1561.3950000000002</v>
      </c>
      <c r="F34" s="59">
        <f>AVERAGE(F4:F33)</f>
        <v>0</v>
      </c>
      <c r="G34" s="61">
        <f>SUM(G4:G33)</f>
        <v>0</v>
      </c>
      <c r="H34" s="59">
        <f>AVERAGE(H4:H33)</f>
        <v>0.19318181818181818</v>
      </c>
      <c r="I34" s="61">
        <f>SUM(I4:I33)</f>
        <v>34</v>
      </c>
      <c r="J34" s="59">
        <f>AVERAGE(J4:J33)</f>
        <v>0</v>
      </c>
      <c r="K34" s="61">
        <f>SUM(K4:K33)</f>
        <v>0</v>
      </c>
      <c r="L34" s="59">
        <f>AVERAGE(L4:L33)</f>
        <v>0</v>
      </c>
      <c r="M34" s="61">
        <f>SUM(M4:M33)</f>
        <v>0</v>
      </c>
      <c r="N34" s="64">
        <f>IFERROR(AVERAGE(N4:N17),0)</f>
        <v>0</v>
      </c>
      <c r="O34" s="65">
        <f>C34+I34+E34+G34+K34+M34</f>
        <v>4119.5</v>
      </c>
      <c r="P34" s="155">
        <f>IFERROR(AVERAGE(P4:P33),0)</f>
        <v>1.6818181818181819</v>
      </c>
      <c r="Q34" s="154">
        <f>SUM(Q4:Q33)</f>
        <v>324</v>
      </c>
      <c r="R34" s="66">
        <f>IFERROR(AVERAGE(R4:R17),0)</f>
        <v>0</v>
      </c>
      <c r="S34" s="17">
        <f>SUM(S4:S17)</f>
        <v>0</v>
      </c>
    </row>
    <row r="35" spans="1:19" x14ac:dyDescent="0.25">
      <c r="G35" s="67"/>
      <c r="I35" s="68"/>
      <c r="O35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36"/>
  <sheetViews>
    <sheetView showGridLines="0" zoomScale="85" zoomScaleNormal="85" workbookViewId="0">
      <pane ySplit="3" topLeftCell="A4" activePane="bottomLeft" state="frozen"/>
      <selection pane="bottomLeft" activeCell="H39" sqref="H39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2026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x14ac:dyDescent="0.25">
      <c r="A4" s="127">
        <v>46204</v>
      </c>
      <c r="B4" s="35">
        <f t="shared" ref="B4:B13" si="0">C4/8</f>
        <v>10.6875</v>
      </c>
      <c r="C4" s="27">
        <v>85.5</v>
      </c>
      <c r="D4" s="35">
        <f t="shared" ref="D4:D13" si="1">E4/8</f>
        <v>10.6875</v>
      </c>
      <c r="E4" s="27">
        <v>85.5</v>
      </c>
      <c r="F4" s="23">
        <f t="shared" ref="F4:L13" si="2">G4/8</f>
        <v>0</v>
      </c>
      <c r="G4" s="98">
        <v>0</v>
      </c>
      <c r="H4" s="23">
        <f t="shared" si="2"/>
        <v>0</v>
      </c>
      <c r="I4" s="98">
        <v>0</v>
      </c>
      <c r="J4" s="23">
        <f t="shared" si="2"/>
        <v>0</v>
      </c>
      <c r="K4" s="98">
        <v>0</v>
      </c>
      <c r="L4" s="23">
        <f t="shared" si="2"/>
        <v>0</v>
      </c>
      <c r="M4" s="109">
        <v>0</v>
      </c>
      <c r="N4" s="105"/>
      <c r="O4" s="25"/>
      <c r="P4" s="24">
        <v>2</v>
      </c>
      <c r="Q4" s="37">
        <v>9</v>
      </c>
      <c r="R4" s="24"/>
      <c r="S4" s="37"/>
    </row>
    <row r="5" spans="1:19" ht="15" customHeight="1" x14ac:dyDescent="0.25">
      <c r="A5" s="127">
        <v>46205</v>
      </c>
      <c r="B5" s="35">
        <f t="shared" si="0"/>
        <v>10.3</v>
      </c>
      <c r="C5" s="27">
        <v>82.4</v>
      </c>
      <c r="D5" s="35">
        <f t="shared" si="1"/>
        <v>4.4124999999999996</v>
      </c>
      <c r="E5" s="27">
        <v>35.299999999999997</v>
      </c>
      <c r="F5" s="23">
        <f t="shared" si="2"/>
        <v>0</v>
      </c>
      <c r="G5" s="98">
        <v>0</v>
      </c>
      <c r="H5" s="23">
        <f t="shared" si="2"/>
        <v>0</v>
      </c>
      <c r="I5" s="98">
        <v>0</v>
      </c>
      <c r="J5" s="23">
        <f t="shared" si="2"/>
        <v>0</v>
      </c>
      <c r="K5" s="98">
        <v>0</v>
      </c>
      <c r="L5" s="23">
        <f t="shared" si="2"/>
        <v>0</v>
      </c>
      <c r="M5" s="109">
        <v>0</v>
      </c>
      <c r="N5" s="57"/>
      <c r="O5" s="24"/>
      <c r="P5" s="24">
        <v>2</v>
      </c>
      <c r="Q5" s="37">
        <v>9</v>
      </c>
      <c r="R5" s="24"/>
      <c r="S5" s="37"/>
    </row>
    <row r="6" spans="1:19" ht="15" customHeight="1" x14ac:dyDescent="0.25">
      <c r="A6" s="127">
        <v>46206</v>
      </c>
      <c r="B6" s="35">
        <f t="shared" si="0"/>
        <v>6.46875</v>
      </c>
      <c r="C6" s="27">
        <v>51.75</v>
      </c>
      <c r="D6" s="35">
        <f t="shared" si="1"/>
        <v>6.46875</v>
      </c>
      <c r="E6" s="27">
        <v>51.75</v>
      </c>
      <c r="F6" s="23">
        <f t="shared" si="2"/>
        <v>0</v>
      </c>
      <c r="G6" s="98">
        <v>0</v>
      </c>
      <c r="H6" s="23">
        <f t="shared" si="2"/>
        <v>0</v>
      </c>
      <c r="I6" s="98">
        <v>0</v>
      </c>
      <c r="J6" s="23">
        <f t="shared" si="2"/>
        <v>0</v>
      </c>
      <c r="K6" s="98">
        <v>0</v>
      </c>
      <c r="L6" s="23">
        <f t="shared" si="2"/>
        <v>0</v>
      </c>
      <c r="M6" s="109">
        <v>0</v>
      </c>
      <c r="N6" s="21"/>
      <c r="O6" s="24"/>
      <c r="P6" s="24">
        <v>2</v>
      </c>
      <c r="Q6" s="37">
        <v>8</v>
      </c>
      <c r="R6" s="24"/>
      <c r="S6" s="37"/>
    </row>
    <row r="7" spans="1:19" ht="15" customHeight="1" x14ac:dyDescent="0.25">
      <c r="A7" s="127">
        <v>46207</v>
      </c>
      <c r="B7" s="114"/>
      <c r="C7" s="115"/>
      <c r="D7" s="114"/>
      <c r="E7" s="115"/>
      <c r="F7" s="116"/>
      <c r="G7" s="115"/>
      <c r="H7" s="116"/>
      <c r="I7" s="115"/>
      <c r="J7" s="116"/>
      <c r="K7" s="115"/>
      <c r="L7" s="116"/>
      <c r="M7" s="117"/>
      <c r="N7" s="118"/>
      <c r="O7" s="119"/>
      <c r="P7" s="120"/>
      <c r="Q7" s="121"/>
      <c r="R7" s="120"/>
      <c r="S7" s="121"/>
    </row>
    <row r="8" spans="1:19" x14ac:dyDescent="0.25">
      <c r="A8" s="127">
        <v>46208</v>
      </c>
      <c r="B8" s="114"/>
      <c r="C8" s="115"/>
      <c r="D8" s="114"/>
      <c r="E8" s="115"/>
      <c r="F8" s="116"/>
      <c r="G8" s="115"/>
      <c r="H8" s="116"/>
      <c r="I8" s="115"/>
      <c r="J8" s="116"/>
      <c r="K8" s="115"/>
      <c r="L8" s="116"/>
      <c r="M8" s="117"/>
      <c r="N8" s="118"/>
      <c r="O8" s="119"/>
      <c r="P8" s="120"/>
      <c r="Q8" s="121"/>
      <c r="R8" s="120"/>
      <c r="S8" s="121"/>
    </row>
    <row r="9" spans="1:19" x14ac:dyDescent="0.25">
      <c r="A9" s="127">
        <v>46209</v>
      </c>
      <c r="B9" s="35">
        <f t="shared" si="0"/>
        <v>8.5574999999999992</v>
      </c>
      <c r="C9" s="27">
        <v>68.459999999999994</v>
      </c>
      <c r="D9" s="35">
        <f t="shared" si="1"/>
        <v>5.7050000000000001</v>
      </c>
      <c r="E9" s="27">
        <v>45.64</v>
      </c>
      <c r="F9" s="23">
        <f t="shared" si="2"/>
        <v>0</v>
      </c>
      <c r="G9" s="98">
        <v>0</v>
      </c>
      <c r="H9" s="23">
        <f t="shared" si="2"/>
        <v>0</v>
      </c>
      <c r="I9" s="98">
        <v>0</v>
      </c>
      <c r="J9" s="23">
        <f t="shared" si="2"/>
        <v>0</v>
      </c>
      <c r="K9" s="98">
        <v>0</v>
      </c>
      <c r="L9" s="23">
        <f t="shared" si="2"/>
        <v>0</v>
      </c>
      <c r="M9" s="109">
        <v>0</v>
      </c>
      <c r="N9" s="105"/>
      <c r="O9" s="25"/>
      <c r="P9" s="24">
        <v>2</v>
      </c>
      <c r="Q9" s="37">
        <v>9</v>
      </c>
      <c r="R9" s="24"/>
      <c r="S9" s="37"/>
    </row>
    <row r="10" spans="1:19" x14ac:dyDescent="0.25">
      <c r="A10" s="127">
        <v>46210</v>
      </c>
      <c r="B10" s="35">
        <f t="shared" si="0"/>
        <v>7.3</v>
      </c>
      <c r="C10" s="27">
        <v>58.4</v>
      </c>
      <c r="D10" s="35">
        <f t="shared" si="1"/>
        <v>7.3</v>
      </c>
      <c r="E10" s="87">
        <v>58.4</v>
      </c>
      <c r="F10" s="23">
        <f t="shared" si="2"/>
        <v>0</v>
      </c>
      <c r="G10" s="98">
        <v>0</v>
      </c>
      <c r="H10" s="23">
        <f t="shared" si="2"/>
        <v>0</v>
      </c>
      <c r="I10" s="98">
        <v>0</v>
      </c>
      <c r="J10" s="23">
        <f t="shared" si="2"/>
        <v>0</v>
      </c>
      <c r="K10" s="98">
        <v>0</v>
      </c>
      <c r="L10" s="23">
        <f t="shared" si="2"/>
        <v>0</v>
      </c>
      <c r="M10" s="109">
        <v>0</v>
      </c>
      <c r="N10" s="105"/>
      <c r="O10" s="25"/>
      <c r="P10" s="24">
        <v>2</v>
      </c>
      <c r="Q10" s="37">
        <v>9</v>
      </c>
      <c r="R10" s="24"/>
      <c r="S10" s="37"/>
    </row>
    <row r="11" spans="1:19" x14ac:dyDescent="0.25">
      <c r="A11" s="127">
        <v>46211</v>
      </c>
      <c r="B11" s="35">
        <f t="shared" si="0"/>
        <v>5.85</v>
      </c>
      <c r="C11" s="27">
        <v>46.8</v>
      </c>
      <c r="D11" s="35">
        <f t="shared" si="1"/>
        <v>8.7750000000000004</v>
      </c>
      <c r="E11" s="87">
        <v>70.2</v>
      </c>
      <c r="F11" s="23">
        <f t="shared" si="2"/>
        <v>0</v>
      </c>
      <c r="G11" s="98">
        <v>0</v>
      </c>
      <c r="H11" s="23">
        <f t="shared" si="2"/>
        <v>0</v>
      </c>
      <c r="I11" s="98">
        <v>0</v>
      </c>
      <c r="J11" s="23">
        <f t="shared" si="2"/>
        <v>0</v>
      </c>
      <c r="K11" s="98">
        <v>0</v>
      </c>
      <c r="L11" s="23">
        <f t="shared" si="2"/>
        <v>0</v>
      </c>
      <c r="M11" s="109">
        <v>0</v>
      </c>
      <c r="N11" s="105"/>
      <c r="O11" s="25"/>
      <c r="P11" s="24">
        <v>2</v>
      </c>
      <c r="Q11" s="37">
        <v>9</v>
      </c>
      <c r="R11" s="24"/>
      <c r="S11" s="37"/>
    </row>
    <row r="12" spans="1:19" x14ac:dyDescent="0.25">
      <c r="A12" s="127">
        <v>46212</v>
      </c>
      <c r="B12" s="35">
        <f t="shared" si="0"/>
        <v>5.4</v>
      </c>
      <c r="C12" s="27">
        <v>43.2</v>
      </c>
      <c r="D12" s="35">
        <f t="shared" si="1"/>
        <v>8.1</v>
      </c>
      <c r="E12" s="87">
        <v>64.8</v>
      </c>
      <c r="F12" s="23">
        <f t="shared" si="2"/>
        <v>0</v>
      </c>
      <c r="G12" s="98">
        <v>0</v>
      </c>
      <c r="H12" s="23">
        <f t="shared" si="2"/>
        <v>0</v>
      </c>
      <c r="I12" s="98">
        <v>0</v>
      </c>
      <c r="J12" s="23">
        <f t="shared" si="2"/>
        <v>0</v>
      </c>
      <c r="K12" s="98">
        <v>0</v>
      </c>
      <c r="L12" s="23">
        <f t="shared" si="2"/>
        <v>0</v>
      </c>
      <c r="M12" s="109">
        <v>0</v>
      </c>
      <c r="N12" s="105"/>
      <c r="O12" s="25"/>
      <c r="P12" s="24">
        <v>2</v>
      </c>
      <c r="Q12" s="37">
        <v>9</v>
      </c>
      <c r="R12" s="24"/>
      <c r="S12" s="37"/>
    </row>
    <row r="13" spans="1:19" x14ac:dyDescent="0.25">
      <c r="A13" s="127">
        <v>46213</v>
      </c>
      <c r="B13" s="35">
        <f t="shared" si="0"/>
        <v>6.0250000000000004</v>
      </c>
      <c r="C13" s="27">
        <v>48.2</v>
      </c>
      <c r="D13" s="35">
        <f t="shared" si="1"/>
        <v>6.0250000000000004</v>
      </c>
      <c r="E13" s="87">
        <v>48.2</v>
      </c>
      <c r="F13" s="23">
        <f t="shared" si="2"/>
        <v>0</v>
      </c>
      <c r="G13" s="98">
        <v>0</v>
      </c>
      <c r="H13" s="23">
        <f t="shared" si="2"/>
        <v>0</v>
      </c>
      <c r="I13" s="98">
        <v>0</v>
      </c>
      <c r="J13" s="23">
        <f t="shared" si="2"/>
        <v>0</v>
      </c>
      <c r="K13" s="98">
        <v>0</v>
      </c>
      <c r="L13" s="23">
        <f t="shared" si="2"/>
        <v>0</v>
      </c>
      <c r="M13" s="109">
        <v>0</v>
      </c>
      <c r="N13" s="105"/>
      <c r="O13" s="25"/>
      <c r="P13" s="24">
        <v>2</v>
      </c>
      <c r="Q13" s="37">
        <v>8</v>
      </c>
      <c r="R13" s="24"/>
      <c r="S13" s="37"/>
    </row>
    <row r="14" spans="1:19" x14ac:dyDescent="0.25">
      <c r="A14" s="127">
        <v>46214</v>
      </c>
      <c r="B14" s="114"/>
      <c r="C14" s="115"/>
      <c r="D14" s="114"/>
      <c r="E14" s="115"/>
      <c r="F14" s="116"/>
      <c r="G14" s="115"/>
      <c r="H14" s="116"/>
      <c r="I14" s="115"/>
      <c r="J14" s="116"/>
      <c r="K14" s="115"/>
      <c r="L14" s="116"/>
      <c r="M14" s="117"/>
      <c r="N14" s="118"/>
      <c r="O14" s="119"/>
      <c r="P14" s="120"/>
      <c r="Q14" s="121"/>
      <c r="R14" s="120"/>
      <c r="S14" s="121"/>
    </row>
    <row r="15" spans="1:19" x14ac:dyDescent="0.25">
      <c r="A15" s="127">
        <v>46215</v>
      </c>
      <c r="B15" s="114"/>
      <c r="C15" s="115"/>
      <c r="D15" s="114"/>
      <c r="E15" s="115"/>
      <c r="F15" s="116"/>
      <c r="G15" s="115"/>
      <c r="H15" s="116"/>
      <c r="I15" s="115"/>
      <c r="J15" s="116"/>
      <c r="K15" s="115"/>
      <c r="L15" s="116"/>
      <c r="M15" s="117"/>
      <c r="N15" s="118"/>
      <c r="O15" s="119"/>
      <c r="P15" s="120"/>
      <c r="Q15" s="121"/>
      <c r="R15" s="120"/>
      <c r="S15" s="121"/>
    </row>
    <row r="16" spans="1:19" x14ac:dyDescent="0.25">
      <c r="A16" s="127">
        <v>46216</v>
      </c>
      <c r="B16" s="35">
        <f t="shared" ref="B16:B20" si="3">C16/8</f>
        <v>8.1</v>
      </c>
      <c r="C16" s="27">
        <v>64.8</v>
      </c>
      <c r="D16" s="35">
        <f t="shared" ref="D16:D20" si="4">E16/8</f>
        <v>5.4</v>
      </c>
      <c r="E16" s="87">
        <v>43.2</v>
      </c>
      <c r="F16" s="23">
        <f t="shared" ref="F16:F20" si="5">G16/8</f>
        <v>0</v>
      </c>
      <c r="G16" s="98">
        <v>0</v>
      </c>
      <c r="H16" s="23">
        <f t="shared" ref="H16:H20" si="6">I16/8</f>
        <v>0</v>
      </c>
      <c r="I16" s="98">
        <v>0</v>
      </c>
      <c r="J16" s="23">
        <f t="shared" ref="J16:J20" si="7">K16/8</f>
        <v>0</v>
      </c>
      <c r="K16" s="98">
        <v>0</v>
      </c>
      <c r="L16" s="23">
        <f t="shared" ref="L16:L20" si="8">M16/8</f>
        <v>0</v>
      </c>
      <c r="M16" s="109">
        <v>0</v>
      </c>
      <c r="N16" s="105"/>
      <c r="O16" s="25"/>
      <c r="P16" s="24">
        <v>2</v>
      </c>
      <c r="Q16" s="37">
        <v>9</v>
      </c>
      <c r="R16" s="24"/>
      <c r="S16" s="37"/>
    </row>
    <row r="17" spans="1:19" x14ac:dyDescent="0.25">
      <c r="A17" s="127">
        <v>46217</v>
      </c>
      <c r="B17" s="114"/>
      <c r="C17" s="115"/>
      <c r="D17" s="114"/>
      <c r="E17" s="115"/>
      <c r="F17" s="116"/>
      <c r="G17" s="115"/>
      <c r="H17" s="116"/>
      <c r="I17" s="115"/>
      <c r="J17" s="116"/>
      <c r="K17" s="115"/>
      <c r="L17" s="116"/>
      <c r="M17" s="117"/>
      <c r="N17" s="118"/>
      <c r="O17" s="119"/>
      <c r="P17" s="120"/>
      <c r="Q17" s="121"/>
      <c r="R17" s="120"/>
      <c r="S17" s="121"/>
    </row>
    <row r="18" spans="1:19" x14ac:dyDescent="0.25">
      <c r="A18" s="127">
        <v>46218</v>
      </c>
      <c r="B18" s="35">
        <f t="shared" si="3"/>
        <v>5.8550000000000004</v>
      </c>
      <c r="C18" s="27">
        <v>46.84</v>
      </c>
      <c r="D18" s="35">
        <f t="shared" si="4"/>
        <v>8.7825000000000006</v>
      </c>
      <c r="E18" s="27">
        <v>70.260000000000005</v>
      </c>
      <c r="F18" s="23">
        <f t="shared" si="5"/>
        <v>0</v>
      </c>
      <c r="G18" s="98">
        <v>0</v>
      </c>
      <c r="H18" s="23">
        <f t="shared" si="6"/>
        <v>0</v>
      </c>
      <c r="I18" s="98">
        <v>0</v>
      </c>
      <c r="J18" s="23">
        <f t="shared" si="7"/>
        <v>0</v>
      </c>
      <c r="K18" s="98">
        <v>0</v>
      </c>
      <c r="L18" s="23">
        <f t="shared" si="8"/>
        <v>0</v>
      </c>
      <c r="M18" s="109">
        <v>0</v>
      </c>
      <c r="N18" s="105"/>
      <c r="O18" s="25"/>
      <c r="P18" s="24">
        <v>2</v>
      </c>
      <c r="Q18" s="37">
        <v>9</v>
      </c>
      <c r="R18" s="24"/>
      <c r="S18" s="37"/>
    </row>
    <row r="19" spans="1:19" x14ac:dyDescent="0.25">
      <c r="A19" s="127">
        <v>46219</v>
      </c>
      <c r="B19" s="35">
        <f t="shared" si="3"/>
        <v>5.38</v>
      </c>
      <c r="C19" s="27">
        <v>43.04</v>
      </c>
      <c r="D19" s="35">
        <f t="shared" si="4"/>
        <v>8.07</v>
      </c>
      <c r="E19" s="87">
        <v>64.56</v>
      </c>
      <c r="F19" s="23">
        <f t="shared" si="5"/>
        <v>0</v>
      </c>
      <c r="G19" s="98">
        <v>0</v>
      </c>
      <c r="H19" s="23">
        <f t="shared" si="6"/>
        <v>0</v>
      </c>
      <c r="I19" s="98">
        <v>0</v>
      </c>
      <c r="J19" s="23">
        <f t="shared" si="7"/>
        <v>0</v>
      </c>
      <c r="K19" s="98">
        <v>0</v>
      </c>
      <c r="L19" s="23">
        <f t="shared" si="8"/>
        <v>0</v>
      </c>
      <c r="M19" s="109">
        <v>0</v>
      </c>
      <c r="N19" s="105"/>
      <c r="O19" s="25"/>
      <c r="P19" s="24">
        <v>2</v>
      </c>
      <c r="Q19" s="37">
        <v>9</v>
      </c>
      <c r="R19" s="24"/>
      <c r="S19" s="37"/>
    </row>
    <row r="20" spans="1:19" x14ac:dyDescent="0.25">
      <c r="A20" s="127">
        <v>46220</v>
      </c>
      <c r="B20" s="35">
        <f t="shared" si="3"/>
        <v>6.5125000000000002</v>
      </c>
      <c r="C20" s="27">
        <v>52.1</v>
      </c>
      <c r="D20" s="35">
        <f t="shared" si="4"/>
        <v>6.5125000000000002</v>
      </c>
      <c r="E20" s="87">
        <v>52.1</v>
      </c>
      <c r="F20" s="23">
        <f t="shared" si="5"/>
        <v>0</v>
      </c>
      <c r="G20" s="98">
        <v>0</v>
      </c>
      <c r="H20" s="23">
        <f t="shared" si="6"/>
        <v>0</v>
      </c>
      <c r="I20" s="98">
        <v>0</v>
      </c>
      <c r="J20" s="23">
        <f t="shared" si="7"/>
        <v>0</v>
      </c>
      <c r="K20" s="98">
        <v>0</v>
      </c>
      <c r="L20" s="23">
        <f t="shared" si="8"/>
        <v>0</v>
      </c>
      <c r="M20" s="109">
        <v>0</v>
      </c>
      <c r="N20" s="105"/>
      <c r="O20" s="25"/>
      <c r="P20" s="24">
        <v>2</v>
      </c>
      <c r="Q20" s="37">
        <v>8</v>
      </c>
      <c r="R20" s="24"/>
      <c r="S20" s="37"/>
    </row>
    <row r="21" spans="1:19" x14ac:dyDescent="0.25">
      <c r="A21" s="127">
        <v>46221</v>
      </c>
      <c r="B21" s="114"/>
      <c r="C21" s="115"/>
      <c r="D21" s="114"/>
      <c r="E21" s="115"/>
      <c r="F21" s="116"/>
      <c r="G21" s="115"/>
      <c r="H21" s="116"/>
      <c r="I21" s="115"/>
      <c r="J21" s="116"/>
      <c r="K21" s="115"/>
      <c r="L21" s="116"/>
      <c r="M21" s="117"/>
      <c r="N21" s="118"/>
      <c r="O21" s="119"/>
      <c r="P21" s="120"/>
      <c r="Q21" s="121"/>
      <c r="R21" s="120"/>
      <c r="S21" s="121"/>
    </row>
    <row r="22" spans="1:19" x14ac:dyDescent="0.25">
      <c r="A22" s="127">
        <v>46222</v>
      </c>
      <c r="B22" s="114"/>
      <c r="C22" s="115"/>
      <c r="D22" s="114"/>
      <c r="E22" s="115"/>
      <c r="F22" s="116"/>
      <c r="G22" s="115"/>
      <c r="H22" s="116"/>
      <c r="I22" s="115"/>
      <c r="J22" s="116"/>
      <c r="K22" s="115"/>
      <c r="L22" s="116"/>
      <c r="M22" s="117"/>
      <c r="N22" s="118"/>
      <c r="O22" s="119"/>
      <c r="P22" s="120"/>
      <c r="Q22" s="121"/>
      <c r="R22" s="120"/>
      <c r="S22" s="121"/>
    </row>
    <row r="23" spans="1:19" x14ac:dyDescent="0.25">
      <c r="A23" s="127">
        <v>46223</v>
      </c>
      <c r="B23" s="35">
        <f>C23/8</f>
        <v>6.31</v>
      </c>
      <c r="C23" s="27">
        <v>50.48</v>
      </c>
      <c r="D23" s="35">
        <f>E23/8</f>
        <v>9.4649999999999999</v>
      </c>
      <c r="E23" s="87">
        <v>75.72</v>
      </c>
      <c r="F23" s="23">
        <f>G23/8</f>
        <v>0</v>
      </c>
      <c r="G23" s="98">
        <v>0</v>
      </c>
      <c r="H23" s="23">
        <f>I23/8</f>
        <v>0</v>
      </c>
      <c r="I23" s="98">
        <v>0</v>
      </c>
      <c r="J23" s="23">
        <f>K23/8</f>
        <v>0</v>
      </c>
      <c r="K23" s="98">
        <v>0</v>
      </c>
      <c r="L23" s="23">
        <f>M23/8</f>
        <v>0</v>
      </c>
      <c r="M23" s="109">
        <v>0</v>
      </c>
      <c r="N23" s="105"/>
      <c r="O23" s="25"/>
      <c r="P23" s="24">
        <v>2</v>
      </c>
      <c r="Q23" s="37">
        <v>9</v>
      </c>
      <c r="R23" s="24"/>
      <c r="S23" s="37"/>
    </row>
    <row r="24" spans="1:19" x14ac:dyDescent="0.25">
      <c r="A24" s="127">
        <v>46224</v>
      </c>
      <c r="B24" s="35">
        <f>C24/8</f>
        <v>7.3062500000000004</v>
      </c>
      <c r="C24" s="27">
        <v>58.45</v>
      </c>
      <c r="D24" s="35">
        <f>E24/8</f>
        <v>7.3062500000000004</v>
      </c>
      <c r="E24" s="27">
        <v>58.45</v>
      </c>
      <c r="F24" s="23">
        <f>G24/8</f>
        <v>0</v>
      </c>
      <c r="G24" s="98">
        <v>0</v>
      </c>
      <c r="H24" s="23">
        <f>I24/8</f>
        <v>0</v>
      </c>
      <c r="I24" s="98">
        <v>0</v>
      </c>
      <c r="J24" s="23">
        <f>K24/8</f>
        <v>0</v>
      </c>
      <c r="K24" s="98">
        <v>0</v>
      </c>
      <c r="L24" s="23">
        <f>M24/8</f>
        <v>0</v>
      </c>
      <c r="M24" s="109">
        <v>0</v>
      </c>
      <c r="N24" s="105"/>
      <c r="O24" s="25"/>
      <c r="P24" s="24">
        <v>2</v>
      </c>
      <c r="Q24" s="37">
        <v>9</v>
      </c>
      <c r="R24" s="24"/>
      <c r="S24" s="37"/>
    </row>
    <row r="25" spans="1:19" x14ac:dyDescent="0.25">
      <c r="A25" s="127">
        <v>46225</v>
      </c>
      <c r="B25" s="35">
        <f>C25/8</f>
        <v>5.86</v>
      </c>
      <c r="C25" s="27">
        <v>46.88</v>
      </c>
      <c r="D25" s="35">
        <f>E25/8</f>
        <v>8.7899999999999991</v>
      </c>
      <c r="E25" s="27">
        <v>70.319999999999993</v>
      </c>
      <c r="F25" s="23">
        <f>G25/8</f>
        <v>0</v>
      </c>
      <c r="G25" s="98">
        <v>0</v>
      </c>
      <c r="H25" s="23">
        <f>I25/8</f>
        <v>0</v>
      </c>
      <c r="I25" s="98">
        <v>0</v>
      </c>
      <c r="J25" s="23">
        <f>K25/8</f>
        <v>0</v>
      </c>
      <c r="K25" s="98">
        <v>0</v>
      </c>
      <c r="L25" s="23">
        <f>M25/8</f>
        <v>0</v>
      </c>
      <c r="M25" s="109">
        <v>0</v>
      </c>
      <c r="N25" s="105"/>
      <c r="O25" s="25"/>
      <c r="P25" s="24">
        <v>2</v>
      </c>
      <c r="Q25" s="37">
        <v>9</v>
      </c>
      <c r="R25" s="24"/>
      <c r="S25" s="37"/>
    </row>
    <row r="26" spans="1:19" x14ac:dyDescent="0.25">
      <c r="A26" s="127">
        <v>46226</v>
      </c>
      <c r="B26" s="35">
        <f>C26/8</f>
        <v>5.85</v>
      </c>
      <c r="C26" s="27">
        <v>46.8</v>
      </c>
      <c r="D26" s="35">
        <f>E26/8</f>
        <v>8.7750000000000004</v>
      </c>
      <c r="E26" s="27">
        <v>70.2</v>
      </c>
      <c r="F26" s="23">
        <f>G26/8</f>
        <v>0</v>
      </c>
      <c r="G26" s="98">
        <v>0</v>
      </c>
      <c r="H26" s="23">
        <f>I26/8</f>
        <v>0</v>
      </c>
      <c r="I26" s="98">
        <v>0</v>
      </c>
      <c r="J26" s="23">
        <f>K26/8</f>
        <v>0</v>
      </c>
      <c r="K26" s="98">
        <v>0</v>
      </c>
      <c r="L26" s="23">
        <f>M26/8</f>
        <v>0</v>
      </c>
      <c r="M26" s="109">
        <v>0</v>
      </c>
      <c r="N26" s="105"/>
      <c r="O26" s="25"/>
      <c r="P26" s="24">
        <v>2</v>
      </c>
      <c r="Q26" s="37">
        <v>9</v>
      </c>
      <c r="R26" s="24"/>
      <c r="S26" s="37"/>
    </row>
    <row r="27" spans="1:19" x14ac:dyDescent="0.25">
      <c r="A27" s="127">
        <v>46227</v>
      </c>
      <c r="B27" s="35">
        <f>C27/8</f>
        <v>7.0562500000000004</v>
      </c>
      <c r="C27" s="27">
        <v>56.45</v>
      </c>
      <c r="D27" s="35">
        <f>E27/8</f>
        <v>7.0562500000000004</v>
      </c>
      <c r="E27" s="27">
        <v>56.45</v>
      </c>
      <c r="F27" s="23">
        <f>G27/8</f>
        <v>0</v>
      </c>
      <c r="G27" s="98">
        <v>0</v>
      </c>
      <c r="H27" s="23">
        <f>I27/8</f>
        <v>0</v>
      </c>
      <c r="I27" s="98">
        <v>0</v>
      </c>
      <c r="J27" s="23">
        <f>K27/8</f>
        <v>0</v>
      </c>
      <c r="K27" s="98">
        <v>0</v>
      </c>
      <c r="L27" s="23">
        <f>M27/8</f>
        <v>0</v>
      </c>
      <c r="M27" s="109">
        <v>0</v>
      </c>
      <c r="N27" s="105"/>
      <c r="O27" s="25"/>
      <c r="P27" s="24">
        <v>2</v>
      </c>
      <c r="Q27" s="37">
        <v>8</v>
      </c>
      <c r="R27" s="24"/>
      <c r="S27" s="37"/>
    </row>
    <row r="28" spans="1:19" x14ac:dyDescent="0.25">
      <c r="A28" s="127">
        <v>46228</v>
      </c>
      <c r="B28" s="114"/>
      <c r="C28" s="115"/>
      <c r="D28" s="114"/>
      <c r="E28" s="115"/>
      <c r="F28" s="116"/>
      <c r="G28" s="115"/>
      <c r="H28" s="116"/>
      <c r="I28" s="115"/>
      <c r="J28" s="116"/>
      <c r="K28" s="115"/>
      <c r="L28" s="116"/>
      <c r="M28" s="117"/>
      <c r="N28" s="118"/>
      <c r="O28" s="119"/>
      <c r="P28" s="120"/>
      <c r="Q28" s="121"/>
      <c r="R28" s="120"/>
      <c r="S28" s="121"/>
    </row>
    <row r="29" spans="1:19" x14ac:dyDescent="0.25">
      <c r="A29" s="127">
        <v>46229</v>
      </c>
      <c r="B29" s="114"/>
      <c r="C29" s="115"/>
      <c r="D29" s="114"/>
      <c r="E29" s="115"/>
      <c r="F29" s="116"/>
      <c r="G29" s="115"/>
      <c r="H29" s="116"/>
      <c r="I29" s="115"/>
      <c r="J29" s="116"/>
      <c r="K29" s="115"/>
      <c r="L29" s="116"/>
      <c r="M29" s="117"/>
      <c r="N29" s="118"/>
      <c r="O29" s="119"/>
      <c r="P29" s="120"/>
      <c r="Q29" s="121"/>
      <c r="R29" s="120"/>
      <c r="S29" s="121"/>
    </row>
    <row r="30" spans="1:19" x14ac:dyDescent="0.25">
      <c r="A30" s="127">
        <v>46230</v>
      </c>
      <c r="B30" s="35">
        <f>C30/8</f>
        <v>7.8875000000000002</v>
      </c>
      <c r="C30" s="27">
        <v>63.1</v>
      </c>
      <c r="D30" s="35">
        <f>E30/8</f>
        <v>7.8875000000000002</v>
      </c>
      <c r="E30" s="87">
        <v>63.1</v>
      </c>
      <c r="F30" s="23">
        <f>G30/8</f>
        <v>0</v>
      </c>
      <c r="G30" s="98">
        <v>0</v>
      </c>
      <c r="H30" s="23">
        <f>I30/8</f>
        <v>0</v>
      </c>
      <c r="I30" s="98">
        <v>0</v>
      </c>
      <c r="J30" s="23">
        <f>K30/8</f>
        <v>0</v>
      </c>
      <c r="K30" s="98">
        <v>0</v>
      </c>
      <c r="L30" s="23">
        <f>M30/8</f>
        <v>0</v>
      </c>
      <c r="M30" s="109">
        <v>0</v>
      </c>
      <c r="N30" s="105"/>
      <c r="O30" s="25"/>
      <c r="P30" s="24">
        <v>2</v>
      </c>
      <c r="Q30" s="37">
        <v>9</v>
      </c>
      <c r="R30" s="24"/>
      <c r="S30" s="37"/>
    </row>
    <row r="31" spans="1:19" x14ac:dyDescent="0.25">
      <c r="A31" s="127">
        <v>46231</v>
      </c>
      <c r="B31" s="35">
        <f>C31/8</f>
        <v>6.2350000000000003</v>
      </c>
      <c r="C31" s="27">
        <v>49.88</v>
      </c>
      <c r="D31" s="35">
        <f>E31/8</f>
        <v>9.3524999999999991</v>
      </c>
      <c r="E31" s="27">
        <v>74.819999999999993</v>
      </c>
      <c r="F31" s="23">
        <f>G31/8</f>
        <v>0</v>
      </c>
      <c r="G31" s="98">
        <v>0</v>
      </c>
      <c r="H31" s="23">
        <f>I31/8</f>
        <v>0</v>
      </c>
      <c r="I31" s="98">
        <v>0</v>
      </c>
      <c r="J31" s="23">
        <f>K31/8</f>
        <v>0</v>
      </c>
      <c r="K31" s="98">
        <v>0</v>
      </c>
      <c r="L31" s="23">
        <f>M31/8</f>
        <v>0</v>
      </c>
      <c r="M31" s="109">
        <v>0</v>
      </c>
      <c r="N31" s="105"/>
      <c r="O31" s="25"/>
      <c r="P31" s="24">
        <v>2</v>
      </c>
      <c r="Q31" s="37">
        <v>9</v>
      </c>
      <c r="R31" s="24"/>
      <c r="S31" s="37"/>
    </row>
    <row r="32" spans="1:19" x14ac:dyDescent="0.25">
      <c r="A32" s="127">
        <v>46232</v>
      </c>
      <c r="B32" s="35">
        <f>C32/8</f>
        <v>4.4024999999999999</v>
      </c>
      <c r="C32" s="27">
        <v>35.22</v>
      </c>
      <c r="D32" s="35">
        <f>E32/8</f>
        <v>10.272500000000001</v>
      </c>
      <c r="E32" s="27">
        <v>82.18</v>
      </c>
      <c r="F32" s="23">
        <f>G32/8</f>
        <v>0</v>
      </c>
      <c r="G32" s="98">
        <v>0</v>
      </c>
      <c r="H32" s="23">
        <f>I32/8</f>
        <v>0</v>
      </c>
      <c r="I32" s="98">
        <v>0</v>
      </c>
      <c r="J32" s="23">
        <f>K32/8</f>
        <v>0</v>
      </c>
      <c r="K32" s="98">
        <v>0</v>
      </c>
      <c r="L32" s="23">
        <f>M32/8</f>
        <v>0</v>
      </c>
      <c r="M32" s="109">
        <v>0</v>
      </c>
      <c r="N32" s="105"/>
      <c r="O32" s="25"/>
      <c r="P32" s="24">
        <v>2</v>
      </c>
      <c r="Q32" s="37">
        <v>9</v>
      </c>
      <c r="R32" s="24"/>
      <c r="S32" s="37"/>
    </row>
    <row r="33" spans="1:19" x14ac:dyDescent="0.25">
      <c r="A33" s="127">
        <v>46233</v>
      </c>
      <c r="B33" s="35">
        <f>C33/8</f>
        <v>5.8550000000000004</v>
      </c>
      <c r="C33" s="27">
        <v>46.84</v>
      </c>
      <c r="D33" s="35">
        <f>E33/8</f>
        <v>8.7825000000000006</v>
      </c>
      <c r="E33" s="27">
        <v>70.260000000000005</v>
      </c>
      <c r="F33" s="23">
        <f>G33/8</f>
        <v>0</v>
      </c>
      <c r="G33" s="98">
        <v>0</v>
      </c>
      <c r="H33" s="23">
        <f>I33/8</f>
        <v>0</v>
      </c>
      <c r="I33" s="98">
        <v>0</v>
      </c>
      <c r="J33" s="23">
        <f>K33/8</f>
        <v>0</v>
      </c>
      <c r="K33" s="98">
        <v>0</v>
      </c>
      <c r="L33" s="23">
        <f>M33/8</f>
        <v>0</v>
      </c>
      <c r="M33" s="109">
        <v>0</v>
      </c>
      <c r="N33" s="105"/>
      <c r="O33" s="25"/>
      <c r="P33" s="24">
        <v>2</v>
      </c>
      <c r="Q33" s="37">
        <v>9</v>
      </c>
      <c r="R33" s="24"/>
      <c r="S33" s="37"/>
    </row>
    <row r="34" spans="1:19" ht="15.75" thickBot="1" x14ac:dyDescent="0.3">
      <c r="A34" s="127">
        <v>46234</v>
      </c>
      <c r="B34" s="35">
        <f>C34/8</f>
        <v>6.9937500000000004</v>
      </c>
      <c r="C34" s="27">
        <v>55.95</v>
      </c>
      <c r="D34" s="35">
        <f>E34/8</f>
        <v>6.9937500000000004</v>
      </c>
      <c r="E34" s="27">
        <v>55.95</v>
      </c>
      <c r="F34" s="23">
        <f>G34/8</f>
        <v>0</v>
      </c>
      <c r="G34" s="98">
        <v>0</v>
      </c>
      <c r="H34" s="23">
        <f>I34/8</f>
        <v>0</v>
      </c>
      <c r="I34" s="98">
        <v>0</v>
      </c>
      <c r="J34" s="23">
        <f>K34/8</f>
        <v>0</v>
      </c>
      <c r="K34" s="98">
        <v>0</v>
      </c>
      <c r="L34" s="23">
        <f>M34/8</f>
        <v>0</v>
      </c>
      <c r="M34" s="109">
        <v>0</v>
      </c>
      <c r="N34" s="105"/>
      <c r="O34" s="25"/>
      <c r="P34" s="24">
        <v>2</v>
      </c>
      <c r="Q34" s="37">
        <v>8</v>
      </c>
      <c r="R34" s="24"/>
      <c r="S34" s="37"/>
    </row>
    <row r="35" spans="1:19" ht="15.75" thickBot="1" x14ac:dyDescent="0.3">
      <c r="A35" s="58" t="s">
        <v>20</v>
      </c>
      <c r="B35" s="59">
        <f>AVERAGE(B4:B34)</f>
        <v>6.8269318181818193</v>
      </c>
      <c r="C35" s="60">
        <f>SUM(C4:C34)</f>
        <v>1201.5400000000002</v>
      </c>
      <c r="D35" s="59">
        <f>AVERAGE(D4:D34)</f>
        <v>7.7690909090909095</v>
      </c>
      <c r="E35" s="61">
        <f>SUM(E4:E34)</f>
        <v>1367.3600000000001</v>
      </c>
      <c r="F35" s="59">
        <f>AVERAGE(F4:F34)</f>
        <v>0</v>
      </c>
      <c r="G35" s="61">
        <f>SUM(G4:G34)</f>
        <v>0</v>
      </c>
      <c r="H35" s="59">
        <f>AVERAGE(H4:H34)</f>
        <v>0</v>
      </c>
      <c r="I35" s="61">
        <f>SUM(I4:I34)</f>
        <v>0</v>
      </c>
      <c r="J35" s="59">
        <f>AVERAGE(J4:J34)</f>
        <v>0</v>
      </c>
      <c r="K35" s="61">
        <f>SUM(K4:K34)</f>
        <v>0</v>
      </c>
      <c r="L35" s="59">
        <f>AVERAGE(L4:L34)</f>
        <v>0</v>
      </c>
      <c r="M35" s="61">
        <f>SUM(M4:M34)</f>
        <v>0</v>
      </c>
      <c r="N35" s="64">
        <f>IFERROR(AVERAGE(N4:N15),0)</f>
        <v>0</v>
      </c>
      <c r="O35" s="65">
        <f>C35+I35+E35+G35+K35+M35</f>
        <v>2568.9000000000005</v>
      </c>
      <c r="P35" s="155">
        <f>IFERROR(AVERAGE(P4:P34),0)</f>
        <v>2</v>
      </c>
      <c r="Q35" s="154">
        <f>SUM(Q4:Q34)</f>
        <v>193</v>
      </c>
      <c r="R35" s="66">
        <f>IFERROR(AVERAGE(R4:R15),0)</f>
        <v>0</v>
      </c>
      <c r="S35" s="17">
        <f>SUM(S4:S15)</f>
        <v>0</v>
      </c>
    </row>
    <row r="36" spans="1:19" x14ac:dyDescent="0.25">
      <c r="G36" s="67"/>
      <c r="I36" s="68"/>
      <c r="O36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36"/>
  <sheetViews>
    <sheetView showGridLines="0" zoomScale="85" zoomScaleNormal="85" workbookViewId="0">
      <pane ySplit="3" topLeftCell="A4" activePane="bottomLeft" state="frozen"/>
      <selection pane="bottomLeft" activeCell="E35" sqref="E35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2026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ht="15" customHeight="1" x14ac:dyDescent="0.25">
      <c r="A4" s="127">
        <v>46235</v>
      </c>
      <c r="B4" s="114"/>
      <c r="C4" s="115"/>
      <c r="D4" s="114"/>
      <c r="E4" s="115"/>
      <c r="F4" s="116"/>
      <c r="G4" s="115"/>
      <c r="H4" s="116"/>
      <c r="I4" s="115"/>
      <c r="J4" s="116"/>
      <c r="K4" s="115"/>
      <c r="L4" s="116"/>
      <c r="M4" s="117"/>
      <c r="N4" s="118"/>
      <c r="O4" s="119"/>
      <c r="P4" s="120"/>
      <c r="Q4" s="121"/>
      <c r="R4" s="120"/>
      <c r="S4" s="121"/>
    </row>
    <row r="5" spans="1:19" x14ac:dyDescent="0.25">
      <c r="A5" s="127">
        <v>46236</v>
      </c>
      <c r="B5" s="114"/>
      <c r="C5" s="115"/>
      <c r="D5" s="114"/>
      <c r="E5" s="115"/>
      <c r="F5" s="116"/>
      <c r="G5" s="115"/>
      <c r="H5" s="116"/>
      <c r="I5" s="115"/>
      <c r="J5" s="116"/>
      <c r="K5" s="115"/>
      <c r="L5" s="116"/>
      <c r="M5" s="117"/>
      <c r="N5" s="118"/>
      <c r="O5" s="119"/>
      <c r="P5" s="120"/>
      <c r="Q5" s="121"/>
      <c r="R5" s="120"/>
      <c r="S5" s="121"/>
    </row>
    <row r="6" spans="1:19" x14ac:dyDescent="0.25">
      <c r="A6" s="127">
        <v>46237</v>
      </c>
      <c r="B6" s="35">
        <f t="shared" ref="B6:B10" si="0">C6/8</f>
        <v>4.375</v>
      </c>
      <c r="C6" s="27">
        <v>35</v>
      </c>
      <c r="D6" s="35">
        <f t="shared" ref="D6:D10" si="1">E6/8</f>
        <v>10.237500000000001</v>
      </c>
      <c r="E6" s="27">
        <v>81.900000000000006</v>
      </c>
      <c r="F6" s="23">
        <f t="shared" ref="F6:L10" si="2">G6/8</f>
        <v>0</v>
      </c>
      <c r="G6" s="98">
        <v>0</v>
      </c>
      <c r="H6" s="23">
        <f t="shared" si="2"/>
        <v>0</v>
      </c>
      <c r="I6" s="98">
        <v>0</v>
      </c>
      <c r="J6" s="23">
        <f t="shared" si="2"/>
        <v>0</v>
      </c>
      <c r="K6" s="98">
        <v>0</v>
      </c>
      <c r="L6" s="23">
        <f t="shared" si="2"/>
        <v>0</v>
      </c>
      <c r="M6" s="109">
        <v>0</v>
      </c>
      <c r="N6" s="105"/>
      <c r="O6" s="25"/>
      <c r="P6" s="24">
        <v>1</v>
      </c>
      <c r="Q6" s="37">
        <v>9</v>
      </c>
      <c r="R6" s="24"/>
      <c r="S6" s="37"/>
    </row>
    <row r="7" spans="1:19" x14ac:dyDescent="0.25">
      <c r="A7" s="127">
        <v>46238</v>
      </c>
      <c r="B7" s="35">
        <f t="shared" si="0"/>
        <v>6.75</v>
      </c>
      <c r="C7" s="27">
        <v>54</v>
      </c>
      <c r="D7" s="35">
        <f t="shared" si="1"/>
        <v>6.75</v>
      </c>
      <c r="E7" s="87">
        <v>54</v>
      </c>
      <c r="F7" s="23">
        <f t="shared" si="2"/>
        <v>0</v>
      </c>
      <c r="G7" s="98">
        <v>0</v>
      </c>
      <c r="H7" s="23">
        <f t="shared" si="2"/>
        <v>0</v>
      </c>
      <c r="I7" s="98">
        <v>0</v>
      </c>
      <c r="J7" s="23">
        <f t="shared" si="2"/>
        <v>0</v>
      </c>
      <c r="K7" s="98">
        <v>0</v>
      </c>
      <c r="L7" s="23">
        <f t="shared" si="2"/>
        <v>0</v>
      </c>
      <c r="M7" s="109">
        <v>0</v>
      </c>
      <c r="N7" s="105"/>
      <c r="O7" s="25"/>
      <c r="P7" s="24">
        <v>1</v>
      </c>
      <c r="Q7" s="37">
        <v>9</v>
      </c>
      <c r="R7" s="24"/>
      <c r="S7" s="37"/>
    </row>
    <row r="8" spans="1:19" x14ac:dyDescent="0.25">
      <c r="A8" s="127">
        <v>46239</v>
      </c>
      <c r="B8" s="35">
        <f t="shared" si="0"/>
        <v>6.2125000000000004</v>
      </c>
      <c r="C8" s="27">
        <v>49.7</v>
      </c>
      <c r="D8" s="35">
        <f t="shared" si="1"/>
        <v>6.2125000000000004</v>
      </c>
      <c r="E8" s="87">
        <v>49.7</v>
      </c>
      <c r="F8" s="23">
        <f t="shared" si="2"/>
        <v>0</v>
      </c>
      <c r="G8" s="98">
        <v>0</v>
      </c>
      <c r="H8" s="23">
        <f t="shared" si="2"/>
        <v>0</v>
      </c>
      <c r="I8" s="98">
        <v>0</v>
      </c>
      <c r="J8" s="23">
        <f t="shared" si="2"/>
        <v>0</v>
      </c>
      <c r="K8" s="98">
        <v>0</v>
      </c>
      <c r="L8" s="23">
        <f t="shared" si="2"/>
        <v>0</v>
      </c>
      <c r="M8" s="109">
        <v>0</v>
      </c>
      <c r="N8" s="105"/>
      <c r="O8" s="25"/>
      <c r="P8" s="24">
        <v>1</v>
      </c>
      <c r="Q8" s="37">
        <v>9</v>
      </c>
      <c r="R8" s="24"/>
      <c r="S8" s="37"/>
    </row>
    <row r="9" spans="1:19" x14ac:dyDescent="0.25">
      <c r="A9" s="127">
        <v>46240</v>
      </c>
      <c r="B9" s="35">
        <f t="shared" si="0"/>
        <v>5.4</v>
      </c>
      <c r="C9" s="27">
        <v>43.2</v>
      </c>
      <c r="D9" s="35">
        <f t="shared" si="1"/>
        <v>8.1</v>
      </c>
      <c r="E9" s="87">
        <v>64.8</v>
      </c>
      <c r="F9" s="23">
        <f t="shared" si="2"/>
        <v>0</v>
      </c>
      <c r="G9" s="98">
        <v>0</v>
      </c>
      <c r="H9" s="23">
        <f t="shared" si="2"/>
        <v>0</v>
      </c>
      <c r="I9" s="98">
        <v>0</v>
      </c>
      <c r="J9" s="23">
        <f t="shared" si="2"/>
        <v>0</v>
      </c>
      <c r="K9" s="98">
        <v>0</v>
      </c>
      <c r="L9" s="23">
        <f t="shared" si="2"/>
        <v>0</v>
      </c>
      <c r="M9" s="109">
        <v>0</v>
      </c>
      <c r="N9" s="105"/>
      <c r="O9" s="25"/>
      <c r="P9" s="24">
        <v>1</v>
      </c>
      <c r="Q9" s="37">
        <v>9</v>
      </c>
      <c r="R9" s="24"/>
      <c r="S9" s="37"/>
    </row>
    <row r="10" spans="1:19" x14ac:dyDescent="0.25">
      <c r="A10" s="127">
        <v>46241</v>
      </c>
      <c r="B10" s="35">
        <f t="shared" si="0"/>
        <v>4.42</v>
      </c>
      <c r="C10" s="27">
        <v>35.36</v>
      </c>
      <c r="D10" s="35">
        <f t="shared" si="1"/>
        <v>6.63</v>
      </c>
      <c r="E10" s="87">
        <v>53.04</v>
      </c>
      <c r="F10" s="23">
        <f t="shared" si="2"/>
        <v>0</v>
      </c>
      <c r="G10" s="98">
        <v>0</v>
      </c>
      <c r="H10" s="23">
        <f t="shared" si="2"/>
        <v>0</v>
      </c>
      <c r="I10" s="98">
        <v>0</v>
      </c>
      <c r="J10" s="23">
        <f t="shared" si="2"/>
        <v>0</v>
      </c>
      <c r="K10" s="98">
        <v>0</v>
      </c>
      <c r="L10" s="23">
        <f t="shared" si="2"/>
        <v>0</v>
      </c>
      <c r="M10" s="109">
        <v>0</v>
      </c>
      <c r="N10" s="105"/>
      <c r="O10" s="25"/>
      <c r="P10" s="24">
        <v>1</v>
      </c>
      <c r="Q10" s="37">
        <v>8</v>
      </c>
      <c r="R10" s="24"/>
      <c r="S10" s="37"/>
    </row>
    <row r="11" spans="1:19" x14ac:dyDescent="0.25">
      <c r="A11" s="127">
        <v>46242</v>
      </c>
      <c r="B11" s="114"/>
      <c r="C11" s="115"/>
      <c r="D11" s="114"/>
      <c r="E11" s="115"/>
      <c r="F11" s="116"/>
      <c r="G11" s="115"/>
      <c r="H11" s="116"/>
      <c r="I11" s="115"/>
      <c r="J11" s="116"/>
      <c r="K11" s="115"/>
      <c r="L11" s="116"/>
      <c r="M11" s="117"/>
      <c r="N11" s="118"/>
      <c r="O11" s="119"/>
      <c r="P11" s="120"/>
      <c r="Q11" s="121"/>
      <c r="R11" s="120"/>
      <c r="S11" s="121"/>
    </row>
    <row r="12" spans="1:19" x14ac:dyDescent="0.25">
      <c r="A12" s="127">
        <v>46243</v>
      </c>
      <c r="B12" s="114"/>
      <c r="C12" s="115"/>
      <c r="D12" s="114"/>
      <c r="E12" s="115"/>
      <c r="F12" s="116"/>
      <c r="G12" s="115"/>
      <c r="H12" s="116"/>
      <c r="I12" s="115"/>
      <c r="J12" s="116"/>
      <c r="K12" s="115"/>
      <c r="L12" s="116"/>
      <c r="M12" s="117"/>
      <c r="N12" s="118"/>
      <c r="O12" s="119"/>
      <c r="P12" s="120"/>
      <c r="Q12" s="121"/>
      <c r="R12" s="120"/>
      <c r="S12" s="121"/>
    </row>
    <row r="13" spans="1:19" x14ac:dyDescent="0.25">
      <c r="A13" s="127">
        <v>46244</v>
      </c>
      <c r="B13" s="35">
        <f t="shared" ref="B13:B17" si="3">C13/8</f>
        <v>7.3187499999999996</v>
      </c>
      <c r="C13" s="27">
        <v>58.55</v>
      </c>
      <c r="D13" s="35">
        <f t="shared" ref="D13:D17" si="4">E13/8</f>
        <v>7.3224999999999998</v>
      </c>
      <c r="E13" s="87">
        <v>58.58</v>
      </c>
      <c r="F13" s="23">
        <f t="shared" ref="F13:F17" si="5">G13/8</f>
        <v>0</v>
      </c>
      <c r="G13" s="98">
        <v>0</v>
      </c>
      <c r="H13" s="23">
        <f t="shared" ref="H13:H17" si="6">I13/8</f>
        <v>0</v>
      </c>
      <c r="I13" s="98">
        <v>0</v>
      </c>
      <c r="J13" s="23">
        <f t="shared" ref="J13:J17" si="7">K13/8</f>
        <v>0</v>
      </c>
      <c r="K13" s="98">
        <v>0</v>
      </c>
      <c r="L13" s="23">
        <f t="shared" ref="L13:L17" si="8">M13/8</f>
        <v>0</v>
      </c>
      <c r="M13" s="109">
        <v>0</v>
      </c>
      <c r="N13" s="105"/>
      <c r="O13" s="25"/>
      <c r="P13" s="24">
        <v>1</v>
      </c>
      <c r="Q13" s="37">
        <v>9</v>
      </c>
      <c r="R13" s="24"/>
      <c r="S13" s="37"/>
    </row>
    <row r="14" spans="1:19" x14ac:dyDescent="0.25">
      <c r="A14" s="127">
        <v>46245</v>
      </c>
      <c r="B14" s="35">
        <f t="shared" si="3"/>
        <v>5.8650000000000002</v>
      </c>
      <c r="C14" s="27">
        <v>46.92</v>
      </c>
      <c r="D14" s="35">
        <f t="shared" si="4"/>
        <v>8.7974999999999994</v>
      </c>
      <c r="E14" s="87">
        <v>70.38</v>
      </c>
      <c r="F14" s="23">
        <f t="shared" si="5"/>
        <v>0</v>
      </c>
      <c r="G14" s="98">
        <v>0</v>
      </c>
      <c r="H14" s="23">
        <f t="shared" si="6"/>
        <v>0</v>
      </c>
      <c r="I14" s="98">
        <v>0</v>
      </c>
      <c r="J14" s="23">
        <f t="shared" si="7"/>
        <v>0</v>
      </c>
      <c r="K14" s="98">
        <v>0</v>
      </c>
      <c r="L14" s="23">
        <f t="shared" si="8"/>
        <v>0</v>
      </c>
      <c r="M14" s="109">
        <v>0</v>
      </c>
      <c r="N14" s="105"/>
      <c r="O14" s="25"/>
      <c r="P14" s="24">
        <v>1</v>
      </c>
      <c r="Q14" s="37">
        <v>9</v>
      </c>
      <c r="R14" s="24"/>
      <c r="S14" s="37"/>
    </row>
    <row r="15" spans="1:19" x14ac:dyDescent="0.25">
      <c r="A15" s="127">
        <v>46246</v>
      </c>
      <c r="B15" s="35">
        <f t="shared" si="3"/>
        <v>7.2687499999999998</v>
      </c>
      <c r="C15" s="27">
        <v>58.15</v>
      </c>
      <c r="D15" s="35">
        <f t="shared" si="4"/>
        <v>7.2687499999999998</v>
      </c>
      <c r="E15" s="27">
        <v>58.15</v>
      </c>
      <c r="F15" s="23">
        <f t="shared" si="5"/>
        <v>0</v>
      </c>
      <c r="G15" s="98">
        <v>0</v>
      </c>
      <c r="H15" s="23">
        <f t="shared" si="6"/>
        <v>0</v>
      </c>
      <c r="I15" s="98">
        <v>0</v>
      </c>
      <c r="J15" s="23">
        <f t="shared" si="7"/>
        <v>0</v>
      </c>
      <c r="K15" s="98">
        <v>0</v>
      </c>
      <c r="L15" s="23">
        <f t="shared" si="8"/>
        <v>0</v>
      </c>
      <c r="M15" s="109">
        <v>0</v>
      </c>
      <c r="N15" s="105"/>
      <c r="O15" s="25"/>
      <c r="P15" s="24">
        <v>1</v>
      </c>
      <c r="Q15" s="37">
        <v>9</v>
      </c>
      <c r="R15" s="24"/>
      <c r="S15" s="37"/>
    </row>
    <row r="16" spans="1:19" x14ac:dyDescent="0.25">
      <c r="A16" s="127">
        <v>46247</v>
      </c>
      <c r="B16" s="35">
        <f t="shared" si="3"/>
        <v>4.3912500000000003</v>
      </c>
      <c r="C16" s="27">
        <v>35.130000000000003</v>
      </c>
      <c r="D16" s="35">
        <f t="shared" si="4"/>
        <v>10.24625</v>
      </c>
      <c r="E16" s="27">
        <v>81.97</v>
      </c>
      <c r="F16" s="23">
        <f t="shared" si="5"/>
        <v>0</v>
      </c>
      <c r="G16" s="98">
        <v>0</v>
      </c>
      <c r="H16" s="23">
        <f t="shared" si="6"/>
        <v>0</v>
      </c>
      <c r="I16" s="98">
        <v>0</v>
      </c>
      <c r="J16" s="23">
        <f t="shared" si="7"/>
        <v>0</v>
      </c>
      <c r="K16" s="98">
        <v>0</v>
      </c>
      <c r="L16" s="23">
        <f t="shared" si="8"/>
        <v>0</v>
      </c>
      <c r="M16" s="109">
        <v>0</v>
      </c>
      <c r="N16" s="105"/>
      <c r="O16" s="25"/>
      <c r="P16" s="24">
        <v>1</v>
      </c>
      <c r="Q16" s="37">
        <v>9</v>
      </c>
      <c r="R16" s="24"/>
      <c r="S16" s="37"/>
    </row>
    <row r="17" spans="1:19" x14ac:dyDescent="0.25">
      <c r="A17" s="127">
        <v>46248</v>
      </c>
      <c r="B17" s="35">
        <f t="shared" si="3"/>
        <v>7.7549999999999999</v>
      </c>
      <c r="C17" s="27">
        <v>62.04</v>
      </c>
      <c r="D17" s="35">
        <f t="shared" si="4"/>
        <v>5.17</v>
      </c>
      <c r="E17" s="87">
        <v>41.36</v>
      </c>
      <c r="F17" s="23">
        <f t="shared" si="5"/>
        <v>0</v>
      </c>
      <c r="G17" s="98">
        <v>0</v>
      </c>
      <c r="H17" s="23">
        <f t="shared" si="6"/>
        <v>0</v>
      </c>
      <c r="I17" s="98">
        <v>0</v>
      </c>
      <c r="J17" s="23">
        <f t="shared" si="7"/>
        <v>0</v>
      </c>
      <c r="K17" s="98">
        <v>0</v>
      </c>
      <c r="L17" s="23">
        <f t="shared" si="8"/>
        <v>0</v>
      </c>
      <c r="M17" s="109">
        <v>0</v>
      </c>
      <c r="N17" s="105"/>
      <c r="O17" s="25"/>
      <c r="P17" s="24">
        <v>1</v>
      </c>
      <c r="Q17" s="37">
        <v>8</v>
      </c>
      <c r="R17" s="24"/>
      <c r="S17" s="37"/>
    </row>
    <row r="18" spans="1:19" x14ac:dyDescent="0.25">
      <c r="A18" s="127">
        <v>46249</v>
      </c>
      <c r="B18" s="114"/>
      <c r="C18" s="115"/>
      <c r="D18" s="114"/>
      <c r="E18" s="115"/>
      <c r="F18" s="116"/>
      <c r="G18" s="115"/>
      <c r="H18" s="116"/>
      <c r="I18" s="115"/>
      <c r="J18" s="116"/>
      <c r="K18" s="115"/>
      <c r="L18" s="116"/>
      <c r="M18" s="117"/>
      <c r="N18" s="118"/>
      <c r="O18" s="119"/>
      <c r="P18" s="120"/>
      <c r="Q18" s="121"/>
      <c r="R18" s="120"/>
      <c r="S18" s="121"/>
    </row>
    <row r="19" spans="1:19" x14ac:dyDescent="0.25">
      <c r="A19" s="127">
        <v>46250</v>
      </c>
      <c r="B19" s="114"/>
      <c r="C19" s="115"/>
      <c r="D19" s="114"/>
      <c r="E19" s="115"/>
      <c r="F19" s="116"/>
      <c r="G19" s="115"/>
      <c r="H19" s="116"/>
      <c r="I19" s="115"/>
      <c r="J19" s="116"/>
      <c r="K19" s="115"/>
      <c r="L19" s="116"/>
      <c r="M19" s="117"/>
      <c r="N19" s="118"/>
      <c r="O19" s="119"/>
      <c r="P19" s="120"/>
      <c r="Q19" s="121"/>
      <c r="R19" s="120"/>
      <c r="S19" s="121"/>
    </row>
    <row r="20" spans="1:19" x14ac:dyDescent="0.25">
      <c r="A20" s="127">
        <v>46251</v>
      </c>
      <c r="B20" s="35">
        <f>C20/8</f>
        <v>7.8587499999999997</v>
      </c>
      <c r="C20" s="27">
        <v>62.87</v>
      </c>
      <c r="D20" s="35">
        <f>E20/8</f>
        <v>7.8587499999999997</v>
      </c>
      <c r="E20" s="27">
        <v>62.87</v>
      </c>
      <c r="F20" s="23">
        <f>G20/8</f>
        <v>0</v>
      </c>
      <c r="G20" s="98">
        <v>0</v>
      </c>
      <c r="H20" s="23">
        <f>I20/8</f>
        <v>0</v>
      </c>
      <c r="I20" s="98">
        <v>0</v>
      </c>
      <c r="J20" s="23">
        <f>K20/8</f>
        <v>0</v>
      </c>
      <c r="K20" s="98">
        <v>0</v>
      </c>
      <c r="L20" s="23">
        <f>M20/8</f>
        <v>0</v>
      </c>
      <c r="M20" s="109">
        <v>0</v>
      </c>
      <c r="N20" s="105"/>
      <c r="O20" s="25"/>
      <c r="P20" s="24">
        <v>1</v>
      </c>
      <c r="Q20" s="37">
        <v>9</v>
      </c>
      <c r="R20" s="24"/>
      <c r="S20" s="37"/>
    </row>
    <row r="21" spans="1:19" x14ac:dyDescent="0.25">
      <c r="A21" s="127">
        <v>46252</v>
      </c>
      <c r="B21" s="35">
        <f>C21/8</f>
        <v>7.7125000000000004</v>
      </c>
      <c r="C21" s="27">
        <v>61.7</v>
      </c>
      <c r="D21" s="35">
        <f>E21/8</f>
        <v>7.7125000000000004</v>
      </c>
      <c r="E21" s="27">
        <v>61.7</v>
      </c>
      <c r="F21" s="23">
        <f>G21/8</f>
        <v>0</v>
      </c>
      <c r="G21" s="98">
        <v>0</v>
      </c>
      <c r="H21" s="23">
        <f>I21/8</f>
        <v>0</v>
      </c>
      <c r="I21" s="98">
        <v>0</v>
      </c>
      <c r="J21" s="23">
        <f>K21/8</f>
        <v>0</v>
      </c>
      <c r="K21" s="98">
        <v>0</v>
      </c>
      <c r="L21" s="23">
        <f>M21/8</f>
        <v>0</v>
      </c>
      <c r="M21" s="109">
        <v>0</v>
      </c>
      <c r="N21" s="105"/>
      <c r="O21" s="25"/>
      <c r="P21" s="24">
        <v>1</v>
      </c>
      <c r="Q21" s="37">
        <v>9</v>
      </c>
      <c r="R21" s="24"/>
      <c r="S21" s="37"/>
    </row>
    <row r="22" spans="1:19" x14ac:dyDescent="0.25">
      <c r="A22" s="127">
        <v>46253</v>
      </c>
      <c r="B22" s="35">
        <f>C22/8</f>
        <v>6.7750000000000004</v>
      </c>
      <c r="C22" s="27">
        <v>54.2</v>
      </c>
      <c r="D22" s="35">
        <f>E22/8</f>
        <v>6.7750000000000004</v>
      </c>
      <c r="E22" s="27">
        <v>54.2</v>
      </c>
      <c r="F22" s="23">
        <f>G22/8</f>
        <v>0</v>
      </c>
      <c r="G22" s="98">
        <v>0</v>
      </c>
      <c r="H22" s="23">
        <f>I22/8</f>
        <v>0</v>
      </c>
      <c r="I22" s="98">
        <v>0</v>
      </c>
      <c r="J22" s="23">
        <f>K22/8</f>
        <v>0</v>
      </c>
      <c r="K22" s="98">
        <v>0</v>
      </c>
      <c r="L22" s="23">
        <f>M22/8</f>
        <v>0</v>
      </c>
      <c r="M22" s="109">
        <v>0</v>
      </c>
      <c r="N22" s="105"/>
      <c r="O22" s="25"/>
      <c r="P22" s="24">
        <v>1</v>
      </c>
      <c r="Q22" s="37">
        <v>9</v>
      </c>
      <c r="R22" s="24"/>
      <c r="S22" s="37"/>
    </row>
    <row r="23" spans="1:19" x14ac:dyDescent="0.25">
      <c r="A23" s="127">
        <v>46254</v>
      </c>
      <c r="B23" s="35">
        <f>C23/8</f>
        <v>7.3250000000000002</v>
      </c>
      <c r="C23" s="27">
        <v>58.6</v>
      </c>
      <c r="D23" s="35">
        <f>E23/8</f>
        <v>7.3250000000000002</v>
      </c>
      <c r="E23" s="27">
        <v>58.6</v>
      </c>
      <c r="F23" s="23">
        <f>G23/8</f>
        <v>0</v>
      </c>
      <c r="G23" s="98">
        <v>0</v>
      </c>
      <c r="H23" s="23">
        <f>I23/8</f>
        <v>0</v>
      </c>
      <c r="I23" s="98">
        <v>0</v>
      </c>
      <c r="J23" s="23">
        <f>K23/8</f>
        <v>0</v>
      </c>
      <c r="K23" s="98">
        <v>0</v>
      </c>
      <c r="L23" s="23">
        <f>M23/8</f>
        <v>0</v>
      </c>
      <c r="M23" s="109">
        <v>0</v>
      </c>
      <c r="N23" s="105"/>
      <c r="O23" s="25"/>
      <c r="P23" s="24">
        <v>1</v>
      </c>
      <c r="Q23" s="37">
        <v>9</v>
      </c>
      <c r="R23" s="24"/>
      <c r="S23" s="37"/>
    </row>
    <row r="24" spans="1:19" x14ac:dyDescent="0.25">
      <c r="A24" s="127">
        <v>46255</v>
      </c>
      <c r="B24" s="35">
        <f>C24/8</f>
        <v>5.23</v>
      </c>
      <c r="C24" s="27">
        <v>41.84</v>
      </c>
      <c r="D24" s="35">
        <f>E24/8</f>
        <v>7.8449999999999998</v>
      </c>
      <c r="E24" s="27">
        <v>62.76</v>
      </c>
      <c r="F24" s="23">
        <f>G24/8</f>
        <v>0</v>
      </c>
      <c r="G24" s="98">
        <v>0</v>
      </c>
      <c r="H24" s="23">
        <f>I24/8</f>
        <v>0</v>
      </c>
      <c r="I24" s="98">
        <v>0</v>
      </c>
      <c r="J24" s="23">
        <f>K24/8</f>
        <v>0</v>
      </c>
      <c r="K24" s="98">
        <v>0</v>
      </c>
      <c r="L24" s="23">
        <f>M24/8</f>
        <v>0</v>
      </c>
      <c r="M24" s="109">
        <v>0</v>
      </c>
      <c r="N24" s="105"/>
      <c r="O24" s="25"/>
      <c r="P24" s="24">
        <v>1</v>
      </c>
      <c r="Q24" s="37">
        <v>8</v>
      </c>
      <c r="R24" s="24"/>
      <c r="S24" s="37"/>
    </row>
    <row r="25" spans="1:19" x14ac:dyDescent="0.25">
      <c r="A25" s="127">
        <v>46256</v>
      </c>
      <c r="B25" s="114"/>
      <c r="C25" s="115"/>
      <c r="D25" s="114"/>
      <c r="E25" s="115"/>
      <c r="F25" s="116"/>
      <c r="G25" s="115"/>
      <c r="H25" s="116"/>
      <c r="I25" s="115"/>
      <c r="J25" s="116"/>
      <c r="K25" s="115"/>
      <c r="L25" s="116"/>
      <c r="M25" s="117"/>
      <c r="N25" s="118"/>
      <c r="O25" s="119"/>
      <c r="P25" s="120"/>
      <c r="Q25" s="121"/>
      <c r="R25" s="120"/>
      <c r="S25" s="121"/>
    </row>
    <row r="26" spans="1:19" x14ac:dyDescent="0.25">
      <c r="A26" s="127">
        <v>46257</v>
      </c>
      <c r="B26" s="114"/>
      <c r="C26" s="115"/>
      <c r="D26" s="114"/>
      <c r="E26" s="115"/>
      <c r="F26" s="116"/>
      <c r="G26" s="115"/>
      <c r="H26" s="116"/>
      <c r="I26" s="115"/>
      <c r="J26" s="116"/>
      <c r="K26" s="115"/>
      <c r="L26" s="116"/>
      <c r="M26" s="117"/>
      <c r="N26" s="118"/>
      <c r="O26" s="119"/>
      <c r="P26" s="120"/>
      <c r="Q26" s="121"/>
      <c r="R26" s="120"/>
      <c r="S26" s="121"/>
    </row>
    <row r="27" spans="1:19" x14ac:dyDescent="0.25">
      <c r="A27" s="127">
        <v>46258</v>
      </c>
      <c r="B27" s="35">
        <f>C27/8</f>
        <v>6.1587500000000004</v>
      </c>
      <c r="C27" s="27">
        <v>49.27</v>
      </c>
      <c r="D27" s="35">
        <f>E27/8</f>
        <v>6.1587500000000004</v>
      </c>
      <c r="E27" s="87">
        <v>49.27</v>
      </c>
      <c r="F27" s="23">
        <f>G27/8</f>
        <v>0</v>
      </c>
      <c r="G27" s="98">
        <v>0</v>
      </c>
      <c r="H27" s="23">
        <f>I27/8</f>
        <v>0</v>
      </c>
      <c r="I27" s="98">
        <v>0</v>
      </c>
      <c r="J27" s="23">
        <f>K27/8</f>
        <v>0</v>
      </c>
      <c r="K27" s="98">
        <v>0</v>
      </c>
      <c r="L27" s="23">
        <f>M27/8</f>
        <v>0</v>
      </c>
      <c r="M27" s="109">
        <v>0</v>
      </c>
      <c r="N27" s="105"/>
      <c r="O27" s="25"/>
      <c r="P27" s="24">
        <v>1</v>
      </c>
      <c r="Q27" s="37">
        <v>9</v>
      </c>
      <c r="R27" s="24"/>
      <c r="S27" s="37"/>
    </row>
    <row r="28" spans="1:19" x14ac:dyDescent="0.25">
      <c r="A28" s="127">
        <v>46259</v>
      </c>
      <c r="B28" s="35">
        <f>C28/8</f>
        <v>4.9450000000000003</v>
      </c>
      <c r="C28" s="27">
        <v>39.56</v>
      </c>
      <c r="D28" s="35">
        <f>E28/8</f>
        <v>7.4187500000000002</v>
      </c>
      <c r="E28" s="27">
        <v>59.35</v>
      </c>
      <c r="F28" s="23">
        <f>G28/8</f>
        <v>0</v>
      </c>
      <c r="G28" s="98">
        <v>0</v>
      </c>
      <c r="H28" s="23">
        <f>I28/8</f>
        <v>0</v>
      </c>
      <c r="I28" s="98">
        <v>0</v>
      </c>
      <c r="J28" s="23">
        <f>K28/8</f>
        <v>0</v>
      </c>
      <c r="K28" s="98">
        <v>0</v>
      </c>
      <c r="L28" s="23">
        <f>M28/8</f>
        <v>0</v>
      </c>
      <c r="M28" s="109">
        <v>0</v>
      </c>
      <c r="N28" s="105"/>
      <c r="O28" s="25"/>
      <c r="P28" s="24">
        <v>1</v>
      </c>
      <c r="Q28" s="37">
        <v>9</v>
      </c>
      <c r="R28" s="24"/>
      <c r="S28" s="37"/>
    </row>
    <row r="29" spans="1:19" x14ac:dyDescent="0.25">
      <c r="A29" s="127">
        <v>46260</v>
      </c>
      <c r="B29" s="35">
        <f>C29/8</f>
        <v>5.415</v>
      </c>
      <c r="C29" s="27">
        <v>43.32</v>
      </c>
      <c r="D29" s="35">
        <f>E29/8</f>
        <v>8.1225000000000005</v>
      </c>
      <c r="E29" s="27">
        <v>64.98</v>
      </c>
      <c r="F29" s="23">
        <f>G29/8</f>
        <v>0</v>
      </c>
      <c r="G29" s="98">
        <v>0</v>
      </c>
      <c r="H29" s="23">
        <f>I29/8</f>
        <v>0</v>
      </c>
      <c r="I29" s="98">
        <v>0</v>
      </c>
      <c r="J29" s="23">
        <f>K29/8</f>
        <v>0</v>
      </c>
      <c r="K29" s="98">
        <v>0</v>
      </c>
      <c r="L29" s="23">
        <f>M29/8</f>
        <v>0</v>
      </c>
      <c r="M29" s="109">
        <v>0</v>
      </c>
      <c r="N29" s="105"/>
      <c r="O29" s="25"/>
      <c r="P29" s="24">
        <v>1</v>
      </c>
      <c r="Q29" s="37">
        <v>9</v>
      </c>
      <c r="R29" s="24"/>
      <c r="S29" s="37"/>
    </row>
    <row r="30" spans="1:19" x14ac:dyDescent="0.25">
      <c r="A30" s="127">
        <v>46261</v>
      </c>
      <c r="B30" s="35">
        <f>C30/8</f>
        <v>7.9487500000000004</v>
      </c>
      <c r="C30" s="27">
        <v>63.59</v>
      </c>
      <c r="D30" s="35">
        <f>E30/8</f>
        <v>5.2987500000000001</v>
      </c>
      <c r="E30" s="27">
        <v>42.39</v>
      </c>
      <c r="F30" s="23">
        <f>G30/8</f>
        <v>0</v>
      </c>
      <c r="G30" s="98">
        <v>0</v>
      </c>
      <c r="H30" s="23">
        <f>I30/8</f>
        <v>0</v>
      </c>
      <c r="I30" s="98">
        <v>0</v>
      </c>
      <c r="J30" s="23">
        <f>K30/8</f>
        <v>0</v>
      </c>
      <c r="K30" s="98">
        <v>0</v>
      </c>
      <c r="L30" s="23">
        <f>M30/8</f>
        <v>0</v>
      </c>
      <c r="M30" s="109">
        <v>0</v>
      </c>
      <c r="N30" s="105"/>
      <c r="O30" s="25"/>
      <c r="P30" s="24">
        <v>1</v>
      </c>
      <c r="Q30" s="37">
        <v>9</v>
      </c>
      <c r="R30" s="24"/>
      <c r="S30" s="37"/>
    </row>
    <row r="31" spans="1:19" x14ac:dyDescent="0.25">
      <c r="A31" s="127">
        <v>46262</v>
      </c>
      <c r="B31" s="35">
        <f>C31/8</f>
        <v>4.7774999999999999</v>
      </c>
      <c r="C31" s="27">
        <v>38.22</v>
      </c>
      <c r="D31" s="35">
        <f>E31/8</f>
        <v>7.1662499999999998</v>
      </c>
      <c r="E31" s="27">
        <v>57.33</v>
      </c>
      <c r="F31" s="23">
        <f>G31/8</f>
        <v>0</v>
      </c>
      <c r="G31" s="98">
        <v>0</v>
      </c>
      <c r="H31" s="23">
        <f>I31/8</f>
        <v>0</v>
      </c>
      <c r="I31" s="98">
        <v>0</v>
      </c>
      <c r="J31" s="23">
        <f>K31/8</f>
        <v>0</v>
      </c>
      <c r="K31" s="98">
        <v>0</v>
      </c>
      <c r="L31" s="23">
        <f>M31/8</f>
        <v>0</v>
      </c>
      <c r="M31" s="109">
        <v>0</v>
      </c>
      <c r="N31" s="105"/>
      <c r="O31" s="25"/>
      <c r="P31" s="24">
        <v>1</v>
      </c>
      <c r="Q31" s="37">
        <v>8</v>
      </c>
      <c r="R31" s="24"/>
      <c r="S31" s="37"/>
    </row>
    <row r="32" spans="1:19" x14ac:dyDescent="0.25">
      <c r="A32" s="127">
        <v>46263</v>
      </c>
      <c r="B32" s="114"/>
      <c r="C32" s="115"/>
      <c r="D32" s="114"/>
      <c r="E32" s="115"/>
      <c r="F32" s="116"/>
      <c r="G32" s="115"/>
      <c r="H32" s="116"/>
      <c r="I32" s="115"/>
      <c r="J32" s="116"/>
      <c r="K32" s="115"/>
      <c r="L32" s="116"/>
      <c r="M32" s="117"/>
      <c r="N32" s="118"/>
      <c r="O32" s="119"/>
      <c r="P32" s="120"/>
      <c r="Q32" s="121"/>
      <c r="R32" s="120"/>
      <c r="S32" s="121"/>
    </row>
    <row r="33" spans="1:19" x14ac:dyDescent="0.25">
      <c r="A33" s="127">
        <v>46264</v>
      </c>
      <c r="B33" s="114"/>
      <c r="C33" s="115"/>
      <c r="D33" s="114"/>
      <c r="E33" s="115"/>
      <c r="F33" s="116"/>
      <c r="G33" s="115"/>
      <c r="H33" s="116"/>
      <c r="I33" s="115"/>
      <c r="J33" s="116"/>
      <c r="K33" s="115"/>
      <c r="L33" s="116"/>
      <c r="M33" s="117"/>
      <c r="N33" s="118"/>
      <c r="O33" s="119"/>
      <c r="P33" s="120"/>
      <c r="Q33" s="121"/>
      <c r="R33" s="120"/>
      <c r="S33" s="121"/>
    </row>
    <row r="34" spans="1:19" ht="15.75" thickBot="1" x14ac:dyDescent="0.3">
      <c r="A34" s="127">
        <v>46265</v>
      </c>
      <c r="B34" s="35">
        <f>C34/8</f>
        <v>6.7687499999999998</v>
      </c>
      <c r="C34" s="27">
        <v>54.15</v>
      </c>
      <c r="D34" s="35">
        <f>E34/8</f>
        <v>6.7687499999999998</v>
      </c>
      <c r="E34" s="27">
        <v>54.15</v>
      </c>
      <c r="F34" s="23">
        <f>G34/8</f>
        <v>0</v>
      </c>
      <c r="G34" s="98">
        <v>0</v>
      </c>
      <c r="H34" s="23">
        <f>I34/8</f>
        <v>0</v>
      </c>
      <c r="I34" s="98">
        <v>0</v>
      </c>
      <c r="J34" s="23">
        <f>K34/8</f>
        <v>0</v>
      </c>
      <c r="K34" s="98">
        <v>0</v>
      </c>
      <c r="L34" s="23">
        <f>M34/8</f>
        <v>0</v>
      </c>
      <c r="M34" s="109">
        <v>0</v>
      </c>
      <c r="N34" s="105"/>
      <c r="O34" s="25"/>
      <c r="P34" s="24">
        <v>1</v>
      </c>
      <c r="Q34" s="37">
        <v>9</v>
      </c>
      <c r="R34" s="24"/>
      <c r="S34" s="37"/>
    </row>
    <row r="35" spans="1:19" ht="15.75" thickBot="1" x14ac:dyDescent="0.3">
      <c r="A35" s="58" t="s">
        <v>20</v>
      </c>
      <c r="B35" s="59">
        <f>AVERAGE(B4:B34)</f>
        <v>6.2224404761904779</v>
      </c>
      <c r="C35" s="60">
        <f>SUM(C4:C34)</f>
        <v>1045.3700000000003</v>
      </c>
      <c r="D35" s="59">
        <f>AVERAGE(D4:D34)</f>
        <v>7.3897619047619063</v>
      </c>
      <c r="E35" s="61">
        <f>SUM(E4:E34)</f>
        <v>1241.4800000000002</v>
      </c>
      <c r="F35" s="59">
        <f>AVERAGE(F4:F34)</f>
        <v>0</v>
      </c>
      <c r="G35" s="61">
        <f>SUM(G4:G34)</f>
        <v>0</v>
      </c>
      <c r="H35" s="59">
        <f>AVERAGE(H4:H34)</f>
        <v>0</v>
      </c>
      <c r="I35" s="61">
        <f>SUM(I4:I34)</f>
        <v>0</v>
      </c>
      <c r="J35" s="59">
        <f>AVERAGE(J4:J34)</f>
        <v>0</v>
      </c>
      <c r="K35" s="61">
        <f>SUM(K4:K34)</f>
        <v>0</v>
      </c>
      <c r="L35" s="59">
        <f>AVERAGE(L4:L34)</f>
        <v>0</v>
      </c>
      <c r="M35" s="61">
        <f>SUM(M4:M34)</f>
        <v>0</v>
      </c>
      <c r="N35" s="64">
        <f>IFERROR(AVERAGE(N4:N12),0)</f>
        <v>0</v>
      </c>
      <c r="O35" s="65">
        <f>C35+I35+E35+G35+K35+M35</f>
        <v>2286.8500000000004</v>
      </c>
      <c r="P35" s="155">
        <f>IFERROR(AVERAGE(P4:P34),0)</f>
        <v>1</v>
      </c>
      <c r="Q35" s="154">
        <f>SUM(Q4:Q34)</f>
        <v>185</v>
      </c>
      <c r="R35" s="66">
        <f>IFERROR(AVERAGE(R4:R12),0)</f>
        <v>0</v>
      </c>
      <c r="S35" s="17">
        <f>SUM(S4:S12)</f>
        <v>0</v>
      </c>
    </row>
    <row r="36" spans="1:19" x14ac:dyDescent="0.25">
      <c r="G36" s="67"/>
      <c r="I36" s="68"/>
      <c r="O36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35"/>
  <sheetViews>
    <sheetView showGridLines="0" zoomScale="85" zoomScaleNormal="85" workbookViewId="0">
      <pane ySplit="3" topLeftCell="A4" activePane="bottomLeft" state="frozen"/>
      <selection pane="bottomLeft" activeCell="C34" sqref="C34"/>
    </sheetView>
  </sheetViews>
  <sheetFormatPr baseColWidth="10" defaultRowHeight="15" x14ac:dyDescent="0.25"/>
  <cols>
    <col min="1" max="1" width="27.28515625" bestFit="1" customWidth="1"/>
    <col min="2" max="2" width="13" customWidth="1"/>
    <col min="3" max="3" width="13.42578125" customWidth="1"/>
    <col min="4" max="4" width="9.28515625" customWidth="1"/>
    <col min="5" max="13" width="13" customWidth="1"/>
    <col min="14" max="14" width="6.7109375" customWidth="1"/>
    <col min="15" max="15" width="12.5703125" customWidth="1"/>
    <col min="16" max="16" width="7.5703125" customWidth="1"/>
    <col min="17" max="17" width="7.42578125" bestFit="1" customWidth="1"/>
    <col min="18" max="18" width="12.5703125" customWidth="1"/>
  </cols>
  <sheetData>
    <row r="1" spans="1:19" ht="15.75" thickBot="1" x14ac:dyDescent="0.3">
      <c r="A1" s="122">
        <v>2026</v>
      </c>
    </row>
    <row r="2" spans="1:19" ht="15.75" thickBot="1" x14ac:dyDescent="0.3">
      <c r="B2" s="170" t="s">
        <v>10</v>
      </c>
      <c r="C2" s="171"/>
      <c r="D2" s="170" t="s">
        <v>11</v>
      </c>
      <c r="E2" s="172"/>
      <c r="F2" s="170" t="s">
        <v>12</v>
      </c>
      <c r="G2" s="172"/>
      <c r="H2" s="170" t="s">
        <v>13</v>
      </c>
      <c r="I2" s="172"/>
      <c r="J2" s="170" t="s">
        <v>14</v>
      </c>
      <c r="K2" s="172"/>
      <c r="L2" s="170" t="s">
        <v>15</v>
      </c>
      <c r="M2" s="172"/>
      <c r="N2" s="166" t="s">
        <v>16</v>
      </c>
      <c r="O2" s="167"/>
      <c r="P2" s="168" t="s">
        <v>17</v>
      </c>
      <c r="Q2" s="169"/>
      <c r="R2" s="168" t="s">
        <v>21</v>
      </c>
      <c r="S2" s="169"/>
    </row>
    <row r="3" spans="1:19" ht="15.75" thickBot="1" x14ac:dyDescent="0.3">
      <c r="B3" s="12" t="s">
        <v>18</v>
      </c>
      <c r="C3" s="13" t="s">
        <v>19</v>
      </c>
      <c r="D3" s="12" t="s">
        <v>18</v>
      </c>
      <c r="E3" s="17" t="s">
        <v>19</v>
      </c>
      <c r="F3" s="12" t="s">
        <v>18</v>
      </c>
      <c r="G3" s="15" t="s">
        <v>19</v>
      </c>
      <c r="H3" s="12" t="s">
        <v>18</v>
      </c>
      <c r="I3" s="15" t="s">
        <v>19</v>
      </c>
      <c r="J3" s="12" t="s">
        <v>18</v>
      </c>
      <c r="K3" s="15" t="s">
        <v>19</v>
      </c>
      <c r="L3" s="12" t="s">
        <v>18</v>
      </c>
      <c r="M3" s="15" t="s">
        <v>19</v>
      </c>
      <c r="N3" s="104"/>
      <c r="O3" s="70"/>
      <c r="P3" s="16"/>
      <c r="Q3" s="17"/>
      <c r="R3" s="16"/>
      <c r="S3" s="17"/>
    </row>
    <row r="4" spans="1:19" ht="15" customHeight="1" x14ac:dyDescent="0.25">
      <c r="A4" s="127">
        <v>46266</v>
      </c>
      <c r="B4" s="35">
        <f t="shared" ref="B4:B5" si="0">C4/8</f>
        <v>6.7859375000000011</v>
      </c>
      <c r="C4" s="27">
        <v>54.287500000000009</v>
      </c>
      <c r="D4" s="35">
        <f t="shared" ref="D4:D5" si="1">E4/8</f>
        <v>6.7859375000000011</v>
      </c>
      <c r="E4" s="27">
        <v>54.287500000000009</v>
      </c>
      <c r="F4" s="23">
        <f t="shared" ref="F4:F5" si="2">G4/8</f>
        <v>0</v>
      </c>
      <c r="G4" s="98">
        <v>0</v>
      </c>
      <c r="H4" s="23">
        <f t="shared" ref="H4:H5" si="3">I4/8</f>
        <v>0</v>
      </c>
      <c r="I4" s="98">
        <v>0</v>
      </c>
      <c r="J4" s="23">
        <f t="shared" ref="J4:J5" si="4">K4/8</f>
        <v>0</v>
      </c>
      <c r="K4" s="98">
        <v>0</v>
      </c>
      <c r="L4" s="23">
        <f t="shared" ref="L4:L5" si="5">M4/8</f>
        <v>0</v>
      </c>
      <c r="M4" s="109">
        <v>0</v>
      </c>
      <c r="N4" s="105"/>
      <c r="O4" s="25"/>
      <c r="P4" s="24">
        <v>1</v>
      </c>
      <c r="Q4" s="37">
        <v>9</v>
      </c>
      <c r="R4" s="24"/>
      <c r="S4" s="37"/>
    </row>
    <row r="5" spans="1:19" x14ac:dyDescent="0.25">
      <c r="A5" s="127">
        <v>46267</v>
      </c>
      <c r="B5" s="35">
        <f t="shared" si="0"/>
        <v>6.6826736111111114</v>
      </c>
      <c r="C5" s="27">
        <v>53.461388888888891</v>
      </c>
      <c r="D5" s="35">
        <f t="shared" si="1"/>
        <v>6.6826736111111114</v>
      </c>
      <c r="E5" s="27">
        <v>53.461388888888891</v>
      </c>
      <c r="F5" s="23">
        <f t="shared" si="2"/>
        <v>0</v>
      </c>
      <c r="G5" s="98">
        <v>0</v>
      </c>
      <c r="H5" s="23">
        <f t="shared" si="3"/>
        <v>0</v>
      </c>
      <c r="I5" s="98">
        <v>0</v>
      </c>
      <c r="J5" s="23">
        <f t="shared" si="4"/>
        <v>0</v>
      </c>
      <c r="K5" s="98">
        <v>0</v>
      </c>
      <c r="L5" s="23">
        <f t="shared" si="5"/>
        <v>0</v>
      </c>
      <c r="M5" s="109">
        <v>0</v>
      </c>
      <c r="N5" s="105"/>
      <c r="O5" s="25"/>
      <c r="P5" s="24">
        <v>1</v>
      </c>
      <c r="Q5" s="37">
        <v>9</v>
      </c>
      <c r="R5" s="24"/>
      <c r="S5" s="37"/>
    </row>
    <row r="6" spans="1:19" x14ac:dyDescent="0.25">
      <c r="A6" s="127">
        <v>46268</v>
      </c>
      <c r="B6" s="35">
        <f t="shared" ref="B6:B10" si="6">C6/8</f>
        <v>4.957527777777778</v>
      </c>
      <c r="C6" s="27">
        <v>39.660222222222224</v>
      </c>
      <c r="D6" s="35">
        <f t="shared" ref="D6:D10" si="7">E6/8</f>
        <v>7.4362916666666665</v>
      </c>
      <c r="E6" s="27">
        <v>59.490333333333332</v>
      </c>
      <c r="F6" s="23">
        <f t="shared" ref="F6:L10" si="8">G6/8</f>
        <v>0</v>
      </c>
      <c r="G6" s="98">
        <v>0</v>
      </c>
      <c r="H6" s="23">
        <f t="shared" si="8"/>
        <v>0</v>
      </c>
      <c r="I6" s="98">
        <v>0</v>
      </c>
      <c r="J6" s="23">
        <f t="shared" si="8"/>
        <v>0</v>
      </c>
      <c r="K6" s="98">
        <v>0</v>
      </c>
      <c r="L6" s="23">
        <f t="shared" si="8"/>
        <v>0</v>
      </c>
      <c r="M6" s="109">
        <v>0</v>
      </c>
      <c r="N6" s="105"/>
      <c r="O6" s="25"/>
      <c r="P6" s="24">
        <v>1</v>
      </c>
      <c r="Q6" s="37">
        <v>9</v>
      </c>
      <c r="R6" s="24"/>
      <c r="S6" s="37"/>
    </row>
    <row r="7" spans="1:19" x14ac:dyDescent="0.25">
      <c r="A7" s="127">
        <v>46269</v>
      </c>
      <c r="B7" s="35">
        <f t="shared" si="6"/>
        <v>5.8651388888888887</v>
      </c>
      <c r="C7" s="27">
        <v>46.921111111111109</v>
      </c>
      <c r="D7" s="35">
        <f t="shared" si="7"/>
        <v>5.8651388888888887</v>
      </c>
      <c r="E7" s="87">
        <v>46.921111111111109</v>
      </c>
      <c r="F7" s="23">
        <f t="shared" si="8"/>
        <v>0</v>
      </c>
      <c r="G7" s="98">
        <v>0</v>
      </c>
      <c r="H7" s="23">
        <f t="shared" si="8"/>
        <v>0</v>
      </c>
      <c r="I7" s="98">
        <v>0</v>
      </c>
      <c r="J7" s="23">
        <f t="shared" si="8"/>
        <v>0</v>
      </c>
      <c r="K7" s="98">
        <v>0</v>
      </c>
      <c r="L7" s="23">
        <f t="shared" si="8"/>
        <v>0</v>
      </c>
      <c r="M7" s="109">
        <v>0</v>
      </c>
      <c r="N7" s="105"/>
      <c r="O7" s="25"/>
      <c r="P7" s="24">
        <v>1</v>
      </c>
      <c r="Q7" s="37">
        <v>8</v>
      </c>
      <c r="R7" s="24"/>
      <c r="S7" s="37"/>
    </row>
    <row r="8" spans="1:19" x14ac:dyDescent="0.25">
      <c r="A8" s="127">
        <v>46270</v>
      </c>
      <c r="B8" s="114"/>
      <c r="C8" s="115"/>
      <c r="D8" s="114"/>
      <c r="E8" s="115"/>
      <c r="F8" s="116"/>
      <c r="G8" s="115"/>
      <c r="H8" s="116"/>
      <c r="I8" s="115"/>
      <c r="J8" s="116"/>
      <c r="K8" s="115"/>
      <c r="L8" s="116"/>
      <c r="M8" s="117"/>
      <c r="N8" s="118"/>
      <c r="O8" s="119"/>
      <c r="P8" s="120"/>
      <c r="Q8" s="121"/>
      <c r="R8" s="120"/>
      <c r="S8" s="121"/>
    </row>
    <row r="9" spans="1:19" x14ac:dyDescent="0.25">
      <c r="A9" s="127">
        <v>46271</v>
      </c>
      <c r="B9" s="114"/>
      <c r="C9" s="115"/>
      <c r="D9" s="114"/>
      <c r="E9" s="115"/>
      <c r="F9" s="116"/>
      <c r="G9" s="115"/>
      <c r="H9" s="116"/>
      <c r="I9" s="115"/>
      <c r="J9" s="116"/>
      <c r="K9" s="115"/>
      <c r="L9" s="116"/>
      <c r="M9" s="117"/>
      <c r="N9" s="118"/>
      <c r="O9" s="119"/>
      <c r="P9" s="120"/>
      <c r="Q9" s="121"/>
      <c r="R9" s="120"/>
      <c r="S9" s="121"/>
    </row>
    <row r="10" spans="1:19" x14ac:dyDescent="0.25">
      <c r="A10" s="127">
        <v>46272</v>
      </c>
      <c r="B10" s="35">
        <f t="shared" si="6"/>
        <v>6.7523124999999995</v>
      </c>
      <c r="C10" s="27">
        <v>54.018499999999996</v>
      </c>
      <c r="D10" s="35">
        <f t="shared" si="7"/>
        <v>4.5015416666666672</v>
      </c>
      <c r="E10" s="87">
        <v>36.012333333333338</v>
      </c>
      <c r="F10" s="23">
        <f t="shared" si="8"/>
        <v>0</v>
      </c>
      <c r="G10" s="98">
        <v>0</v>
      </c>
      <c r="H10" s="23">
        <f t="shared" si="8"/>
        <v>0</v>
      </c>
      <c r="I10" s="98">
        <v>0</v>
      </c>
      <c r="J10" s="23">
        <f t="shared" si="8"/>
        <v>0</v>
      </c>
      <c r="K10" s="98">
        <v>0</v>
      </c>
      <c r="L10" s="23">
        <f t="shared" si="8"/>
        <v>0</v>
      </c>
      <c r="M10" s="109">
        <v>0</v>
      </c>
      <c r="N10" s="105"/>
      <c r="O10" s="25"/>
      <c r="P10" s="24">
        <v>1</v>
      </c>
      <c r="Q10" s="37">
        <v>9</v>
      </c>
      <c r="R10" s="24"/>
      <c r="S10" s="37"/>
    </row>
    <row r="11" spans="1:19" x14ac:dyDescent="0.25">
      <c r="A11" s="127">
        <v>46273</v>
      </c>
      <c r="B11" s="35">
        <f t="shared" ref="B11:B12" si="9">C11/8</f>
        <v>8.105854166666667</v>
      </c>
      <c r="C11" s="27">
        <v>64.846833333333336</v>
      </c>
      <c r="D11" s="35">
        <f t="shared" ref="D11:D12" si="10">E11/8</f>
        <v>5.4039027777777777</v>
      </c>
      <c r="E11" s="87">
        <v>43.231222222222222</v>
      </c>
      <c r="F11" s="23">
        <f t="shared" ref="F11:F12" si="11">G11/8</f>
        <v>0</v>
      </c>
      <c r="G11" s="98">
        <v>0</v>
      </c>
      <c r="H11" s="23">
        <f t="shared" ref="H11:H12" si="12">I11/8</f>
        <v>0</v>
      </c>
      <c r="I11" s="98">
        <v>0</v>
      </c>
      <c r="J11" s="23">
        <f t="shared" ref="J11:J12" si="13">K11/8</f>
        <v>0</v>
      </c>
      <c r="K11" s="98">
        <v>0</v>
      </c>
      <c r="L11" s="23">
        <f t="shared" ref="L11:L12" si="14">M11/8</f>
        <v>0</v>
      </c>
      <c r="M11" s="109">
        <v>0</v>
      </c>
      <c r="N11" s="105"/>
      <c r="O11" s="25"/>
      <c r="P11" s="24">
        <v>1</v>
      </c>
      <c r="Q11" s="37">
        <v>9</v>
      </c>
      <c r="R11" s="24"/>
      <c r="S11" s="37"/>
    </row>
    <row r="12" spans="1:19" x14ac:dyDescent="0.25">
      <c r="A12" s="127">
        <v>46274</v>
      </c>
      <c r="B12" s="35">
        <f t="shared" si="9"/>
        <v>6.6322083333333328</v>
      </c>
      <c r="C12" s="27">
        <v>53.057666666666663</v>
      </c>
      <c r="D12" s="35">
        <f t="shared" si="10"/>
        <v>4.4214722222222225</v>
      </c>
      <c r="E12" s="87">
        <v>35.37177777777778</v>
      </c>
      <c r="F12" s="23">
        <f t="shared" si="11"/>
        <v>0</v>
      </c>
      <c r="G12" s="98">
        <v>0</v>
      </c>
      <c r="H12" s="23">
        <f t="shared" si="12"/>
        <v>0</v>
      </c>
      <c r="I12" s="98">
        <v>0</v>
      </c>
      <c r="J12" s="23">
        <f t="shared" si="13"/>
        <v>0</v>
      </c>
      <c r="K12" s="98">
        <v>0</v>
      </c>
      <c r="L12" s="23">
        <f t="shared" si="14"/>
        <v>0</v>
      </c>
      <c r="M12" s="109">
        <v>0</v>
      </c>
      <c r="N12" s="105"/>
      <c r="O12" s="25"/>
      <c r="P12" s="24">
        <v>1</v>
      </c>
      <c r="Q12" s="37">
        <v>9</v>
      </c>
      <c r="R12" s="24"/>
      <c r="S12" s="37"/>
    </row>
    <row r="13" spans="1:19" x14ac:dyDescent="0.25">
      <c r="A13" s="127">
        <v>46275</v>
      </c>
      <c r="B13" s="35">
        <f t="shared" ref="B13:B17" si="15">C13/8</f>
        <v>5.5194791666666667</v>
      </c>
      <c r="C13" s="27">
        <v>44.155833333333334</v>
      </c>
      <c r="D13" s="35">
        <f t="shared" ref="D13:D17" si="16">E13/8</f>
        <v>6.2069791666666623</v>
      </c>
      <c r="E13" s="87">
        <v>49.655833333333298</v>
      </c>
      <c r="F13" s="23">
        <f t="shared" ref="F13:F17" si="17">G13/8</f>
        <v>0</v>
      </c>
      <c r="G13" s="98">
        <v>0</v>
      </c>
      <c r="H13" s="23">
        <f t="shared" ref="H13:H17" si="18">I13/8</f>
        <v>0.6875</v>
      </c>
      <c r="I13" s="98">
        <v>5.5</v>
      </c>
      <c r="J13" s="23">
        <f t="shared" ref="J13:J17" si="19">K13/8</f>
        <v>0</v>
      </c>
      <c r="K13" s="98">
        <v>0</v>
      </c>
      <c r="L13" s="23">
        <f t="shared" ref="L13:L17" si="20">M13/8</f>
        <v>0</v>
      </c>
      <c r="M13" s="109">
        <v>0</v>
      </c>
      <c r="N13" s="105"/>
      <c r="O13" s="25"/>
      <c r="P13" s="24">
        <v>1</v>
      </c>
      <c r="Q13" s="37">
        <v>9</v>
      </c>
      <c r="R13" s="24"/>
      <c r="S13" s="37"/>
    </row>
    <row r="14" spans="1:19" x14ac:dyDescent="0.25">
      <c r="A14" s="127">
        <v>46276</v>
      </c>
      <c r="B14" s="35">
        <f t="shared" si="15"/>
        <v>3.3151562500000002</v>
      </c>
      <c r="C14" s="27">
        <v>26.521250000000002</v>
      </c>
      <c r="D14" s="35">
        <f t="shared" si="16"/>
        <v>7.7353645833333333</v>
      </c>
      <c r="E14" s="87">
        <v>61.882916666666667</v>
      </c>
      <c r="F14" s="23">
        <f t="shared" si="17"/>
        <v>0</v>
      </c>
      <c r="G14" s="98">
        <v>0</v>
      </c>
      <c r="H14" s="23">
        <f t="shared" si="18"/>
        <v>0</v>
      </c>
      <c r="I14" s="98">
        <v>0</v>
      </c>
      <c r="J14" s="23">
        <f t="shared" si="19"/>
        <v>0</v>
      </c>
      <c r="K14" s="98">
        <v>0</v>
      </c>
      <c r="L14" s="23">
        <f t="shared" si="20"/>
        <v>0</v>
      </c>
      <c r="M14" s="109">
        <v>0</v>
      </c>
      <c r="N14" s="105"/>
      <c r="O14" s="25"/>
      <c r="P14" s="24">
        <v>1</v>
      </c>
      <c r="Q14" s="37">
        <v>8</v>
      </c>
      <c r="R14" s="24"/>
      <c r="S14" s="37"/>
    </row>
    <row r="15" spans="1:19" x14ac:dyDescent="0.25">
      <c r="A15" s="127">
        <v>46277</v>
      </c>
      <c r="B15" s="114"/>
      <c r="C15" s="115"/>
      <c r="D15" s="114"/>
      <c r="E15" s="115"/>
      <c r="F15" s="116"/>
      <c r="G15" s="115"/>
      <c r="H15" s="116"/>
      <c r="I15" s="115"/>
      <c r="J15" s="116"/>
      <c r="K15" s="115"/>
      <c r="L15" s="116"/>
      <c r="M15" s="117"/>
      <c r="N15" s="118"/>
      <c r="O15" s="119"/>
      <c r="P15" s="120"/>
      <c r="Q15" s="121"/>
      <c r="R15" s="120"/>
      <c r="S15" s="121"/>
    </row>
    <row r="16" spans="1:19" x14ac:dyDescent="0.25">
      <c r="A16" s="127">
        <v>46278</v>
      </c>
      <c r="B16" s="114"/>
      <c r="C16" s="115"/>
      <c r="D16" s="114"/>
      <c r="E16" s="115"/>
      <c r="F16" s="116"/>
      <c r="G16" s="115"/>
      <c r="H16" s="116"/>
      <c r="I16" s="115"/>
      <c r="J16" s="116"/>
      <c r="K16" s="115"/>
      <c r="L16" s="116"/>
      <c r="M16" s="117"/>
      <c r="N16" s="118"/>
      <c r="O16" s="119"/>
      <c r="P16" s="120"/>
      <c r="Q16" s="121"/>
      <c r="R16" s="120"/>
      <c r="S16" s="121"/>
    </row>
    <row r="17" spans="1:19" x14ac:dyDescent="0.25">
      <c r="A17" s="127">
        <v>46279</v>
      </c>
      <c r="B17" s="35">
        <f t="shared" si="15"/>
        <v>4.7605833333333347</v>
      </c>
      <c r="C17" s="27">
        <v>38.084666666666678</v>
      </c>
      <c r="D17" s="35">
        <f t="shared" si="16"/>
        <v>8.0783749999999994</v>
      </c>
      <c r="E17" s="87">
        <v>64.626999999999995</v>
      </c>
      <c r="F17" s="23">
        <f t="shared" si="17"/>
        <v>0</v>
      </c>
      <c r="G17" s="98">
        <v>0</v>
      </c>
      <c r="H17" s="23">
        <f t="shared" si="18"/>
        <v>0.625</v>
      </c>
      <c r="I17" s="98">
        <v>5</v>
      </c>
      <c r="J17" s="23">
        <f t="shared" si="19"/>
        <v>0</v>
      </c>
      <c r="K17" s="98">
        <v>0</v>
      </c>
      <c r="L17" s="23">
        <f t="shared" si="20"/>
        <v>0</v>
      </c>
      <c r="M17" s="109">
        <v>0</v>
      </c>
      <c r="N17" s="105"/>
      <c r="O17" s="25"/>
      <c r="P17" s="24">
        <v>1</v>
      </c>
      <c r="Q17" s="37">
        <v>9</v>
      </c>
      <c r="R17" s="24"/>
      <c r="S17" s="37"/>
    </row>
    <row r="18" spans="1:19" x14ac:dyDescent="0.25">
      <c r="A18" s="127">
        <v>46280</v>
      </c>
      <c r="B18" s="35">
        <f t="shared" ref="B18:B19" si="21">C18/8</f>
        <v>5.2168472222222224</v>
      </c>
      <c r="C18" s="27">
        <v>41.734777777777779</v>
      </c>
      <c r="D18" s="35">
        <f t="shared" ref="D18:D19" si="22">E18/8</f>
        <v>7.8252708333333327</v>
      </c>
      <c r="E18" s="87">
        <v>62.602166666666662</v>
      </c>
      <c r="F18" s="23">
        <f t="shared" ref="F18:F19" si="23">G18/8</f>
        <v>0</v>
      </c>
      <c r="G18" s="98">
        <v>0</v>
      </c>
      <c r="H18" s="23">
        <f t="shared" ref="H18:H19" si="24">I18/8</f>
        <v>0</v>
      </c>
      <c r="I18" s="98">
        <v>0</v>
      </c>
      <c r="J18" s="23">
        <f t="shared" ref="J18:J19" si="25">K18/8</f>
        <v>0</v>
      </c>
      <c r="K18" s="98">
        <v>0</v>
      </c>
      <c r="L18" s="23">
        <f t="shared" ref="L18:L19" si="26">M18/8</f>
        <v>0</v>
      </c>
      <c r="M18" s="109">
        <v>0</v>
      </c>
      <c r="N18" s="105"/>
      <c r="O18" s="25"/>
      <c r="P18" s="24">
        <v>1</v>
      </c>
      <c r="Q18" s="37">
        <v>9</v>
      </c>
      <c r="R18" s="24"/>
      <c r="S18" s="37"/>
    </row>
    <row r="19" spans="1:19" x14ac:dyDescent="0.25">
      <c r="A19" s="127">
        <v>46281</v>
      </c>
      <c r="B19" s="35">
        <f t="shared" si="21"/>
        <v>6.713784722222222</v>
      </c>
      <c r="C19" s="27">
        <v>53.710277777777776</v>
      </c>
      <c r="D19" s="35">
        <f t="shared" si="22"/>
        <v>6.713784722222222</v>
      </c>
      <c r="E19" s="87">
        <v>53.710277777777776</v>
      </c>
      <c r="F19" s="23">
        <f t="shared" si="23"/>
        <v>0</v>
      </c>
      <c r="G19" s="98">
        <v>0</v>
      </c>
      <c r="H19" s="23">
        <f t="shared" si="24"/>
        <v>0</v>
      </c>
      <c r="I19" s="98">
        <v>0</v>
      </c>
      <c r="J19" s="23">
        <f t="shared" si="25"/>
        <v>0</v>
      </c>
      <c r="K19" s="98">
        <v>0</v>
      </c>
      <c r="L19" s="23">
        <f t="shared" si="26"/>
        <v>0</v>
      </c>
      <c r="M19" s="109">
        <v>0</v>
      </c>
      <c r="N19" s="105"/>
      <c r="O19" s="25"/>
      <c r="P19" s="24">
        <v>1</v>
      </c>
      <c r="Q19" s="37">
        <v>9</v>
      </c>
      <c r="R19" s="24"/>
      <c r="S19" s="37"/>
    </row>
    <row r="20" spans="1:19" x14ac:dyDescent="0.25">
      <c r="A20" s="127">
        <v>46282</v>
      </c>
      <c r="B20" s="35">
        <f>C20/8</f>
        <v>3.0686458333333331</v>
      </c>
      <c r="C20" s="27">
        <v>24.549166666666665</v>
      </c>
      <c r="D20" s="35">
        <f>E20/8</f>
        <v>8.9101736111111123</v>
      </c>
      <c r="E20" s="27">
        <v>71.281388888888898</v>
      </c>
      <c r="F20" s="23">
        <f>G20/8</f>
        <v>0</v>
      </c>
      <c r="G20" s="98">
        <v>0</v>
      </c>
      <c r="H20" s="23">
        <f>I20/8</f>
        <v>0.75</v>
      </c>
      <c r="I20" s="98">
        <v>6</v>
      </c>
      <c r="J20" s="23">
        <f>K20/8</f>
        <v>0</v>
      </c>
      <c r="K20" s="98">
        <v>0</v>
      </c>
      <c r="L20" s="23">
        <f>M20/8</f>
        <v>0</v>
      </c>
      <c r="M20" s="109">
        <v>0</v>
      </c>
      <c r="N20" s="105"/>
      <c r="O20" s="25"/>
      <c r="P20" s="24">
        <v>1</v>
      </c>
      <c r="Q20" s="37">
        <v>9</v>
      </c>
      <c r="R20" s="24"/>
      <c r="S20" s="37"/>
    </row>
    <row r="21" spans="1:19" x14ac:dyDescent="0.25">
      <c r="A21" s="127">
        <v>46283</v>
      </c>
      <c r="B21" s="35">
        <f>C21/8</f>
        <v>5.3517187499999999</v>
      </c>
      <c r="C21" s="27">
        <v>42.813749999999999</v>
      </c>
      <c r="D21" s="35">
        <f>E21/8</f>
        <v>5.3517187499999999</v>
      </c>
      <c r="E21" s="27">
        <v>42.813749999999999</v>
      </c>
      <c r="F21" s="23">
        <f>G21/8</f>
        <v>0</v>
      </c>
      <c r="G21" s="98">
        <v>0</v>
      </c>
      <c r="H21" s="23">
        <f>I21/8</f>
        <v>0</v>
      </c>
      <c r="I21" s="98">
        <v>0</v>
      </c>
      <c r="J21" s="23">
        <f>K21/8</f>
        <v>0</v>
      </c>
      <c r="K21" s="98">
        <v>0</v>
      </c>
      <c r="L21" s="23">
        <f>M21/8</f>
        <v>0</v>
      </c>
      <c r="M21" s="109">
        <v>0</v>
      </c>
      <c r="N21" s="105"/>
      <c r="O21" s="25"/>
      <c r="P21" s="24">
        <v>1</v>
      </c>
      <c r="Q21" s="37">
        <v>8</v>
      </c>
      <c r="R21" s="24"/>
      <c r="S21" s="37"/>
    </row>
    <row r="22" spans="1:19" x14ac:dyDescent="0.25">
      <c r="A22" s="127">
        <v>46284</v>
      </c>
      <c r="B22" s="114"/>
      <c r="C22" s="115"/>
      <c r="D22" s="114"/>
      <c r="E22" s="115"/>
      <c r="F22" s="116"/>
      <c r="G22" s="115"/>
      <c r="H22" s="116"/>
      <c r="I22" s="115"/>
      <c r="J22" s="116"/>
      <c r="K22" s="115"/>
      <c r="L22" s="116"/>
      <c r="M22" s="117"/>
      <c r="N22" s="118"/>
      <c r="O22" s="119"/>
      <c r="P22" s="120"/>
      <c r="Q22" s="121"/>
      <c r="R22" s="120"/>
      <c r="S22" s="121"/>
    </row>
    <row r="23" spans="1:19" x14ac:dyDescent="0.25">
      <c r="A23" s="127">
        <v>46285</v>
      </c>
      <c r="B23" s="114"/>
      <c r="C23" s="115"/>
      <c r="D23" s="114"/>
      <c r="E23" s="115"/>
      <c r="F23" s="116"/>
      <c r="G23" s="115"/>
      <c r="H23" s="116"/>
      <c r="I23" s="115"/>
      <c r="J23" s="116"/>
      <c r="K23" s="115"/>
      <c r="L23" s="116"/>
      <c r="M23" s="117"/>
      <c r="N23" s="118"/>
      <c r="O23" s="119"/>
      <c r="P23" s="120"/>
      <c r="Q23" s="121"/>
      <c r="R23" s="120"/>
      <c r="S23" s="121"/>
    </row>
    <row r="24" spans="1:19" x14ac:dyDescent="0.25">
      <c r="A24" s="127">
        <v>46286</v>
      </c>
      <c r="B24" s="35">
        <f>C24/8</f>
        <v>3.5867187500000011</v>
      </c>
      <c r="C24" s="27">
        <v>28.693750000000009</v>
      </c>
      <c r="D24" s="35">
        <f>E24/8</f>
        <v>8.369010416666665</v>
      </c>
      <c r="E24" s="27">
        <v>66.95208333333332</v>
      </c>
      <c r="F24" s="23">
        <f>G24/8</f>
        <v>0</v>
      </c>
      <c r="G24" s="98">
        <v>0</v>
      </c>
      <c r="H24" s="23">
        <f>I24/8</f>
        <v>0</v>
      </c>
      <c r="I24" s="98">
        <v>0</v>
      </c>
      <c r="J24" s="23">
        <f>K24/8</f>
        <v>0</v>
      </c>
      <c r="K24" s="98">
        <v>0</v>
      </c>
      <c r="L24" s="23">
        <f>M24/8</f>
        <v>0</v>
      </c>
      <c r="M24" s="109">
        <v>0</v>
      </c>
      <c r="N24" s="105"/>
      <c r="O24" s="25"/>
      <c r="P24" s="24">
        <v>1</v>
      </c>
      <c r="Q24" s="37">
        <v>9</v>
      </c>
      <c r="R24" s="24"/>
      <c r="S24" s="37"/>
    </row>
    <row r="25" spans="1:19" x14ac:dyDescent="0.25">
      <c r="A25" s="127">
        <v>46287</v>
      </c>
      <c r="B25" s="35">
        <f t="shared" ref="B25:B26" si="27">C25/8</f>
        <v>8.6512916666666655</v>
      </c>
      <c r="C25" s="27">
        <v>69.210333333333324</v>
      </c>
      <c r="D25" s="35">
        <f t="shared" ref="D25:D26" si="28">E25/8</f>
        <v>5.7675277777777785</v>
      </c>
      <c r="E25" s="27">
        <v>46.140222222222228</v>
      </c>
      <c r="F25" s="23">
        <f t="shared" ref="F25:F26" si="29">G25/8</f>
        <v>0</v>
      </c>
      <c r="G25" s="98">
        <v>0</v>
      </c>
      <c r="H25" s="23">
        <f t="shared" ref="H25:H26" si="30">I25/8</f>
        <v>0</v>
      </c>
      <c r="I25" s="98">
        <v>0</v>
      </c>
      <c r="J25" s="23">
        <f t="shared" ref="J25:J26" si="31">K25/8</f>
        <v>0</v>
      </c>
      <c r="K25" s="98">
        <v>0</v>
      </c>
      <c r="L25" s="23">
        <f t="shared" ref="L25:L26" si="32">M25/8</f>
        <v>0</v>
      </c>
      <c r="M25" s="109">
        <v>0</v>
      </c>
      <c r="N25" s="105"/>
      <c r="O25" s="25"/>
      <c r="P25" s="24">
        <v>1</v>
      </c>
      <c r="Q25" s="37">
        <v>9</v>
      </c>
      <c r="R25" s="24"/>
      <c r="S25" s="37"/>
    </row>
    <row r="26" spans="1:19" x14ac:dyDescent="0.25">
      <c r="A26" s="127">
        <v>46288</v>
      </c>
      <c r="B26" s="35">
        <f t="shared" si="27"/>
        <v>5.3804861111111109</v>
      </c>
      <c r="C26" s="27">
        <v>43.043888888888887</v>
      </c>
      <c r="D26" s="35">
        <f t="shared" si="28"/>
        <v>8.0707291666666663</v>
      </c>
      <c r="E26" s="27">
        <v>64.56583333333333</v>
      </c>
      <c r="F26" s="23">
        <f t="shared" si="29"/>
        <v>0</v>
      </c>
      <c r="G26" s="98">
        <v>0</v>
      </c>
      <c r="H26" s="23">
        <f t="shared" si="30"/>
        <v>0</v>
      </c>
      <c r="I26" s="98">
        <v>0</v>
      </c>
      <c r="J26" s="23">
        <f t="shared" si="31"/>
        <v>0</v>
      </c>
      <c r="K26" s="98">
        <v>0</v>
      </c>
      <c r="L26" s="23">
        <f t="shared" si="32"/>
        <v>0</v>
      </c>
      <c r="M26" s="109">
        <v>0</v>
      </c>
      <c r="N26" s="105"/>
      <c r="O26" s="25"/>
      <c r="P26" s="24">
        <v>1</v>
      </c>
      <c r="Q26" s="37">
        <v>9</v>
      </c>
      <c r="R26" s="24"/>
      <c r="S26" s="37"/>
    </row>
    <row r="27" spans="1:19" x14ac:dyDescent="0.25">
      <c r="A27" s="127">
        <v>46289</v>
      </c>
      <c r="B27" s="35">
        <f>C27/8</f>
        <v>4.7230000000000008</v>
      </c>
      <c r="C27" s="27">
        <v>37.784000000000006</v>
      </c>
      <c r="D27" s="35">
        <f>E27/8</f>
        <v>8.1157500000000002</v>
      </c>
      <c r="E27" s="87">
        <v>64.926000000000002</v>
      </c>
      <c r="F27" s="23">
        <f>G27/8</f>
        <v>0</v>
      </c>
      <c r="G27" s="98">
        <v>0</v>
      </c>
      <c r="H27" s="23">
        <f>I27/8</f>
        <v>0.6875</v>
      </c>
      <c r="I27" s="98">
        <v>5.5</v>
      </c>
      <c r="J27" s="23">
        <f>K27/8</f>
        <v>0</v>
      </c>
      <c r="K27" s="98">
        <v>0</v>
      </c>
      <c r="L27" s="23">
        <f>M27/8</f>
        <v>0</v>
      </c>
      <c r="M27" s="109">
        <v>0</v>
      </c>
      <c r="N27" s="105"/>
      <c r="O27" s="25"/>
      <c r="P27" s="24">
        <v>1</v>
      </c>
      <c r="Q27" s="37">
        <v>9</v>
      </c>
      <c r="R27" s="24"/>
      <c r="S27" s="37"/>
    </row>
    <row r="28" spans="1:19" x14ac:dyDescent="0.25">
      <c r="A28" s="127">
        <v>46290</v>
      </c>
      <c r="B28" s="35">
        <f>C28/8</f>
        <v>4.8046666666666669</v>
      </c>
      <c r="C28" s="27">
        <v>38.437333333333335</v>
      </c>
      <c r="D28" s="35">
        <f>E28/8</f>
        <v>7.2069999999999999</v>
      </c>
      <c r="E28" s="27">
        <v>57.655999999999999</v>
      </c>
      <c r="F28" s="23">
        <f>G28/8</f>
        <v>0</v>
      </c>
      <c r="G28" s="98">
        <v>0</v>
      </c>
      <c r="H28" s="23">
        <f>I28/8</f>
        <v>0</v>
      </c>
      <c r="I28" s="98">
        <v>0</v>
      </c>
      <c r="J28" s="23">
        <f>K28/8</f>
        <v>0</v>
      </c>
      <c r="K28" s="98">
        <v>0</v>
      </c>
      <c r="L28" s="23">
        <f>M28/8</f>
        <v>0</v>
      </c>
      <c r="M28" s="109">
        <v>0</v>
      </c>
      <c r="N28" s="105"/>
      <c r="O28" s="25"/>
      <c r="P28" s="24">
        <v>1</v>
      </c>
      <c r="Q28" s="37">
        <v>8</v>
      </c>
      <c r="R28" s="24"/>
      <c r="S28" s="37"/>
    </row>
    <row r="29" spans="1:19" x14ac:dyDescent="0.25">
      <c r="A29" s="127">
        <v>46291</v>
      </c>
      <c r="B29" s="114"/>
      <c r="C29" s="115"/>
      <c r="D29" s="114"/>
      <c r="E29" s="115"/>
      <c r="F29" s="116"/>
      <c r="G29" s="115"/>
      <c r="H29" s="116"/>
      <c r="I29" s="115"/>
      <c r="J29" s="116"/>
      <c r="K29" s="115"/>
      <c r="L29" s="116"/>
      <c r="M29" s="117"/>
      <c r="N29" s="118"/>
      <c r="O29" s="119"/>
      <c r="P29" s="120"/>
      <c r="Q29" s="121"/>
      <c r="R29" s="120"/>
      <c r="S29" s="121"/>
    </row>
    <row r="30" spans="1:19" x14ac:dyDescent="0.25">
      <c r="A30" s="127">
        <v>46292</v>
      </c>
      <c r="B30" s="114"/>
      <c r="C30" s="115"/>
      <c r="D30" s="114"/>
      <c r="E30" s="115"/>
      <c r="F30" s="116"/>
      <c r="G30" s="115"/>
      <c r="H30" s="116"/>
      <c r="I30" s="115"/>
      <c r="J30" s="116"/>
      <c r="K30" s="115"/>
      <c r="L30" s="116"/>
      <c r="M30" s="117"/>
      <c r="N30" s="118"/>
      <c r="O30" s="119"/>
      <c r="P30" s="120"/>
      <c r="Q30" s="121"/>
      <c r="R30" s="120"/>
      <c r="S30" s="121"/>
    </row>
    <row r="31" spans="1:19" x14ac:dyDescent="0.25">
      <c r="A31" s="127">
        <v>46293</v>
      </c>
      <c r="B31" s="35">
        <f>C31/8</f>
        <v>4.0568958333333338</v>
      </c>
      <c r="C31" s="27">
        <v>32.45516666666667</v>
      </c>
      <c r="D31" s="35">
        <f>E31/8</f>
        <v>9.4660902777777789</v>
      </c>
      <c r="E31" s="27">
        <v>75.728722222222231</v>
      </c>
      <c r="F31" s="23">
        <f>G31/8</f>
        <v>0</v>
      </c>
      <c r="G31" s="98">
        <v>0</v>
      </c>
      <c r="H31" s="23">
        <f>I31/8</f>
        <v>0</v>
      </c>
      <c r="I31" s="98">
        <v>0</v>
      </c>
      <c r="J31" s="23">
        <f>K31/8</f>
        <v>0</v>
      </c>
      <c r="K31" s="98">
        <v>0</v>
      </c>
      <c r="L31" s="23">
        <f>M31/8</f>
        <v>0</v>
      </c>
      <c r="M31" s="109">
        <v>0</v>
      </c>
      <c r="N31" s="105"/>
      <c r="O31" s="25"/>
      <c r="P31" s="24">
        <v>1</v>
      </c>
      <c r="Q31" s="37">
        <v>9</v>
      </c>
      <c r="R31" s="24"/>
      <c r="S31" s="37"/>
    </row>
    <row r="32" spans="1:19" x14ac:dyDescent="0.25">
      <c r="A32" s="127">
        <v>46294</v>
      </c>
      <c r="B32" s="35">
        <f>C32/8</f>
        <v>3.942951388888889</v>
      </c>
      <c r="C32" s="27">
        <v>31.543611111111112</v>
      </c>
      <c r="D32" s="35">
        <f>E32/8</f>
        <v>6.192951388888889</v>
      </c>
      <c r="E32" s="27">
        <v>49.543611111111112</v>
      </c>
      <c r="F32" s="23">
        <f>G32/8</f>
        <v>0</v>
      </c>
      <c r="G32" s="98">
        <v>0</v>
      </c>
      <c r="H32" s="23">
        <f>I32/8</f>
        <v>2.25</v>
      </c>
      <c r="I32" s="98">
        <v>18</v>
      </c>
      <c r="J32" s="23">
        <f>K32/8</f>
        <v>0</v>
      </c>
      <c r="K32" s="98">
        <v>0</v>
      </c>
      <c r="L32" s="23">
        <f>M32/8</f>
        <v>0</v>
      </c>
      <c r="M32" s="109">
        <v>0</v>
      </c>
      <c r="N32" s="105"/>
      <c r="O32" s="25"/>
      <c r="P32" s="24">
        <v>1</v>
      </c>
      <c r="Q32" s="37">
        <v>9</v>
      </c>
      <c r="R32" s="24"/>
      <c r="S32" s="37"/>
    </row>
    <row r="33" spans="1:19" ht="15.75" thickBot="1" x14ac:dyDescent="0.3">
      <c r="A33" s="127">
        <v>46295</v>
      </c>
      <c r="B33" s="35">
        <f>C33/8</f>
        <v>8.8578333333333319</v>
      </c>
      <c r="C33" s="27">
        <v>70.862666666666655</v>
      </c>
      <c r="D33" s="35">
        <f>E33/8</f>
        <v>5.9052222222222213</v>
      </c>
      <c r="E33" s="27">
        <v>47.24177777777777</v>
      </c>
      <c r="F33" s="23">
        <f>G33/8</f>
        <v>0</v>
      </c>
      <c r="G33" s="98">
        <v>0</v>
      </c>
      <c r="H33" s="23">
        <f>I33/8</f>
        <v>0</v>
      </c>
      <c r="I33" s="98">
        <v>0</v>
      </c>
      <c r="J33" s="23">
        <f>K33/8</f>
        <v>0</v>
      </c>
      <c r="K33" s="98">
        <v>0</v>
      </c>
      <c r="L33" s="23">
        <f>M33/8</f>
        <v>0</v>
      </c>
      <c r="M33" s="109">
        <v>0</v>
      </c>
      <c r="N33" s="105"/>
      <c r="O33" s="25"/>
      <c r="P33" s="24">
        <v>1</v>
      </c>
      <c r="Q33" s="37">
        <v>9</v>
      </c>
      <c r="R33" s="24"/>
      <c r="S33" s="37"/>
    </row>
    <row r="34" spans="1:19" ht="15.75" thickBot="1" x14ac:dyDescent="0.3">
      <c r="A34" s="58" t="s">
        <v>20</v>
      </c>
      <c r="B34" s="59">
        <f>AVERAGE(B4:B33)</f>
        <v>5.6241687184343423</v>
      </c>
      <c r="C34" s="61">
        <f>SUM(C4:C33)</f>
        <v>989.85369444444427</v>
      </c>
      <c r="D34" s="59">
        <f>AVERAGE(D4:D33)</f>
        <v>6.8642230113636353</v>
      </c>
      <c r="E34" s="61">
        <f>SUM(E4:E33)</f>
        <v>1208.1032499999999</v>
      </c>
      <c r="F34" s="59">
        <f>AVERAGE(F4:F33)</f>
        <v>0</v>
      </c>
      <c r="G34" s="61">
        <f>SUM(G4:G33)</f>
        <v>0</v>
      </c>
      <c r="H34" s="59">
        <f>AVERAGE(H4:H33)</f>
        <v>0.22727272727272727</v>
      </c>
      <c r="I34" s="61">
        <f>SUM(I4:I33)</f>
        <v>40</v>
      </c>
      <c r="J34" s="59">
        <f>AVERAGE(J4:J33)</f>
        <v>0</v>
      </c>
      <c r="K34" s="61">
        <f>SUM(K4:K33)</f>
        <v>0</v>
      </c>
      <c r="L34" s="59">
        <f>AVERAGE(L4:L33)</f>
        <v>0</v>
      </c>
      <c r="M34" s="61">
        <f>SUM(M4:M33)</f>
        <v>0</v>
      </c>
      <c r="N34" s="64">
        <f>IFERROR(AVERAGE(N4:N12),0)</f>
        <v>0</v>
      </c>
      <c r="O34" s="65">
        <f>C34+I34+E34+G34+K34+M34</f>
        <v>2237.9569444444442</v>
      </c>
      <c r="P34" s="155">
        <f>IFERROR(AVERAGE(P4:P33),0)</f>
        <v>1</v>
      </c>
      <c r="Q34" s="154">
        <f>SUM(Q4:Q33)</f>
        <v>194</v>
      </c>
      <c r="R34" s="66">
        <f>IFERROR(AVERAGE(R4:R12),0)</f>
        <v>0</v>
      </c>
      <c r="S34" s="17">
        <f>SUM(S4:S12)</f>
        <v>0</v>
      </c>
    </row>
    <row r="35" spans="1:19" x14ac:dyDescent="0.25">
      <c r="G35" s="67"/>
      <c r="I35" s="68"/>
      <c r="O35" s="69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Mensuel</vt:lpstr>
      <vt:lpstr>GLF</vt:lpstr>
      <vt:lpstr>Juin</vt:lpstr>
      <vt:lpstr>Juillet</vt:lpstr>
      <vt:lpstr>Aout</vt:lpstr>
      <vt:lpstr>Septembre</vt:lpstr>
      <vt:lpstr>Octobre</vt:lpstr>
      <vt:lpstr>Novembre</vt:lpstr>
      <vt:lpstr>Décembre</vt:lpstr>
      <vt:lpstr>Janvier26</vt:lpstr>
      <vt:lpstr>Fevrier26</vt:lpstr>
      <vt:lpstr>Mars26</vt:lpstr>
      <vt:lpstr>Avril26</vt:lpstr>
      <vt:lpstr>Mai26</vt:lpstr>
      <vt:lpstr>Juin26</vt:lpstr>
      <vt:lpstr>Juillet26</vt:lpstr>
      <vt:lpstr>Aout26</vt:lpstr>
      <vt:lpstr>Septembre26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MARCHAND Maxime (ETS)</dc:creator>
  <cp:lastModifiedBy>OUBRAHIM Mohammed [EIDS]</cp:lastModifiedBy>
  <dcterms:created xsi:type="dcterms:W3CDTF">2025-06-17T09:32:47Z</dcterms:created>
  <dcterms:modified xsi:type="dcterms:W3CDTF">2026-10-23T12:55:58Z</dcterms:modified>
</cp:coreProperties>
</file>